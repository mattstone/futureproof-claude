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a47f0c1f3f8b00b/Desktop/John Innes/Futureproof/Aria Financial Group/MacCap/"/>
    </mc:Choice>
  </mc:AlternateContent>
  <xr:revisionPtr revIDLastSave="1103" documentId="8_{D5E39CBB-924C-443B-B9FA-E1EE6F3C7102}" xr6:coauthVersionLast="47" xr6:coauthVersionMax="47" xr10:uidLastSave="{0CB61B73-6755-4FE5-8DE8-6692DF620D58}"/>
  <bookViews>
    <workbookView xWindow="-98" yWindow="-98" windowWidth="24496" windowHeight="15675" activeTab="1" xr2:uid="{9D5A27AA-736B-4E4E-A6FF-D6F511777BC8}"/>
  </bookViews>
  <sheets>
    <sheet name="Core" sheetId="4" r:id="rId1"/>
    <sheet name="Monte Carlo " sheetId="6" r:id="rId2"/>
    <sheet name="Brownian" sheetId="3" r:id="rId3"/>
  </sheets>
  <definedNames>
    <definedName name="_xlnm._FilterDatabase" localSheetId="0" hidden="1">Core!$B$58:$AG$60</definedName>
    <definedName name="Input">'Monte Carlo '!$C$12:$D$12</definedName>
    <definedName name="Paths1">'Monte Carlo '!$B$3</definedName>
    <definedName name="Paths2">Brownian!$C$2</definedName>
    <definedName name="SP500_Copy">Brownian!$C$16:$AH$16</definedName>
    <definedName name="Surplus">'Monte Carlo '!$C$12</definedName>
  </definedNames>
  <calcPr calcId="191028" calcMode="manual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7" i="3" l="1"/>
  <c r="AG7" i="3"/>
  <c r="AH7" i="3"/>
  <c r="AF8" i="3"/>
  <c r="AG8" i="3"/>
  <c r="AH8" i="3"/>
  <c r="D5" i="6"/>
  <c r="D6" i="6"/>
  <c r="D7" i="6"/>
  <c r="D8" i="6"/>
  <c r="D9" i="6"/>
  <c r="C9" i="6" l="1"/>
  <c r="C8" i="6"/>
  <c r="C7" i="6"/>
  <c r="C6" i="6"/>
  <c r="C5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D7" i="3"/>
  <c r="D8" i="3"/>
  <c r="C16" i="3"/>
  <c r="D16" i="3" s="1"/>
  <c r="D15" i="3" s="1"/>
  <c r="C47" i="4" s="1"/>
  <c r="D12" i="3" l="1"/>
  <c r="C5" i="6"/>
  <c r="D10" i="3" l="1"/>
  <c r="D9" i="3"/>
  <c r="E12" i="3"/>
  <c r="E16" i="3"/>
  <c r="E15" i="3" s="1"/>
  <c r="D47" i="4" s="1"/>
  <c r="D54" i="4" s="1"/>
  <c r="F16" i="3" l="1"/>
  <c r="F15" i="3" s="1"/>
  <c r="E47" i="4" s="1"/>
  <c r="E54" i="4" s="1"/>
  <c r="E10" i="3"/>
  <c r="E9" i="3"/>
  <c r="F12" i="3"/>
  <c r="C118" i="4"/>
  <c r="F9" i="3" l="1"/>
  <c r="F10" i="3"/>
  <c r="G12" i="3"/>
  <c r="G16" i="3"/>
  <c r="C120" i="4"/>
  <c r="D117" i="4" s="1"/>
  <c r="C38" i="4"/>
  <c r="C39" i="4" s="1"/>
  <c r="D36" i="4" s="1"/>
  <c r="C142" i="4"/>
  <c r="C146" i="4"/>
  <c r="C87" i="4"/>
  <c r="D52" i="4"/>
  <c r="E52" i="4" s="1"/>
  <c r="F52" i="4" s="1"/>
  <c r="G52" i="4" s="1"/>
  <c r="H52" i="4" s="1"/>
  <c r="I52" i="4" s="1"/>
  <c r="J52" i="4" s="1"/>
  <c r="K52" i="4" s="1"/>
  <c r="L52" i="4" s="1"/>
  <c r="M52" i="4" s="1"/>
  <c r="N52" i="4" s="1"/>
  <c r="O52" i="4" s="1"/>
  <c r="P52" i="4" s="1"/>
  <c r="Q52" i="4" s="1"/>
  <c r="R52" i="4" s="1"/>
  <c r="S52" i="4" s="1"/>
  <c r="T52" i="4" s="1"/>
  <c r="U52" i="4" s="1"/>
  <c r="V52" i="4" s="1"/>
  <c r="W52" i="4" s="1"/>
  <c r="X52" i="4" s="1"/>
  <c r="Y52" i="4" s="1"/>
  <c r="Z52" i="4" s="1"/>
  <c r="AA52" i="4" s="1"/>
  <c r="AB52" i="4" s="1"/>
  <c r="AC52" i="4" s="1"/>
  <c r="AD52" i="4" s="1"/>
  <c r="AE52" i="4" s="1"/>
  <c r="AF52" i="4" s="1"/>
  <c r="AG52" i="4" s="1"/>
  <c r="AH52" i="4" s="1"/>
  <c r="C58" i="4"/>
  <c r="K9" i="4"/>
  <c r="K16" i="4" s="1"/>
  <c r="K20" i="4"/>
  <c r="D46" i="4"/>
  <c r="E46" i="4"/>
  <c r="E48" i="4" s="1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C46" i="4"/>
  <c r="C48" i="4" s="1"/>
  <c r="D44" i="4"/>
  <c r="D51" i="4" s="1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C44" i="4"/>
  <c r="C139" i="4"/>
  <c r="C138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C67" i="4"/>
  <c r="D67" i="4" s="1"/>
  <c r="C65" i="4"/>
  <c r="D65" i="4" s="1"/>
  <c r="E65" i="4" s="1"/>
  <c r="F65" i="4" s="1"/>
  <c r="G65" i="4" s="1"/>
  <c r="H65" i="4" s="1"/>
  <c r="C62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E18" i="4"/>
  <c r="D12" i="4"/>
  <c r="F15" i="4" s="1"/>
  <c r="D15" i="4" s="1"/>
  <c r="D53" i="4" l="1"/>
  <c r="E53" i="4" s="1"/>
  <c r="F53" i="4" s="1"/>
  <c r="G53" i="4" s="1"/>
  <c r="H53" i="4" s="1"/>
  <c r="I53" i="4" s="1"/>
  <c r="J53" i="4" s="1"/>
  <c r="K53" i="4" s="1"/>
  <c r="L53" i="4" s="1"/>
  <c r="M53" i="4" s="1"/>
  <c r="N53" i="4" s="1"/>
  <c r="O53" i="4" s="1"/>
  <c r="P53" i="4" s="1"/>
  <c r="Q53" i="4" s="1"/>
  <c r="R53" i="4" s="1"/>
  <c r="S53" i="4" s="1"/>
  <c r="T53" i="4" s="1"/>
  <c r="U53" i="4" s="1"/>
  <c r="V53" i="4" s="1"/>
  <c r="W53" i="4" s="1"/>
  <c r="X53" i="4" s="1"/>
  <c r="Y53" i="4" s="1"/>
  <c r="Z53" i="4" s="1"/>
  <c r="AA53" i="4" s="1"/>
  <c r="AB53" i="4" s="1"/>
  <c r="AC53" i="4" s="1"/>
  <c r="AD53" i="4" s="1"/>
  <c r="AE53" i="4" s="1"/>
  <c r="AF53" i="4" s="1"/>
  <c r="AG53" i="4" s="1"/>
  <c r="AH53" i="4" s="1"/>
  <c r="D48" i="4"/>
  <c r="C59" i="4"/>
  <c r="D59" i="4" s="1"/>
  <c r="E59" i="4" s="1"/>
  <c r="F59" i="4" s="1"/>
  <c r="G59" i="4" s="1"/>
  <c r="H59" i="4" s="1"/>
  <c r="I59" i="4" s="1"/>
  <c r="J59" i="4" s="1"/>
  <c r="K59" i="4" s="1"/>
  <c r="L59" i="4" s="1"/>
  <c r="M59" i="4" s="1"/>
  <c r="N59" i="4" s="1"/>
  <c r="O59" i="4" s="1"/>
  <c r="P59" i="4" s="1"/>
  <c r="Q59" i="4" s="1"/>
  <c r="R59" i="4" s="1"/>
  <c r="S59" i="4" s="1"/>
  <c r="T59" i="4" s="1"/>
  <c r="U59" i="4" s="1"/>
  <c r="V59" i="4" s="1"/>
  <c r="W59" i="4" s="1"/>
  <c r="X59" i="4" s="1"/>
  <c r="Y59" i="4" s="1"/>
  <c r="Z59" i="4" s="1"/>
  <c r="AA59" i="4" s="1"/>
  <c r="AB59" i="4" s="1"/>
  <c r="AC59" i="4" s="1"/>
  <c r="AD59" i="4" s="1"/>
  <c r="AE59" i="4" s="1"/>
  <c r="AF59" i="4" s="1"/>
  <c r="AG59" i="4" s="1"/>
  <c r="H16" i="3"/>
  <c r="H15" i="3" s="1"/>
  <c r="G47" i="4" s="1"/>
  <c r="G48" i="4" s="1"/>
  <c r="G49" i="4" s="1"/>
  <c r="G15" i="3"/>
  <c r="F47" i="4" s="1"/>
  <c r="F54" i="4" s="1"/>
  <c r="G9" i="3"/>
  <c r="G10" i="3"/>
  <c r="H12" i="3"/>
  <c r="C112" i="4"/>
  <c r="D112" i="4"/>
  <c r="Z112" i="4"/>
  <c r="AG112" i="4"/>
  <c r="R112" i="4"/>
  <c r="E112" i="4"/>
  <c r="AA112" i="4"/>
  <c r="K112" i="4"/>
  <c r="O112" i="4"/>
  <c r="P112" i="4"/>
  <c r="X112" i="4"/>
  <c r="F112" i="4"/>
  <c r="AB112" i="4"/>
  <c r="AD112" i="4"/>
  <c r="G112" i="4"/>
  <c r="AC112" i="4"/>
  <c r="H112" i="4"/>
  <c r="M112" i="4"/>
  <c r="N112" i="4"/>
  <c r="Q112" i="4"/>
  <c r="I112" i="4"/>
  <c r="AE112" i="4"/>
  <c r="J112" i="4"/>
  <c r="AF112" i="4"/>
  <c r="L112" i="4"/>
  <c r="S112" i="4"/>
  <c r="T112" i="4"/>
  <c r="U112" i="4"/>
  <c r="V112" i="4"/>
  <c r="W112" i="4"/>
  <c r="Y112" i="4"/>
  <c r="D62" i="4"/>
  <c r="E62" i="4" s="1"/>
  <c r="F62" i="4" s="1"/>
  <c r="G62" i="4" s="1"/>
  <c r="H62" i="4" s="1"/>
  <c r="I62" i="4" s="1"/>
  <c r="J62" i="4" s="1"/>
  <c r="K62" i="4" s="1"/>
  <c r="L62" i="4" s="1"/>
  <c r="M62" i="4" s="1"/>
  <c r="N62" i="4" s="1"/>
  <c r="O62" i="4" s="1"/>
  <c r="P62" i="4" s="1"/>
  <c r="Q62" i="4" s="1"/>
  <c r="R62" i="4" s="1"/>
  <c r="S62" i="4" s="1"/>
  <c r="T62" i="4" s="1"/>
  <c r="U62" i="4" s="1"/>
  <c r="V62" i="4" s="1"/>
  <c r="W62" i="4" s="1"/>
  <c r="X62" i="4" s="1"/>
  <c r="Y62" i="4" s="1"/>
  <c r="Z62" i="4" s="1"/>
  <c r="AA62" i="4" s="1"/>
  <c r="AB62" i="4" s="1"/>
  <c r="AC62" i="4" s="1"/>
  <c r="AD62" i="4" s="1"/>
  <c r="AE62" i="4" s="1"/>
  <c r="AF62" i="4" s="1"/>
  <c r="AG62" i="4" s="1"/>
  <c r="C104" i="4"/>
  <c r="H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D104" i="4"/>
  <c r="Z104" i="4"/>
  <c r="E104" i="4"/>
  <c r="AA104" i="4"/>
  <c r="F104" i="4"/>
  <c r="AB104" i="4"/>
  <c r="G104" i="4"/>
  <c r="AC104" i="4"/>
  <c r="AD104" i="4"/>
  <c r="I104" i="4"/>
  <c r="AE104" i="4"/>
  <c r="J104" i="4"/>
  <c r="AF104" i="4"/>
  <c r="K104" i="4"/>
  <c r="AG104" i="4"/>
  <c r="D98" i="4"/>
  <c r="Z98" i="4"/>
  <c r="K98" i="4"/>
  <c r="L98" i="4"/>
  <c r="U98" i="4"/>
  <c r="W98" i="4"/>
  <c r="E98" i="4"/>
  <c r="AA98" i="4"/>
  <c r="S98" i="4"/>
  <c r="F98" i="4"/>
  <c r="AB98" i="4"/>
  <c r="AG98" i="4"/>
  <c r="G98" i="4"/>
  <c r="AC98" i="4"/>
  <c r="H98" i="4"/>
  <c r="AD98" i="4"/>
  <c r="Q98" i="4"/>
  <c r="I98" i="4"/>
  <c r="AE98" i="4"/>
  <c r="V98" i="4"/>
  <c r="J98" i="4"/>
  <c r="AF98" i="4"/>
  <c r="M98" i="4"/>
  <c r="N98" i="4"/>
  <c r="O98" i="4"/>
  <c r="P98" i="4"/>
  <c r="R98" i="4"/>
  <c r="X98" i="4"/>
  <c r="Y98" i="4"/>
  <c r="T98" i="4"/>
  <c r="C29" i="4"/>
  <c r="C31" i="4" s="1"/>
  <c r="C141" i="4" s="1"/>
  <c r="C98" i="4"/>
  <c r="D38" i="4"/>
  <c r="D39" i="4" s="1"/>
  <c r="D86" i="4" s="1"/>
  <c r="C86" i="4"/>
  <c r="D58" i="4"/>
  <c r="E58" i="4" s="1"/>
  <c r="F58" i="4" s="1"/>
  <c r="G58" i="4" s="1"/>
  <c r="H58" i="4" s="1"/>
  <c r="I58" i="4" s="1"/>
  <c r="J58" i="4" s="1"/>
  <c r="K58" i="4" s="1"/>
  <c r="L58" i="4" s="1"/>
  <c r="M58" i="4" s="1"/>
  <c r="N58" i="4" s="1"/>
  <c r="O58" i="4" s="1"/>
  <c r="P58" i="4" s="1"/>
  <c r="Q58" i="4" s="1"/>
  <c r="R58" i="4" s="1"/>
  <c r="S58" i="4" s="1"/>
  <c r="T58" i="4" s="1"/>
  <c r="U58" i="4" s="1"/>
  <c r="V58" i="4" s="1"/>
  <c r="W58" i="4" s="1"/>
  <c r="X58" i="4" s="1"/>
  <c r="Y58" i="4" s="1"/>
  <c r="Z58" i="4" s="1"/>
  <c r="AA58" i="4" s="1"/>
  <c r="AB58" i="4" s="1"/>
  <c r="AC58" i="4" s="1"/>
  <c r="AD58" i="4" s="1"/>
  <c r="AE58" i="4" s="1"/>
  <c r="AF58" i="4" s="1"/>
  <c r="AG58" i="4" s="1"/>
  <c r="E51" i="4"/>
  <c r="F51" i="4" s="1"/>
  <c r="G51" i="4" s="1"/>
  <c r="H51" i="4" s="1"/>
  <c r="I51" i="4" s="1"/>
  <c r="J51" i="4" s="1"/>
  <c r="K51" i="4" s="1"/>
  <c r="L51" i="4" s="1"/>
  <c r="M51" i="4" s="1"/>
  <c r="N51" i="4" s="1"/>
  <c r="O51" i="4" s="1"/>
  <c r="P51" i="4" s="1"/>
  <c r="Q51" i="4" s="1"/>
  <c r="R51" i="4" s="1"/>
  <c r="S51" i="4" s="1"/>
  <c r="T51" i="4" s="1"/>
  <c r="U51" i="4" s="1"/>
  <c r="V51" i="4" s="1"/>
  <c r="W51" i="4" s="1"/>
  <c r="X51" i="4" s="1"/>
  <c r="Y51" i="4" s="1"/>
  <c r="Z51" i="4" s="1"/>
  <c r="AA51" i="4" s="1"/>
  <c r="AB51" i="4" s="1"/>
  <c r="AC51" i="4" s="1"/>
  <c r="AD51" i="4" s="1"/>
  <c r="AE51" i="4" s="1"/>
  <c r="AF51" i="4" s="1"/>
  <c r="AG51" i="4" s="1"/>
  <c r="AH51" i="4" s="1"/>
  <c r="E49" i="4"/>
  <c r="C49" i="4"/>
  <c r="E15" i="4"/>
  <c r="I65" i="4"/>
  <c r="E67" i="4"/>
  <c r="F48" i="4" l="1"/>
  <c r="F49" i="4" s="1"/>
  <c r="G54" i="4"/>
  <c r="C60" i="4"/>
  <c r="C63" i="4" s="1"/>
  <c r="AH58" i="4"/>
  <c r="H9" i="3"/>
  <c r="H10" i="3"/>
  <c r="I12" i="3"/>
  <c r="I16" i="3"/>
  <c r="AH59" i="4"/>
  <c r="C137" i="4"/>
  <c r="C72" i="4"/>
  <c r="C32" i="4"/>
  <c r="C85" i="4" s="1"/>
  <c r="D60" i="4"/>
  <c r="E36" i="4"/>
  <c r="E38" i="4" s="1"/>
  <c r="E60" i="4"/>
  <c r="E63" i="4" s="1"/>
  <c r="D49" i="4"/>
  <c r="D56" i="4" s="1"/>
  <c r="E56" i="4" s="1"/>
  <c r="D55" i="4"/>
  <c r="E55" i="4" s="1"/>
  <c r="F67" i="4"/>
  <c r="J65" i="4"/>
  <c r="F56" i="4" l="1"/>
  <c r="G56" i="4" s="1"/>
  <c r="F55" i="4"/>
  <c r="G55" i="4" s="1"/>
  <c r="J16" i="3"/>
  <c r="J15" i="3" s="1"/>
  <c r="I47" i="4" s="1"/>
  <c r="I48" i="4" s="1"/>
  <c r="I49" i="4" s="1"/>
  <c r="I15" i="3"/>
  <c r="H47" i="4" s="1"/>
  <c r="I9" i="3"/>
  <c r="I10" i="3"/>
  <c r="J12" i="3"/>
  <c r="D63" i="4"/>
  <c r="D28" i="4"/>
  <c r="D30" i="4" s="1"/>
  <c r="E39" i="4"/>
  <c r="E86" i="4" s="1"/>
  <c r="F60" i="4"/>
  <c r="F63" i="4" s="1"/>
  <c r="K65" i="4"/>
  <c r="G67" i="4"/>
  <c r="H54" i="4" l="1"/>
  <c r="I54" i="4" s="1"/>
  <c r="H48" i="4"/>
  <c r="J9" i="3"/>
  <c r="J10" i="3"/>
  <c r="K12" i="3"/>
  <c r="K16" i="3"/>
  <c r="D31" i="4"/>
  <c r="D141" i="4" s="1"/>
  <c r="F36" i="4"/>
  <c r="F38" i="4" s="1"/>
  <c r="G60" i="4"/>
  <c r="G63" i="4" s="1"/>
  <c r="L65" i="4"/>
  <c r="H67" i="4"/>
  <c r="D138" i="4"/>
  <c r="D79" i="4"/>
  <c r="H49" i="4" l="1"/>
  <c r="H56" i="4" s="1"/>
  <c r="I56" i="4" s="1"/>
  <c r="H55" i="4"/>
  <c r="I55" i="4" s="1"/>
  <c r="L16" i="3"/>
  <c r="L15" i="3" s="1"/>
  <c r="K47" i="4" s="1"/>
  <c r="K48" i="4" s="1"/>
  <c r="K49" i="4" s="1"/>
  <c r="K15" i="3"/>
  <c r="J47" i="4" s="1"/>
  <c r="K9" i="3"/>
  <c r="K10" i="3"/>
  <c r="L12" i="3"/>
  <c r="D32" i="4"/>
  <c r="D85" i="4" s="1"/>
  <c r="F39" i="4"/>
  <c r="F86" i="4" s="1"/>
  <c r="H60" i="4"/>
  <c r="M65" i="4"/>
  <c r="I67" i="4"/>
  <c r="J54" i="4" l="1"/>
  <c r="K54" i="4" s="1"/>
  <c r="J48" i="4"/>
  <c r="J49" i="4" s="1"/>
  <c r="J56" i="4" s="1"/>
  <c r="K56" i="4" s="1"/>
  <c r="M16" i="3"/>
  <c r="M15" i="3" s="1"/>
  <c r="L47" i="4" s="1"/>
  <c r="L9" i="3"/>
  <c r="L10" i="3"/>
  <c r="M12" i="3"/>
  <c r="H63" i="4"/>
  <c r="E28" i="4"/>
  <c r="E30" i="4" s="1"/>
  <c r="E31" i="4" s="1"/>
  <c r="D76" i="4"/>
  <c r="D123" i="4"/>
  <c r="G36" i="4"/>
  <c r="G38" i="4" s="1"/>
  <c r="I60" i="4"/>
  <c r="I63" i="4" s="1"/>
  <c r="N65" i="4"/>
  <c r="J67" i="4"/>
  <c r="J55" i="4" l="1"/>
  <c r="K55" i="4" s="1"/>
  <c r="L54" i="4"/>
  <c r="L48" i="4"/>
  <c r="L49" i="4" s="1"/>
  <c r="L56" i="4" s="1"/>
  <c r="N16" i="3"/>
  <c r="N15" i="3" s="1"/>
  <c r="M47" i="4" s="1"/>
  <c r="M10" i="3"/>
  <c r="M9" i="3"/>
  <c r="N12" i="3"/>
  <c r="E79" i="4"/>
  <c r="E138" i="4"/>
  <c r="E32" i="4"/>
  <c r="E76" i="4" s="1"/>
  <c r="E141" i="4"/>
  <c r="G39" i="4"/>
  <c r="G86" i="4" s="1"/>
  <c r="J60" i="4"/>
  <c r="J63" i="4" s="1"/>
  <c r="K67" i="4"/>
  <c r="O65" i="4"/>
  <c r="L55" i="4" l="1"/>
  <c r="M54" i="4"/>
  <c r="M48" i="4"/>
  <c r="M49" i="4" s="1"/>
  <c r="M56" i="4" s="1"/>
  <c r="O16" i="3"/>
  <c r="O15" i="3" s="1"/>
  <c r="N47" i="4" s="1"/>
  <c r="N9" i="3"/>
  <c r="N10" i="3"/>
  <c r="O12" i="3"/>
  <c r="E85" i="4"/>
  <c r="E123" i="4"/>
  <c r="F28" i="4"/>
  <c r="H36" i="4"/>
  <c r="H38" i="4" s="1"/>
  <c r="K60" i="4"/>
  <c r="P65" i="4"/>
  <c r="L67" i="4"/>
  <c r="N54" i="4" l="1"/>
  <c r="N48" i="4"/>
  <c r="N49" i="4" s="1"/>
  <c r="N56" i="4" s="1"/>
  <c r="M55" i="4"/>
  <c r="P16" i="3"/>
  <c r="P15" i="3" s="1"/>
  <c r="O47" i="4" s="1"/>
  <c r="O10" i="3"/>
  <c r="O9" i="3"/>
  <c r="P12" i="3"/>
  <c r="K63" i="4"/>
  <c r="F30" i="4"/>
  <c r="F138" i="4" s="1"/>
  <c r="H39" i="4"/>
  <c r="H86" i="4" s="1"/>
  <c r="L60" i="4"/>
  <c r="L63" i="4" s="1"/>
  <c r="M67" i="4"/>
  <c r="Q65" i="4"/>
  <c r="O54" i="4" l="1"/>
  <c r="O48" i="4"/>
  <c r="O49" i="4" s="1"/>
  <c r="O56" i="4" s="1"/>
  <c r="N55" i="4"/>
  <c r="P9" i="3"/>
  <c r="P10" i="3"/>
  <c r="Q12" i="3"/>
  <c r="Q16" i="3"/>
  <c r="F31" i="4"/>
  <c r="F141" i="4" s="1"/>
  <c r="F79" i="4"/>
  <c r="I36" i="4"/>
  <c r="I38" i="4" s="1"/>
  <c r="M60" i="4"/>
  <c r="M63" i="4" s="1"/>
  <c r="R65" i="4"/>
  <c r="N67" i="4"/>
  <c r="O55" i="4" l="1"/>
  <c r="R16" i="3"/>
  <c r="R15" i="3" s="1"/>
  <c r="Q47" i="4" s="1"/>
  <c r="Q48" i="4" s="1"/>
  <c r="Q49" i="4" s="1"/>
  <c r="Q15" i="3"/>
  <c r="P47" i="4" s="1"/>
  <c r="Q10" i="3"/>
  <c r="Q9" i="3"/>
  <c r="R12" i="3"/>
  <c r="F32" i="4"/>
  <c r="F76" i="4" s="1"/>
  <c r="I39" i="4"/>
  <c r="I86" i="4" s="1"/>
  <c r="N60" i="4"/>
  <c r="N63" i="4" s="1"/>
  <c r="O67" i="4"/>
  <c r="S65" i="4"/>
  <c r="P54" i="4" l="1"/>
  <c r="Q54" i="4" s="1"/>
  <c r="P48" i="4"/>
  <c r="S16" i="3"/>
  <c r="S15" i="3" s="1"/>
  <c r="R47" i="4" s="1"/>
  <c r="R9" i="3"/>
  <c r="R10" i="3"/>
  <c r="S12" i="3"/>
  <c r="F123" i="4"/>
  <c r="F85" i="4"/>
  <c r="G28" i="4"/>
  <c r="G30" i="4" s="1"/>
  <c r="G138" i="4" s="1"/>
  <c r="J36" i="4"/>
  <c r="J38" i="4" s="1"/>
  <c r="O60" i="4"/>
  <c r="O63" i="4" s="1"/>
  <c r="T65" i="4"/>
  <c r="P67" i="4"/>
  <c r="R54" i="4" l="1"/>
  <c r="R48" i="4"/>
  <c r="R49" i="4" s="1"/>
  <c r="P49" i="4"/>
  <c r="P56" i="4" s="1"/>
  <c r="Q56" i="4" s="1"/>
  <c r="P55" i="4"/>
  <c r="Q55" i="4" s="1"/>
  <c r="T16" i="3"/>
  <c r="T15" i="3" s="1"/>
  <c r="S47" i="4" s="1"/>
  <c r="S9" i="3"/>
  <c r="S10" i="3"/>
  <c r="T12" i="3"/>
  <c r="G31" i="4"/>
  <c r="G141" i="4" s="1"/>
  <c r="G79" i="4"/>
  <c r="J39" i="4"/>
  <c r="J86" i="4" s="1"/>
  <c r="P60" i="4"/>
  <c r="P63" i="4" s="1"/>
  <c r="U65" i="4"/>
  <c r="Q67" i="4"/>
  <c r="R55" i="4" l="1"/>
  <c r="S54" i="4"/>
  <c r="S48" i="4"/>
  <c r="S49" i="4" s="1"/>
  <c r="R56" i="4"/>
  <c r="T10" i="3"/>
  <c r="T9" i="3"/>
  <c r="U16" i="3"/>
  <c r="U15" i="3" s="1"/>
  <c r="T47" i="4" s="1"/>
  <c r="U12" i="3"/>
  <c r="G32" i="4"/>
  <c r="G76" i="4" s="1"/>
  <c r="K36" i="4"/>
  <c r="K38" i="4" s="1"/>
  <c r="Q60" i="4"/>
  <c r="Q63" i="4" s="1"/>
  <c r="R67" i="4"/>
  <c r="V65" i="4"/>
  <c r="S55" i="4" l="1"/>
  <c r="T54" i="4"/>
  <c r="T48" i="4"/>
  <c r="T49" i="4" s="1"/>
  <c r="S56" i="4"/>
  <c r="V16" i="3"/>
  <c r="V15" i="3" s="1"/>
  <c r="U47" i="4" s="1"/>
  <c r="U10" i="3"/>
  <c r="U9" i="3"/>
  <c r="V12" i="3"/>
  <c r="G85" i="4"/>
  <c r="G123" i="4"/>
  <c r="H28" i="4"/>
  <c r="H30" i="4" s="1"/>
  <c r="H138" i="4" s="1"/>
  <c r="K39" i="4"/>
  <c r="K86" i="4" s="1"/>
  <c r="R60" i="4"/>
  <c r="R63" i="4" s="1"/>
  <c r="W65" i="4"/>
  <c r="S67" i="4"/>
  <c r="T55" i="4" l="1"/>
  <c r="T56" i="4"/>
  <c r="U54" i="4"/>
  <c r="U48" i="4"/>
  <c r="U49" i="4" s="1"/>
  <c r="V10" i="3"/>
  <c r="V9" i="3"/>
  <c r="W12" i="3"/>
  <c r="W16" i="3"/>
  <c r="H31" i="4"/>
  <c r="H32" i="4" s="1"/>
  <c r="H79" i="4"/>
  <c r="L36" i="4"/>
  <c r="L38" i="4" s="1"/>
  <c r="S60" i="4"/>
  <c r="S63" i="4" s="1"/>
  <c r="T67" i="4"/>
  <c r="X65" i="4"/>
  <c r="U56" i="4" l="1"/>
  <c r="U55" i="4"/>
  <c r="X16" i="3"/>
  <c r="X15" i="3" s="1"/>
  <c r="W47" i="4" s="1"/>
  <c r="W48" i="4" s="1"/>
  <c r="W49" i="4" s="1"/>
  <c r="W15" i="3"/>
  <c r="V47" i="4" s="1"/>
  <c r="W10" i="3"/>
  <c r="W9" i="3"/>
  <c r="X12" i="3"/>
  <c r="H141" i="4"/>
  <c r="H76" i="4"/>
  <c r="H85" i="4"/>
  <c r="H123" i="4"/>
  <c r="I28" i="4"/>
  <c r="L39" i="4"/>
  <c r="L86" i="4" s="1"/>
  <c r="T60" i="4"/>
  <c r="T63" i="4" s="1"/>
  <c r="Y65" i="4"/>
  <c r="U67" i="4"/>
  <c r="V54" i="4" l="1"/>
  <c r="W54" i="4" s="1"/>
  <c r="V48" i="4"/>
  <c r="V49" i="4" s="1"/>
  <c r="V56" i="4" s="1"/>
  <c r="W56" i="4" s="1"/>
  <c r="X10" i="3"/>
  <c r="X9" i="3"/>
  <c r="Y12" i="3"/>
  <c r="Y16" i="3"/>
  <c r="Y15" i="3" s="1"/>
  <c r="X47" i="4" s="1"/>
  <c r="I30" i="4"/>
  <c r="M36" i="4"/>
  <c r="M38" i="4" s="1"/>
  <c r="U60" i="4"/>
  <c r="U63" i="4" s="1"/>
  <c r="V67" i="4"/>
  <c r="Z65" i="4"/>
  <c r="X54" i="4" l="1"/>
  <c r="X48" i="4"/>
  <c r="X49" i="4" s="1"/>
  <c r="X56" i="4" s="1"/>
  <c r="V55" i="4"/>
  <c r="W55" i="4" s="1"/>
  <c r="Z16" i="3"/>
  <c r="Z15" i="3" s="1"/>
  <c r="Y47" i="4" s="1"/>
  <c r="Y10" i="3"/>
  <c r="Y9" i="3"/>
  <c r="Z12" i="3"/>
  <c r="I31" i="4"/>
  <c r="I141" i="4" s="1"/>
  <c r="I138" i="4"/>
  <c r="I79" i="4"/>
  <c r="M39" i="4"/>
  <c r="M86" i="4" s="1"/>
  <c r="V60" i="4"/>
  <c r="V63" i="4" s="1"/>
  <c r="AA65" i="4"/>
  <c r="W67" i="4"/>
  <c r="Y54" i="4" l="1"/>
  <c r="Y48" i="4"/>
  <c r="Y49" i="4" s="1"/>
  <c r="Y56" i="4" s="1"/>
  <c r="X55" i="4"/>
  <c r="Z10" i="3"/>
  <c r="Z9" i="3"/>
  <c r="AA12" i="3"/>
  <c r="AA16" i="3"/>
  <c r="I32" i="4"/>
  <c r="I76" i="4" s="1"/>
  <c r="N36" i="4"/>
  <c r="N38" i="4" s="1"/>
  <c r="W60" i="4"/>
  <c r="W63" i="4" s="1"/>
  <c r="X67" i="4"/>
  <c r="AB65" i="4"/>
  <c r="Y55" i="4" l="1"/>
  <c r="AB16" i="3"/>
  <c r="AB15" i="3" s="1"/>
  <c r="AA47" i="4" s="1"/>
  <c r="AA48" i="4" s="1"/>
  <c r="AA49" i="4" s="1"/>
  <c r="AA15" i="3"/>
  <c r="Z47" i="4" s="1"/>
  <c r="AA9" i="3"/>
  <c r="AA10" i="3"/>
  <c r="AB12" i="3"/>
  <c r="I123" i="4"/>
  <c r="I85" i="4"/>
  <c r="J28" i="4"/>
  <c r="J30" i="4" s="1"/>
  <c r="J31" i="4" s="1"/>
  <c r="N39" i="4"/>
  <c r="N86" i="4" s="1"/>
  <c r="X60" i="4"/>
  <c r="X63" i="4" s="1"/>
  <c r="AC65" i="4"/>
  <c r="Y67" i="4"/>
  <c r="Z54" i="4" l="1"/>
  <c r="AA54" i="4" s="1"/>
  <c r="Z48" i="4"/>
  <c r="AC16" i="3"/>
  <c r="AB9" i="3"/>
  <c r="AB10" i="3"/>
  <c r="AC12" i="3"/>
  <c r="J141" i="4"/>
  <c r="J138" i="4"/>
  <c r="J79" i="4"/>
  <c r="O36" i="4"/>
  <c r="O38" i="4" s="1"/>
  <c r="Y60" i="4"/>
  <c r="Y63" i="4" s="1"/>
  <c r="Z67" i="4"/>
  <c r="AD65" i="4"/>
  <c r="Z49" i="4" l="1"/>
  <c r="Z56" i="4" s="1"/>
  <c r="AA56" i="4" s="1"/>
  <c r="Z55" i="4"/>
  <c r="AA55" i="4" s="1"/>
  <c r="AD16" i="3"/>
  <c r="AD15" i="3" s="1"/>
  <c r="AC47" i="4" s="1"/>
  <c r="AC48" i="4" s="1"/>
  <c r="AC49" i="4" s="1"/>
  <c r="AC15" i="3"/>
  <c r="AB47" i="4" s="1"/>
  <c r="AC9" i="3"/>
  <c r="AC10" i="3"/>
  <c r="AD12" i="3"/>
  <c r="J32" i="4"/>
  <c r="O39" i="4"/>
  <c r="O86" i="4" s="1"/>
  <c r="Z60" i="4"/>
  <c r="Z63" i="4" s="1"/>
  <c r="AA67" i="4"/>
  <c r="AE65" i="4"/>
  <c r="AB54" i="4" l="1"/>
  <c r="AC54" i="4" s="1"/>
  <c r="AB48" i="4"/>
  <c r="AB49" i="4" s="1"/>
  <c r="AB56" i="4" s="1"/>
  <c r="AC56" i="4" s="1"/>
  <c r="AD9" i="3"/>
  <c r="AD10" i="3"/>
  <c r="AE12" i="3"/>
  <c r="AF12" i="3" s="1"/>
  <c r="AE16" i="3"/>
  <c r="AF16" i="3" s="1"/>
  <c r="J76" i="4"/>
  <c r="J123" i="4"/>
  <c r="J85" i="4"/>
  <c r="K28" i="4"/>
  <c r="P36" i="4"/>
  <c r="P38" i="4" s="1"/>
  <c r="AA60" i="4"/>
  <c r="AA63" i="4" s="1"/>
  <c r="AB67" i="4"/>
  <c r="AF65" i="4"/>
  <c r="AF15" i="3" l="1"/>
  <c r="AE47" i="4" s="1"/>
  <c r="AE48" i="4" s="1"/>
  <c r="AE49" i="4" s="1"/>
  <c r="AG16" i="3"/>
  <c r="AF9" i="3"/>
  <c r="AF10" i="3"/>
  <c r="AG12" i="3"/>
  <c r="AB55" i="4"/>
  <c r="AC55" i="4" s="1"/>
  <c r="AE15" i="3"/>
  <c r="AD47" i="4" s="1"/>
  <c r="AE9" i="3"/>
  <c r="AE10" i="3"/>
  <c r="K30" i="4"/>
  <c r="K31" i="4" s="1"/>
  <c r="P39" i="4"/>
  <c r="P86" i="4" s="1"/>
  <c r="AB60" i="4"/>
  <c r="AB63" i="4" s="1"/>
  <c r="AG65" i="4"/>
  <c r="AC67" i="4"/>
  <c r="AG9" i="3" l="1"/>
  <c r="AG10" i="3"/>
  <c r="AH12" i="3"/>
  <c r="AG15" i="3"/>
  <c r="AF47" i="4" s="1"/>
  <c r="AH16" i="3"/>
  <c r="AH15" i="3" s="1"/>
  <c r="AG47" i="4" s="1"/>
  <c r="AD54" i="4"/>
  <c r="AE54" i="4" s="1"/>
  <c r="AD48" i="4"/>
  <c r="AD49" i="4" s="1"/>
  <c r="AD56" i="4" s="1"/>
  <c r="AE56" i="4" s="1"/>
  <c r="K138" i="4"/>
  <c r="K79" i="4"/>
  <c r="K141" i="4"/>
  <c r="Q36" i="4"/>
  <c r="Q38" i="4" s="1"/>
  <c r="AC60" i="4"/>
  <c r="AC63" i="4" s="1"/>
  <c r="AD67" i="4"/>
  <c r="AH9" i="3" l="1"/>
  <c r="AH10" i="3"/>
  <c r="AD55" i="4"/>
  <c r="AE55" i="4" s="1"/>
  <c r="AG48" i="4"/>
  <c r="AG49" i="4" s="1"/>
  <c r="K32" i="4"/>
  <c r="Q39" i="4"/>
  <c r="Q86" i="4" s="1"/>
  <c r="AD60" i="4"/>
  <c r="AD63" i="4" s="1"/>
  <c r="AE67" i="4"/>
  <c r="AF54" i="4" l="1"/>
  <c r="AG54" i="4" s="1"/>
  <c r="AH54" i="4" s="1"/>
  <c r="AF48" i="4"/>
  <c r="AF49" i="4" s="1"/>
  <c r="AF56" i="4" s="1"/>
  <c r="AG56" i="4" s="1"/>
  <c r="AH56" i="4" s="1"/>
  <c r="Y16" i="4" s="1"/>
  <c r="Y17" i="4" s="1"/>
  <c r="K76" i="4"/>
  <c r="K123" i="4"/>
  <c r="L28" i="4"/>
  <c r="K85" i="4"/>
  <c r="R36" i="4"/>
  <c r="R38" i="4" s="1"/>
  <c r="AE60" i="4"/>
  <c r="AE63" i="4" s="1"/>
  <c r="AF67" i="4"/>
  <c r="AF55" i="4" l="1"/>
  <c r="AG55" i="4" s="1"/>
  <c r="L30" i="4"/>
  <c r="L31" i="4" s="1"/>
  <c r="R39" i="4"/>
  <c r="R86" i="4" s="1"/>
  <c r="AF60" i="4"/>
  <c r="AF63" i="4" s="1"/>
  <c r="AG60" i="4"/>
  <c r="AG67" i="4"/>
  <c r="AG63" i="4" l="1"/>
  <c r="AH60" i="4"/>
  <c r="L138" i="4"/>
  <c r="L79" i="4"/>
  <c r="L141" i="4"/>
  <c r="S36" i="4"/>
  <c r="S38" i="4" s="1"/>
  <c r="L32" i="4" l="1"/>
  <c r="S39" i="4"/>
  <c r="S86" i="4" s="1"/>
  <c r="L76" i="4" l="1"/>
  <c r="L123" i="4"/>
  <c r="L85" i="4"/>
  <c r="M28" i="4"/>
  <c r="T36" i="4"/>
  <c r="T38" i="4" s="1"/>
  <c r="M30" i="4" l="1"/>
  <c r="M31" i="4" s="1"/>
  <c r="T39" i="4"/>
  <c r="T86" i="4" s="1"/>
  <c r="M79" i="4" l="1"/>
  <c r="M138" i="4"/>
  <c r="M141" i="4"/>
  <c r="U36" i="4"/>
  <c r="U38" i="4" s="1"/>
  <c r="M32" i="4" l="1"/>
  <c r="U39" i="4"/>
  <c r="U86" i="4" s="1"/>
  <c r="M76" i="4" l="1"/>
  <c r="M123" i="4"/>
  <c r="M85" i="4"/>
  <c r="N28" i="4"/>
  <c r="V36" i="4"/>
  <c r="V38" i="4" s="1"/>
  <c r="N30" i="4" l="1"/>
  <c r="N31" i="4" s="1"/>
  <c r="V39" i="4"/>
  <c r="V86" i="4" s="1"/>
  <c r="N79" i="4" l="1"/>
  <c r="N138" i="4"/>
  <c r="N141" i="4"/>
  <c r="W36" i="4"/>
  <c r="W38" i="4" s="1"/>
  <c r="N32" i="4" l="1"/>
  <c r="W39" i="4"/>
  <c r="W86" i="4" s="1"/>
  <c r="N76" i="4" l="1"/>
  <c r="N85" i="4"/>
  <c r="N123" i="4"/>
  <c r="O28" i="4"/>
  <c r="X36" i="4"/>
  <c r="X38" i="4" s="1"/>
  <c r="O30" i="4" l="1"/>
  <c r="O31" i="4" s="1"/>
  <c r="X39" i="4"/>
  <c r="X86" i="4" s="1"/>
  <c r="O141" i="4" l="1"/>
  <c r="O32" i="4"/>
  <c r="P28" i="4" s="1"/>
  <c r="O138" i="4"/>
  <c r="O79" i="4"/>
  <c r="Y36" i="4"/>
  <c r="Y38" i="4" s="1"/>
  <c r="O76" i="4" l="1"/>
  <c r="O123" i="4"/>
  <c r="O85" i="4"/>
  <c r="P30" i="4"/>
  <c r="P31" i="4" s="1"/>
  <c r="Y39" i="4"/>
  <c r="Y86" i="4" s="1"/>
  <c r="P138" i="4" l="1"/>
  <c r="P79" i="4"/>
  <c r="P141" i="4"/>
  <c r="Z36" i="4"/>
  <c r="Z38" i="4" s="1"/>
  <c r="P32" i="4" l="1"/>
  <c r="Z39" i="4"/>
  <c r="Z86" i="4" s="1"/>
  <c r="P76" i="4" l="1"/>
  <c r="P123" i="4"/>
  <c r="P85" i="4"/>
  <c r="Q28" i="4"/>
  <c r="AA36" i="4"/>
  <c r="AA38" i="4" s="1"/>
  <c r="Q30" i="4" l="1"/>
  <c r="Q31" i="4" s="1"/>
  <c r="AA39" i="4"/>
  <c r="AA86" i="4" s="1"/>
  <c r="Q138" i="4" l="1"/>
  <c r="Q79" i="4"/>
  <c r="Q141" i="4"/>
  <c r="AB36" i="4"/>
  <c r="AB38" i="4" s="1"/>
  <c r="Q32" i="4" l="1"/>
  <c r="AB39" i="4"/>
  <c r="AB86" i="4" s="1"/>
  <c r="Q76" i="4" l="1"/>
  <c r="Q85" i="4"/>
  <c r="Q123" i="4"/>
  <c r="R28" i="4"/>
  <c r="AC36" i="4"/>
  <c r="AC38" i="4" s="1"/>
  <c r="R30" i="4" l="1"/>
  <c r="AC39" i="4"/>
  <c r="AC86" i="4" s="1"/>
  <c r="R31" i="4" l="1"/>
  <c r="R141" i="4" s="1"/>
  <c r="R79" i="4"/>
  <c r="R138" i="4"/>
  <c r="AD36" i="4"/>
  <c r="AD38" i="4" s="1"/>
  <c r="R32" i="4" l="1"/>
  <c r="AD39" i="4"/>
  <c r="AD86" i="4" s="1"/>
  <c r="R85" i="4" l="1"/>
  <c r="R123" i="4"/>
  <c r="R76" i="4"/>
  <c r="S28" i="4"/>
  <c r="AE36" i="4"/>
  <c r="AE38" i="4" s="1"/>
  <c r="S30" i="4" l="1"/>
  <c r="AE39" i="4"/>
  <c r="AE86" i="4" s="1"/>
  <c r="S138" i="4" l="1"/>
  <c r="S79" i="4"/>
  <c r="S31" i="4"/>
  <c r="S141" i="4" s="1"/>
  <c r="AF36" i="4"/>
  <c r="AF38" i="4" s="1"/>
  <c r="S32" i="4" l="1"/>
  <c r="AF39" i="4"/>
  <c r="AF86" i="4" s="1"/>
  <c r="S76" i="4" l="1"/>
  <c r="T28" i="4"/>
  <c r="S123" i="4"/>
  <c r="S85" i="4"/>
  <c r="AG36" i="4"/>
  <c r="AG38" i="4" s="1"/>
  <c r="T30" i="4" l="1"/>
  <c r="AG39" i="4"/>
  <c r="AG86" i="4" s="1"/>
  <c r="T138" i="4" l="1"/>
  <c r="T79" i="4"/>
  <c r="T31" i="4"/>
  <c r="T141" i="4" l="1"/>
  <c r="T32" i="4"/>
  <c r="T123" i="4" l="1"/>
  <c r="U28" i="4"/>
  <c r="T85" i="4"/>
  <c r="T76" i="4"/>
  <c r="U30" i="4" l="1"/>
  <c r="U138" i="4" l="1"/>
  <c r="U79" i="4"/>
  <c r="U31" i="4"/>
  <c r="U141" i="4" s="1"/>
  <c r="U32" i="4" l="1"/>
  <c r="U123" i="4" l="1"/>
  <c r="U85" i="4"/>
  <c r="U76" i="4"/>
  <c r="V28" i="4"/>
  <c r="V30" i="4" l="1"/>
  <c r="V79" i="4" l="1"/>
  <c r="V138" i="4"/>
  <c r="V31" i="4"/>
  <c r="V141" i="4" s="1"/>
  <c r="V32" i="4" l="1"/>
  <c r="V76" i="4" l="1"/>
  <c r="V123" i="4"/>
  <c r="V85" i="4"/>
  <c r="W28" i="4"/>
  <c r="W30" i="4" l="1"/>
  <c r="W31" i="4" s="1"/>
  <c r="W141" i="4" l="1"/>
  <c r="W32" i="4"/>
  <c r="W123" i="4" s="1"/>
  <c r="W138" i="4"/>
  <c r="W79" i="4"/>
  <c r="W76" i="4" l="1"/>
  <c r="X28" i="4"/>
  <c r="X30" i="4" s="1"/>
  <c r="X31" i="4" s="1"/>
  <c r="W85" i="4"/>
  <c r="X138" i="4" l="1"/>
  <c r="X79" i="4"/>
  <c r="X141" i="4"/>
  <c r="X32" i="4" l="1"/>
  <c r="X85" i="4" l="1"/>
  <c r="X123" i="4"/>
  <c r="X76" i="4"/>
  <c r="Y28" i="4"/>
  <c r="Y30" i="4" l="1"/>
  <c r="Y31" i="4" s="1"/>
  <c r="Y138" i="4" l="1"/>
  <c r="Y79" i="4"/>
  <c r="Y141" i="4"/>
  <c r="Y32" i="4" l="1"/>
  <c r="Y76" i="4" l="1"/>
  <c r="Z28" i="4"/>
  <c r="Y123" i="4"/>
  <c r="Y85" i="4"/>
  <c r="Z30" i="4" l="1"/>
  <c r="Z31" i="4" s="1"/>
  <c r="Z141" i="4" l="1"/>
  <c r="Z32" i="4"/>
  <c r="Z138" i="4"/>
  <c r="Z79" i="4"/>
  <c r="Z76" i="4" l="1"/>
  <c r="AA28" i="4"/>
  <c r="Z85" i="4"/>
  <c r="Z123" i="4"/>
  <c r="AA30" i="4" l="1"/>
  <c r="AA31" i="4" s="1"/>
  <c r="AH55" i="4"/>
  <c r="Y15" i="4" s="1"/>
  <c r="AA79" i="4" l="1"/>
  <c r="AA138" i="4"/>
  <c r="AA141" i="4" l="1"/>
  <c r="AA32" i="4"/>
  <c r="AA76" i="4" l="1"/>
  <c r="AA85" i="4"/>
  <c r="AB28" i="4"/>
  <c r="AA123" i="4"/>
  <c r="AB30" i="4" l="1"/>
  <c r="AB31" i="4" s="1"/>
  <c r="AB138" i="4" l="1"/>
  <c r="AB79" i="4"/>
  <c r="AB141" i="4"/>
  <c r="AB32" i="4" l="1"/>
  <c r="AB76" i="4" l="1"/>
  <c r="AB123" i="4"/>
  <c r="AC28" i="4"/>
  <c r="AB85" i="4"/>
  <c r="AC30" i="4" l="1"/>
  <c r="AC31" i="4" s="1"/>
  <c r="AC79" i="4" l="1"/>
  <c r="AC138" i="4"/>
  <c r="AC141" i="4"/>
  <c r="AC32" i="4" l="1"/>
  <c r="AD28" i="4" l="1"/>
  <c r="AC123" i="4"/>
  <c r="AC76" i="4"/>
  <c r="AC85" i="4"/>
  <c r="AD30" i="4" l="1"/>
  <c r="AD31" i="4" s="1"/>
  <c r="AD138" i="4" l="1"/>
  <c r="AD79" i="4"/>
  <c r="AD141" i="4" l="1"/>
  <c r="AD32" i="4"/>
  <c r="AD76" i="4" l="1"/>
  <c r="AD123" i="4"/>
  <c r="AD85" i="4"/>
  <c r="AE28" i="4"/>
  <c r="AE30" i="4" l="1"/>
  <c r="AE31" i="4" l="1"/>
  <c r="AE141" i="4" s="1"/>
  <c r="AE79" i="4"/>
  <c r="AE138" i="4"/>
  <c r="AE32" i="4" l="1"/>
  <c r="AE76" i="4" s="1"/>
  <c r="AE123" i="4" l="1"/>
  <c r="AE85" i="4"/>
  <c r="AF28" i="4"/>
  <c r="AF30" i="4" s="1"/>
  <c r="AF31" i="4" s="1"/>
  <c r="AF79" i="4" l="1"/>
  <c r="AF138" i="4"/>
  <c r="AF141" i="4"/>
  <c r="AF32" i="4" l="1"/>
  <c r="AF85" i="4" l="1"/>
  <c r="AF76" i="4"/>
  <c r="AG28" i="4"/>
  <c r="AF123" i="4"/>
  <c r="AG30" i="4" l="1"/>
  <c r="AG31" i="4" l="1"/>
  <c r="AG141" i="4" s="1"/>
  <c r="AG79" i="4"/>
  <c r="AG138" i="4"/>
  <c r="AG32" i="4" l="1"/>
  <c r="AG76" i="4" s="1"/>
  <c r="C73" i="4" l="1"/>
  <c r="AG123" i="4"/>
  <c r="AG85" i="4"/>
  <c r="C81" i="4" l="1"/>
  <c r="D71" i="4" s="1"/>
  <c r="D114" i="4" s="1"/>
  <c r="C84" i="4" l="1"/>
  <c r="C88" i="4" s="1"/>
  <c r="C89" i="4" s="1"/>
  <c r="D74" i="4"/>
  <c r="D78" i="4"/>
  <c r="D77" i="4"/>
  <c r="D99" i="4"/>
  <c r="D100" i="4" s="1"/>
  <c r="D106" i="4" l="1"/>
  <c r="D107" i="4" s="1"/>
  <c r="D108" i="4" s="1"/>
  <c r="D119" i="4" s="1"/>
  <c r="C91" i="4"/>
  <c r="C92" i="4" s="1"/>
  <c r="D118" i="4"/>
  <c r="D124" i="4" s="1"/>
  <c r="D125" i="4" l="1"/>
  <c r="D126" i="4" s="1"/>
  <c r="D130" i="4" s="1"/>
  <c r="C140" i="4"/>
  <c r="C143" i="4" s="1"/>
  <c r="D120" i="4" l="1"/>
  <c r="E117" i="4" s="1"/>
  <c r="D139" i="4"/>
  <c r="D75" i="4"/>
  <c r="D80" i="4" s="1"/>
  <c r="D81" i="4" s="1"/>
  <c r="D84" i="4" s="1"/>
  <c r="E71" i="4" l="1"/>
  <c r="E114" i="4" s="1"/>
  <c r="E99" i="4" l="1"/>
  <c r="E100" i="4" s="1"/>
  <c r="E77" i="4"/>
  <c r="E74" i="4"/>
  <c r="E78" i="4"/>
  <c r="E118" i="4" l="1"/>
  <c r="E124" i="4" s="1"/>
  <c r="E106" i="4"/>
  <c r="E107" i="4" s="1"/>
  <c r="E108" i="4" s="1"/>
  <c r="E119" i="4" s="1"/>
  <c r="E125" i="4" l="1"/>
  <c r="E126" i="4" s="1"/>
  <c r="E139" i="4" l="1"/>
  <c r="E75" i="4"/>
  <c r="E80" i="4" s="1"/>
  <c r="E81" i="4" s="1"/>
  <c r="E84" i="4" s="1"/>
  <c r="E120" i="4"/>
  <c r="F117" i="4" s="1"/>
  <c r="F71" i="4" l="1"/>
  <c r="F114" i="4" s="1"/>
  <c r="F74" i="4" l="1"/>
  <c r="F77" i="4"/>
  <c r="F78" i="4"/>
  <c r="F99" i="4"/>
  <c r="F100" i="4" s="1"/>
  <c r="F106" i="4" l="1"/>
  <c r="F107" i="4" s="1"/>
  <c r="F108" i="4" s="1"/>
  <c r="F119" i="4" s="1"/>
  <c r="F125" i="4" s="1"/>
  <c r="F118" i="4"/>
  <c r="F124" i="4" s="1"/>
  <c r="F126" i="4" l="1"/>
  <c r="F139" i="4" s="1"/>
  <c r="F120" i="4"/>
  <c r="G117" i="4" s="1"/>
  <c r="F75" i="4" l="1"/>
  <c r="F80" i="4" s="1"/>
  <c r="F81" i="4" s="1"/>
  <c r="G71" i="4" s="1"/>
  <c r="F84" i="4" l="1"/>
  <c r="G99" i="4"/>
  <c r="G114" i="4"/>
  <c r="G77" i="4"/>
  <c r="G74" i="4"/>
  <c r="G78" i="4"/>
  <c r="G100" i="4" l="1"/>
  <c r="G118" i="4"/>
  <c r="G106" i="4"/>
  <c r="G107" i="4" s="1"/>
  <c r="G108" i="4" s="1"/>
  <c r="G119" i="4" s="1"/>
  <c r="G125" i="4" l="1"/>
  <c r="G124" i="4"/>
  <c r="G120" i="4"/>
  <c r="H117" i="4" s="1"/>
  <c r="G126" i="4" l="1"/>
  <c r="G139" i="4" l="1"/>
  <c r="G75" i="4"/>
  <c r="G80" i="4" s="1"/>
  <c r="G81" i="4" s="1"/>
  <c r="H71" i="4" l="1"/>
  <c r="G84" i="4"/>
  <c r="H99" i="4" l="1"/>
  <c r="H77" i="4"/>
  <c r="H74" i="4"/>
  <c r="H78" i="4"/>
  <c r="H114" i="4"/>
  <c r="H100" i="4" l="1"/>
  <c r="H118" i="4"/>
  <c r="H106" i="4"/>
  <c r="H107" i="4" s="1"/>
  <c r="H108" i="4" s="1"/>
  <c r="H119" i="4" s="1"/>
  <c r="H124" i="4" l="1"/>
  <c r="H125" i="4"/>
  <c r="H120" i="4" l="1"/>
  <c r="I117" i="4" s="1"/>
  <c r="H126" i="4"/>
  <c r="H139" i="4" l="1"/>
  <c r="H75" i="4"/>
  <c r="H80" i="4" s="1"/>
  <c r="H81" i="4" s="1"/>
  <c r="I71" i="4" l="1"/>
  <c r="H84" i="4"/>
  <c r="I114" i="4" l="1"/>
  <c r="I78" i="4"/>
  <c r="I77" i="4"/>
  <c r="I74" i="4"/>
  <c r="I99" i="4"/>
  <c r="I100" i="4" l="1"/>
  <c r="I106" i="4"/>
  <c r="I107" i="4" s="1"/>
  <c r="I108" i="4" s="1"/>
  <c r="I119" i="4" s="1"/>
  <c r="I118" i="4"/>
  <c r="I124" i="4" l="1"/>
  <c r="I120" i="4"/>
  <c r="J117" i="4" s="1"/>
  <c r="I125" i="4" l="1"/>
  <c r="I126" i="4" s="1"/>
  <c r="I75" i="4" l="1"/>
  <c r="I80" i="4" s="1"/>
  <c r="I81" i="4" s="1"/>
  <c r="I139" i="4"/>
  <c r="I84" i="4" l="1"/>
  <c r="J71" i="4"/>
  <c r="J114" i="4" l="1"/>
  <c r="J78" i="4"/>
  <c r="J77" i="4"/>
  <c r="J74" i="4"/>
  <c r="J99" i="4"/>
  <c r="J100" i="4" l="1"/>
  <c r="J118" i="4"/>
  <c r="J106" i="4"/>
  <c r="J107" i="4" s="1"/>
  <c r="J108" i="4" s="1"/>
  <c r="J119" i="4" s="1"/>
  <c r="J125" i="4" l="1"/>
  <c r="J124" i="4"/>
  <c r="J120" i="4"/>
  <c r="K117" i="4" s="1"/>
  <c r="J126" i="4" l="1"/>
  <c r="J139" i="4" l="1"/>
  <c r="J75" i="4"/>
  <c r="J80" i="4" s="1"/>
  <c r="J81" i="4" s="1"/>
  <c r="J84" i="4" l="1"/>
  <c r="K71" i="4"/>
  <c r="K114" i="4" l="1"/>
  <c r="K78" i="4"/>
  <c r="K74" i="4"/>
  <c r="K77" i="4"/>
  <c r="K99" i="4"/>
  <c r="K100" i="4" l="1"/>
  <c r="K118" i="4"/>
  <c r="K106" i="4"/>
  <c r="K107" i="4" s="1"/>
  <c r="K108" i="4" s="1"/>
  <c r="K119" i="4" s="1"/>
  <c r="K125" i="4" l="1"/>
  <c r="K124" i="4"/>
  <c r="K120" i="4"/>
  <c r="L117" i="4" s="1"/>
  <c r="K126" i="4" l="1"/>
  <c r="K75" i="4" s="1"/>
  <c r="K80" i="4" s="1"/>
  <c r="K81" i="4" s="1"/>
  <c r="K139" i="4" l="1"/>
  <c r="L71" i="4"/>
  <c r="K84" i="4"/>
  <c r="L99" i="4" l="1"/>
  <c r="L78" i="4"/>
  <c r="L74" i="4"/>
  <c r="L77" i="4"/>
  <c r="L114" i="4"/>
  <c r="L100" i="4" l="1"/>
  <c r="L118" i="4"/>
  <c r="L106" i="4"/>
  <c r="L107" i="4" s="1"/>
  <c r="L108" i="4" s="1"/>
  <c r="L119" i="4" s="1"/>
  <c r="L125" i="4" l="1"/>
  <c r="L124" i="4"/>
  <c r="L120" i="4"/>
  <c r="M117" i="4" s="1"/>
  <c r="L126" i="4" l="1"/>
  <c r="L139" i="4" l="1"/>
  <c r="L75" i="4"/>
  <c r="L80" i="4" s="1"/>
  <c r="L81" i="4" s="1"/>
  <c r="L84" i="4" l="1"/>
  <c r="M71" i="4"/>
  <c r="M114" i="4" l="1"/>
  <c r="M78" i="4"/>
  <c r="M74" i="4"/>
  <c r="M77" i="4"/>
  <c r="M99" i="4"/>
  <c r="M100" i="4" l="1"/>
  <c r="M118" i="4"/>
  <c r="M106" i="4"/>
  <c r="M107" i="4" s="1"/>
  <c r="M108" i="4" s="1"/>
  <c r="M119" i="4" s="1"/>
  <c r="M125" i="4" l="1"/>
  <c r="M124" i="4"/>
  <c r="M120" i="4" l="1"/>
  <c r="N117" i="4" s="1"/>
  <c r="M126" i="4"/>
  <c r="M139" i="4" l="1"/>
  <c r="M75" i="4"/>
  <c r="M80" i="4" s="1"/>
  <c r="M81" i="4" s="1"/>
  <c r="M84" i="4" l="1"/>
  <c r="N71" i="4"/>
  <c r="N114" i="4" l="1"/>
  <c r="N74" i="4"/>
  <c r="N78" i="4"/>
  <c r="N77" i="4"/>
  <c r="N99" i="4"/>
  <c r="N100" i="4" l="1"/>
  <c r="N118" i="4"/>
  <c r="N106" i="4"/>
  <c r="N107" i="4" s="1"/>
  <c r="N108" i="4" s="1"/>
  <c r="N119" i="4" s="1"/>
  <c r="N125" i="4" l="1"/>
  <c r="N124" i="4"/>
  <c r="N120" i="4"/>
  <c r="O117" i="4" s="1"/>
  <c r="N126" i="4" l="1"/>
  <c r="N75" i="4" l="1"/>
  <c r="N80" i="4" s="1"/>
  <c r="N81" i="4" s="1"/>
  <c r="N139" i="4"/>
  <c r="O71" i="4" l="1"/>
  <c r="N84" i="4"/>
  <c r="O99" i="4" l="1"/>
  <c r="O74" i="4"/>
  <c r="O78" i="4"/>
  <c r="O77" i="4"/>
  <c r="O114" i="4"/>
  <c r="O100" i="4" l="1"/>
  <c r="O118" i="4"/>
  <c r="O106" i="4"/>
  <c r="O107" i="4" s="1"/>
  <c r="O108" i="4" s="1"/>
  <c r="O119" i="4" s="1"/>
  <c r="O125" i="4" l="1"/>
  <c r="O124" i="4"/>
  <c r="O120" i="4"/>
  <c r="P117" i="4" s="1"/>
  <c r="O126" i="4" l="1"/>
  <c r="O75" i="4" l="1"/>
  <c r="O80" i="4" s="1"/>
  <c r="O81" i="4" s="1"/>
  <c r="O139" i="4"/>
  <c r="P71" i="4" l="1"/>
  <c r="O84" i="4"/>
  <c r="P99" i="4" l="1"/>
  <c r="P78" i="4"/>
  <c r="P77" i="4"/>
  <c r="P74" i="4"/>
  <c r="P114" i="4"/>
  <c r="P100" i="4" l="1"/>
  <c r="P118" i="4"/>
  <c r="P106" i="4"/>
  <c r="P107" i="4" s="1"/>
  <c r="P108" i="4" s="1"/>
  <c r="P119" i="4" s="1"/>
  <c r="P125" i="4" l="1"/>
  <c r="P124" i="4"/>
  <c r="P120" i="4"/>
  <c r="Q117" i="4" s="1"/>
  <c r="P126" i="4" l="1"/>
  <c r="P139" i="4" l="1"/>
  <c r="P75" i="4"/>
  <c r="P80" i="4" s="1"/>
  <c r="P81" i="4" s="1"/>
  <c r="Q71" i="4" l="1"/>
  <c r="P84" i="4"/>
  <c r="Q114" i="4" l="1"/>
  <c r="Q74" i="4"/>
  <c r="Q77" i="4"/>
  <c r="Q78" i="4"/>
  <c r="Q99" i="4"/>
  <c r="Q100" i="4" l="1"/>
  <c r="Q118" i="4"/>
  <c r="Q106" i="4"/>
  <c r="Q107" i="4" s="1"/>
  <c r="Q108" i="4" s="1"/>
  <c r="Q119" i="4" s="1"/>
  <c r="Q125" i="4" l="1"/>
  <c r="Q124" i="4"/>
  <c r="Q120" i="4"/>
  <c r="R117" i="4" s="1"/>
  <c r="Q126" i="4" l="1"/>
  <c r="Q75" i="4" s="1"/>
  <c r="Q80" i="4" s="1"/>
  <c r="Q81" i="4" s="1"/>
  <c r="Q139" i="4" l="1"/>
  <c r="Q84" i="4"/>
  <c r="R71" i="4"/>
  <c r="R99" i="4" l="1"/>
  <c r="R74" i="4"/>
  <c r="R78" i="4"/>
  <c r="R77" i="4"/>
  <c r="R114" i="4"/>
  <c r="R100" i="4" l="1"/>
  <c r="R118" i="4"/>
  <c r="R106" i="4"/>
  <c r="R107" i="4" s="1"/>
  <c r="R108" i="4" s="1"/>
  <c r="R119" i="4" s="1"/>
  <c r="R125" i="4" l="1"/>
  <c r="R124" i="4"/>
  <c r="R120" i="4"/>
  <c r="S117" i="4" s="1"/>
  <c r="R126" i="4" l="1"/>
  <c r="R139" i="4" l="1"/>
  <c r="R75" i="4"/>
  <c r="R80" i="4" s="1"/>
  <c r="R81" i="4" s="1"/>
  <c r="R84" i="4" l="1"/>
  <c r="S71" i="4"/>
  <c r="S114" i="4" l="1"/>
  <c r="S74" i="4"/>
  <c r="S78" i="4"/>
  <c r="S77" i="4"/>
  <c r="S99" i="4"/>
  <c r="S100" i="4" l="1"/>
  <c r="S118" i="4"/>
  <c r="S106" i="4"/>
  <c r="S107" i="4" s="1"/>
  <c r="S108" i="4" s="1"/>
  <c r="S119" i="4" s="1"/>
  <c r="S125" i="4" l="1"/>
  <c r="S124" i="4"/>
  <c r="S120" i="4"/>
  <c r="T117" i="4" s="1"/>
  <c r="S126" i="4" l="1"/>
  <c r="S75" i="4" l="1"/>
  <c r="S80" i="4" s="1"/>
  <c r="S81" i="4" s="1"/>
  <c r="S139" i="4"/>
  <c r="S84" i="4" l="1"/>
  <c r="T71" i="4"/>
  <c r="T99" i="4" l="1"/>
  <c r="T77" i="4"/>
  <c r="T74" i="4"/>
  <c r="T78" i="4"/>
  <c r="T114" i="4"/>
  <c r="T100" i="4" l="1"/>
  <c r="T118" i="4"/>
  <c r="T106" i="4"/>
  <c r="T107" i="4" s="1"/>
  <c r="T108" i="4" s="1"/>
  <c r="T119" i="4" s="1"/>
  <c r="T124" i="4" l="1"/>
  <c r="T120" i="4"/>
  <c r="U117" i="4" s="1"/>
  <c r="T125" i="4" l="1"/>
  <c r="T126" i="4" s="1"/>
  <c r="T75" i="4" l="1"/>
  <c r="T80" i="4" s="1"/>
  <c r="T81" i="4" s="1"/>
  <c r="T139" i="4"/>
  <c r="U71" i="4" l="1"/>
  <c r="T84" i="4"/>
  <c r="U99" i="4" l="1"/>
  <c r="U74" i="4"/>
  <c r="U78" i="4"/>
  <c r="U77" i="4"/>
  <c r="U114" i="4"/>
  <c r="U100" i="4" l="1"/>
  <c r="U118" i="4"/>
  <c r="U106" i="4"/>
  <c r="U107" i="4" s="1"/>
  <c r="U108" i="4" s="1"/>
  <c r="U119" i="4" s="1"/>
  <c r="U125" i="4" l="1"/>
  <c r="U124" i="4"/>
  <c r="U120" i="4" l="1"/>
  <c r="V117" i="4" s="1"/>
  <c r="U126" i="4"/>
  <c r="U75" i="4" l="1"/>
  <c r="U80" i="4" s="1"/>
  <c r="U81" i="4" s="1"/>
  <c r="U139" i="4"/>
  <c r="U84" i="4" l="1"/>
  <c r="V71" i="4"/>
  <c r="V114" i="4" l="1"/>
  <c r="V77" i="4"/>
  <c r="V74" i="4"/>
  <c r="V78" i="4"/>
  <c r="V99" i="4"/>
  <c r="V100" i="4" l="1"/>
  <c r="V118" i="4"/>
  <c r="V106" i="4"/>
  <c r="V107" i="4" s="1"/>
  <c r="V108" i="4" s="1"/>
  <c r="V119" i="4" s="1"/>
  <c r="V125" i="4" l="1"/>
  <c r="V124" i="4"/>
  <c r="V120" i="4"/>
  <c r="W117" i="4" s="1"/>
  <c r="V126" i="4" l="1"/>
  <c r="V139" i="4" l="1"/>
  <c r="V75" i="4"/>
  <c r="V80" i="4" s="1"/>
  <c r="V81" i="4" s="1"/>
  <c r="V84" i="4" l="1"/>
  <c r="W71" i="4"/>
  <c r="W114" i="4" l="1"/>
  <c r="W78" i="4"/>
  <c r="W74" i="4"/>
  <c r="W77" i="4"/>
  <c r="W99" i="4"/>
  <c r="W100" i="4" l="1"/>
  <c r="W118" i="4"/>
  <c r="W106" i="4"/>
  <c r="W107" i="4" s="1"/>
  <c r="W108" i="4" s="1"/>
  <c r="W119" i="4" s="1"/>
  <c r="W125" i="4" l="1"/>
  <c r="W124" i="4"/>
  <c r="W120" i="4"/>
  <c r="X117" i="4" s="1"/>
  <c r="W126" i="4" l="1"/>
  <c r="W139" i="4" l="1"/>
  <c r="W75" i="4"/>
  <c r="W80" i="4" s="1"/>
  <c r="W81" i="4" s="1"/>
  <c r="D87" i="4"/>
  <c r="D88" i="4" s="1"/>
  <c r="D89" i="4" s="1"/>
  <c r="D91" i="4" s="1"/>
  <c r="D127" i="4"/>
  <c r="D142" i="4" s="1"/>
  <c r="W84" i="4" l="1"/>
  <c r="X71" i="4"/>
  <c r="D92" i="4"/>
  <c r="D140" i="4" s="1"/>
  <c r="D143" i="4" s="1"/>
  <c r="E130" i="4"/>
  <c r="X114" i="4" l="1"/>
  <c r="X78" i="4"/>
  <c r="X74" i="4"/>
  <c r="X77" i="4"/>
  <c r="X99" i="4"/>
  <c r="E127" i="4"/>
  <c r="E87" i="4"/>
  <c r="E88" i="4" s="1"/>
  <c r="E89" i="4" s="1"/>
  <c r="X100" i="4" l="1"/>
  <c r="X118" i="4"/>
  <c r="X106" i="4"/>
  <c r="X107" i="4" s="1"/>
  <c r="X108" i="4" s="1"/>
  <c r="X119" i="4" s="1"/>
  <c r="E91" i="4"/>
  <c r="E92" i="4" s="1"/>
  <c r="E140" i="4" s="1"/>
  <c r="E142" i="4"/>
  <c r="F130" i="4"/>
  <c r="X125" i="4" l="1"/>
  <c r="X124" i="4"/>
  <c r="X120" i="4"/>
  <c r="Y117" i="4" s="1"/>
  <c r="E143" i="4"/>
  <c r="F87" i="4"/>
  <c r="F88" i="4" s="1"/>
  <c r="F89" i="4" s="1"/>
  <c r="F127" i="4"/>
  <c r="X126" i="4" l="1"/>
  <c r="X139" i="4" s="1"/>
  <c r="F142" i="4"/>
  <c r="G130" i="4"/>
  <c r="F91" i="4"/>
  <c r="F92" i="4" s="1"/>
  <c r="F140" i="4" s="1"/>
  <c r="X75" i="4" l="1"/>
  <c r="X80" i="4" s="1"/>
  <c r="X81" i="4" s="1"/>
  <c r="X84" i="4" s="1"/>
  <c r="F143" i="4"/>
  <c r="G87" i="4"/>
  <c r="G88" i="4" s="1"/>
  <c r="G89" i="4" s="1"/>
  <c r="G127" i="4"/>
  <c r="Y71" i="4" l="1"/>
  <c r="Y114" i="4" s="1"/>
  <c r="G91" i="4"/>
  <c r="G92" i="4" s="1"/>
  <c r="G140" i="4" s="1"/>
  <c r="G142" i="4"/>
  <c r="H130" i="4"/>
  <c r="Y99" i="4" l="1"/>
  <c r="Y118" i="4" s="1"/>
  <c r="Y78" i="4"/>
  <c r="Y77" i="4"/>
  <c r="Y74" i="4"/>
  <c r="G143" i="4"/>
  <c r="H87" i="4"/>
  <c r="H88" i="4" s="1"/>
  <c r="H89" i="4" s="1"/>
  <c r="H127" i="4"/>
  <c r="Y106" i="4" l="1"/>
  <c r="Y107" i="4" s="1"/>
  <c r="Y108" i="4" s="1"/>
  <c r="Y119" i="4" s="1"/>
  <c r="Y120" i="4" s="1"/>
  <c r="Z117" i="4" s="1"/>
  <c r="Y100" i="4"/>
  <c r="Y124" i="4"/>
  <c r="H142" i="4"/>
  <c r="I130" i="4"/>
  <c r="H91" i="4"/>
  <c r="H92" i="4" s="1"/>
  <c r="H140" i="4" s="1"/>
  <c r="Y125" i="4" l="1"/>
  <c r="Y126" i="4" s="1"/>
  <c r="H143" i="4"/>
  <c r="I87" i="4"/>
  <c r="I88" i="4" s="1"/>
  <c r="I89" i="4" s="1"/>
  <c r="I127" i="4"/>
  <c r="Y75" i="4" l="1"/>
  <c r="Y80" i="4" s="1"/>
  <c r="Y81" i="4" s="1"/>
  <c r="Y139" i="4"/>
  <c r="I142" i="4"/>
  <c r="J130" i="4"/>
  <c r="I91" i="4"/>
  <c r="I92" i="4" s="1"/>
  <c r="I140" i="4" s="1"/>
  <c r="Z71" i="4" l="1"/>
  <c r="Y84" i="4"/>
  <c r="I143" i="4"/>
  <c r="J87" i="4"/>
  <c r="J88" i="4" s="1"/>
  <c r="J89" i="4" s="1"/>
  <c r="J127" i="4"/>
  <c r="Z99" i="4" l="1"/>
  <c r="Z77" i="4"/>
  <c r="Z78" i="4"/>
  <c r="Z74" i="4"/>
  <c r="Z114" i="4"/>
  <c r="J142" i="4"/>
  <c r="K130" i="4"/>
  <c r="J91" i="4"/>
  <c r="J92" i="4" s="1"/>
  <c r="J140" i="4" s="1"/>
  <c r="Z100" i="4" l="1"/>
  <c r="Z118" i="4"/>
  <c r="Z106" i="4"/>
  <c r="Z107" i="4" s="1"/>
  <c r="Z108" i="4" s="1"/>
  <c r="Z119" i="4" s="1"/>
  <c r="J143" i="4"/>
  <c r="K87" i="4"/>
  <c r="K88" i="4" s="1"/>
  <c r="K89" i="4" s="1"/>
  <c r="K127" i="4"/>
  <c r="Z125" i="4" l="1"/>
  <c r="Z124" i="4"/>
  <c r="Z120" i="4"/>
  <c r="AA117" i="4" s="1"/>
  <c r="K142" i="4"/>
  <c r="L130" i="4"/>
  <c r="K91" i="4"/>
  <c r="K92" i="4" s="1"/>
  <c r="K140" i="4" s="1"/>
  <c r="K143" i="4" l="1"/>
  <c r="Z126" i="4"/>
  <c r="L127" i="4"/>
  <c r="L87" i="4"/>
  <c r="L88" i="4" s="1"/>
  <c r="L89" i="4" s="1"/>
  <c r="Z139" i="4" l="1"/>
  <c r="Z75" i="4"/>
  <c r="Z80" i="4" s="1"/>
  <c r="Z81" i="4" s="1"/>
  <c r="L142" i="4"/>
  <c r="M130" i="4"/>
  <c r="L91" i="4"/>
  <c r="L92" i="4" s="1"/>
  <c r="L140" i="4" s="1"/>
  <c r="Z84" i="4" l="1"/>
  <c r="AA71" i="4"/>
  <c r="L143" i="4"/>
  <c r="M127" i="4"/>
  <c r="M87" i="4"/>
  <c r="M88" i="4" s="1"/>
  <c r="M89" i="4" s="1"/>
  <c r="AA114" i="4" l="1"/>
  <c r="AA74" i="4"/>
  <c r="AA78" i="4"/>
  <c r="AA77" i="4"/>
  <c r="AA99" i="4"/>
  <c r="M91" i="4"/>
  <c r="M92" i="4" s="1"/>
  <c r="M140" i="4" s="1"/>
  <c r="M142" i="4"/>
  <c r="N130" i="4"/>
  <c r="AA100" i="4" l="1"/>
  <c r="AA118" i="4"/>
  <c r="AA106" i="4"/>
  <c r="AA107" i="4" s="1"/>
  <c r="AA108" i="4" s="1"/>
  <c r="AA119" i="4" s="1"/>
  <c r="M143" i="4"/>
  <c r="N127" i="4"/>
  <c r="N87" i="4"/>
  <c r="N88" i="4" s="1"/>
  <c r="N89" i="4" s="1"/>
  <c r="AA124" i="4" l="1"/>
  <c r="AA120" i="4"/>
  <c r="AB117" i="4" s="1"/>
  <c r="N91" i="4"/>
  <c r="N92" i="4" s="1"/>
  <c r="N140" i="4" s="1"/>
  <c r="N142" i="4"/>
  <c r="O130" i="4"/>
  <c r="AA125" i="4" l="1"/>
  <c r="AA126" i="4" s="1"/>
  <c r="N143" i="4"/>
  <c r="O127" i="4"/>
  <c r="O87" i="4"/>
  <c r="O88" i="4" s="1"/>
  <c r="O89" i="4" s="1"/>
  <c r="AA139" i="4" l="1"/>
  <c r="AA75" i="4"/>
  <c r="AA80" i="4" s="1"/>
  <c r="AA81" i="4" s="1"/>
  <c r="O91" i="4"/>
  <c r="O92" i="4" s="1"/>
  <c r="O140" i="4" s="1"/>
  <c r="O142" i="4"/>
  <c r="P130" i="4"/>
  <c r="AB71" i="4" l="1"/>
  <c r="AA84" i="4"/>
  <c r="O143" i="4"/>
  <c r="P127" i="4"/>
  <c r="P87" i="4"/>
  <c r="P88" i="4" s="1"/>
  <c r="P89" i="4" s="1"/>
  <c r="AB99" i="4" l="1"/>
  <c r="AB77" i="4"/>
  <c r="AB78" i="4"/>
  <c r="AB74" i="4"/>
  <c r="AB114" i="4"/>
  <c r="P91" i="4"/>
  <c r="P92" i="4" s="1"/>
  <c r="P140" i="4" s="1"/>
  <c r="P142" i="4"/>
  <c r="Q130" i="4"/>
  <c r="AB100" i="4" l="1"/>
  <c r="AB118" i="4"/>
  <c r="AB106" i="4"/>
  <c r="AB107" i="4" s="1"/>
  <c r="AB108" i="4" s="1"/>
  <c r="AB119" i="4" s="1"/>
  <c r="P143" i="4"/>
  <c r="Q87" i="4"/>
  <c r="Q88" i="4" s="1"/>
  <c r="Q89" i="4" s="1"/>
  <c r="Q127" i="4"/>
  <c r="AB125" i="4" l="1"/>
  <c r="AB124" i="4"/>
  <c r="AB120" i="4"/>
  <c r="AC117" i="4" s="1"/>
  <c r="Q142" i="4"/>
  <c r="R130" i="4"/>
  <c r="Q91" i="4"/>
  <c r="Q92" i="4" s="1"/>
  <c r="Q140" i="4" s="1"/>
  <c r="Q143" i="4" l="1"/>
  <c r="AB126" i="4"/>
  <c r="R87" i="4"/>
  <c r="R88" i="4" s="1"/>
  <c r="R89" i="4" s="1"/>
  <c r="R127" i="4"/>
  <c r="AB139" i="4" l="1"/>
  <c r="AB75" i="4"/>
  <c r="AB80" i="4" s="1"/>
  <c r="AB81" i="4" s="1"/>
  <c r="R142" i="4"/>
  <c r="S130" i="4"/>
  <c r="R91" i="4"/>
  <c r="R92" i="4" s="1"/>
  <c r="R140" i="4" s="1"/>
  <c r="AC71" i="4" l="1"/>
  <c r="AB84" i="4"/>
  <c r="R143" i="4"/>
  <c r="S127" i="4"/>
  <c r="S87" i="4"/>
  <c r="S88" i="4" s="1"/>
  <c r="S89" i="4" s="1"/>
  <c r="AC99" i="4" l="1"/>
  <c r="AC77" i="4"/>
  <c r="AC78" i="4"/>
  <c r="AC74" i="4"/>
  <c r="AC114" i="4"/>
  <c r="S91" i="4"/>
  <c r="S92" i="4" s="1"/>
  <c r="S140" i="4" s="1"/>
  <c r="S142" i="4"/>
  <c r="T130" i="4"/>
  <c r="AC100" i="4" l="1"/>
  <c r="AC118" i="4"/>
  <c r="AC106" i="4"/>
  <c r="AC107" i="4" s="1"/>
  <c r="AC108" i="4" s="1"/>
  <c r="AC119" i="4" s="1"/>
  <c r="S143" i="4"/>
  <c r="T87" i="4"/>
  <c r="T88" i="4" s="1"/>
  <c r="T89" i="4" s="1"/>
  <c r="T127" i="4"/>
  <c r="AC125" i="4" l="1"/>
  <c r="AC124" i="4"/>
  <c r="AC120" i="4"/>
  <c r="AD117" i="4" s="1"/>
  <c r="T142" i="4"/>
  <c r="U130" i="4"/>
  <c r="T91" i="4"/>
  <c r="T92" i="4" s="1"/>
  <c r="T140" i="4" s="1"/>
  <c r="T143" i="4" l="1"/>
  <c r="AC126" i="4"/>
  <c r="U127" i="4"/>
  <c r="U87" i="4"/>
  <c r="U88" i="4" s="1"/>
  <c r="U89" i="4" s="1"/>
  <c r="AC139" i="4" l="1"/>
  <c r="AC75" i="4"/>
  <c r="AC80" i="4" s="1"/>
  <c r="AC81" i="4" s="1"/>
  <c r="U91" i="4"/>
  <c r="U92" i="4" s="1"/>
  <c r="U140" i="4" s="1"/>
  <c r="U142" i="4"/>
  <c r="V130" i="4"/>
  <c r="AD71" i="4" l="1"/>
  <c r="AC84" i="4"/>
  <c r="U143" i="4"/>
  <c r="V127" i="4"/>
  <c r="V87" i="4"/>
  <c r="V88" i="4" s="1"/>
  <c r="V89" i="4" s="1"/>
  <c r="AD99" i="4" l="1"/>
  <c r="AD74" i="4"/>
  <c r="AD78" i="4"/>
  <c r="AD77" i="4"/>
  <c r="AD114" i="4"/>
  <c r="V91" i="4"/>
  <c r="V92" i="4" s="1"/>
  <c r="V140" i="4" s="1"/>
  <c r="V142" i="4"/>
  <c r="W130" i="4"/>
  <c r="AD100" i="4" l="1"/>
  <c r="AD118" i="4"/>
  <c r="AD106" i="4"/>
  <c r="AD107" i="4" s="1"/>
  <c r="AD108" i="4" s="1"/>
  <c r="AD119" i="4" s="1"/>
  <c r="V143" i="4"/>
  <c r="W127" i="4"/>
  <c r="W87" i="4"/>
  <c r="W88" i="4" s="1"/>
  <c r="AD125" i="4" l="1"/>
  <c r="AD124" i="4"/>
  <c r="AD120" i="4"/>
  <c r="AE117" i="4" s="1"/>
  <c r="W89" i="4"/>
  <c r="Y8" i="4"/>
  <c r="W142" i="4"/>
  <c r="X130" i="4"/>
  <c r="AD126" i="4" l="1"/>
  <c r="X127" i="4"/>
  <c r="X87" i="4"/>
  <c r="X88" i="4" s="1"/>
  <c r="X89" i="4" s="1"/>
  <c r="W91" i="4"/>
  <c r="W92" i="4" s="1"/>
  <c r="W140" i="4" s="1"/>
  <c r="W143" i="4" s="1"/>
  <c r="AD75" i="4" l="1"/>
  <c r="AD80" i="4" s="1"/>
  <c r="AD81" i="4" s="1"/>
  <c r="AD139" i="4"/>
  <c r="X91" i="4"/>
  <c r="X92" i="4" s="1"/>
  <c r="X140" i="4" s="1"/>
  <c r="X142" i="4"/>
  <c r="Y130" i="4"/>
  <c r="AD84" i="4" l="1"/>
  <c r="AE71" i="4"/>
  <c r="X143" i="4"/>
  <c r="Y87" i="4"/>
  <c r="Y88" i="4" s="1"/>
  <c r="Y89" i="4" s="1"/>
  <c r="Y127" i="4"/>
  <c r="AE99" i="4" l="1"/>
  <c r="AE78" i="4"/>
  <c r="AE74" i="4"/>
  <c r="AE77" i="4"/>
  <c r="AE114" i="4"/>
  <c r="Y142" i="4"/>
  <c r="Z130" i="4"/>
  <c r="Y91" i="4"/>
  <c r="Y92" i="4" s="1"/>
  <c r="Y140" i="4" s="1"/>
  <c r="Y143" i="4" l="1"/>
  <c r="AE100" i="4"/>
  <c r="AE118" i="4"/>
  <c r="AE106" i="4"/>
  <c r="AE107" i="4" s="1"/>
  <c r="AE108" i="4" s="1"/>
  <c r="AE119" i="4" s="1"/>
  <c r="Z127" i="4"/>
  <c r="Z87" i="4"/>
  <c r="Z88" i="4" s="1"/>
  <c r="Z89" i="4" s="1"/>
  <c r="AE125" i="4" l="1"/>
  <c r="AE124" i="4"/>
  <c r="AE120" i="4"/>
  <c r="AF117" i="4" s="1"/>
  <c r="Z91" i="4"/>
  <c r="Z92" i="4" s="1"/>
  <c r="Z140" i="4" s="1"/>
  <c r="Z142" i="4"/>
  <c r="AA130" i="4"/>
  <c r="AE126" i="4" l="1"/>
  <c r="Z143" i="4"/>
  <c r="AA127" i="4"/>
  <c r="AA87" i="4"/>
  <c r="AA88" i="4" s="1"/>
  <c r="AA89" i="4" s="1"/>
  <c r="AE139" i="4" l="1"/>
  <c r="AE75" i="4"/>
  <c r="AE80" i="4" s="1"/>
  <c r="AE81" i="4" s="1"/>
  <c r="AA91" i="4"/>
  <c r="AA92" i="4" s="1"/>
  <c r="AA140" i="4" s="1"/>
  <c r="AA142" i="4"/>
  <c r="AB130" i="4"/>
  <c r="AE84" i="4" l="1"/>
  <c r="AF71" i="4"/>
  <c r="AA143" i="4"/>
  <c r="AB127" i="4"/>
  <c r="AB87" i="4"/>
  <c r="AB88" i="4" s="1"/>
  <c r="AB89" i="4" s="1"/>
  <c r="AF114" i="4" l="1"/>
  <c r="AF78" i="4"/>
  <c r="AF77" i="4"/>
  <c r="AF74" i="4"/>
  <c r="AF99" i="4"/>
  <c r="AB91" i="4"/>
  <c r="AB92" i="4" s="1"/>
  <c r="AB140" i="4" s="1"/>
  <c r="AB142" i="4"/>
  <c r="AC130" i="4"/>
  <c r="AF100" i="4" l="1"/>
  <c r="AF118" i="4"/>
  <c r="AF106" i="4"/>
  <c r="AF107" i="4" s="1"/>
  <c r="AF108" i="4" s="1"/>
  <c r="AF119" i="4" s="1"/>
  <c r="AB143" i="4"/>
  <c r="AC87" i="4"/>
  <c r="AC88" i="4" s="1"/>
  <c r="AC89" i="4" s="1"/>
  <c r="AC127" i="4"/>
  <c r="AF125" i="4" l="1"/>
  <c r="AF124" i="4"/>
  <c r="AF120" i="4"/>
  <c r="AG117" i="4" s="1"/>
  <c r="AC142" i="4"/>
  <c r="AD130" i="4"/>
  <c r="AC91" i="4"/>
  <c r="AC92" i="4" s="1"/>
  <c r="AC140" i="4" s="1"/>
  <c r="AF126" i="4" l="1"/>
  <c r="AC143" i="4"/>
  <c r="AD87" i="4"/>
  <c r="AD88" i="4" s="1"/>
  <c r="AD89" i="4" s="1"/>
  <c r="AD127" i="4"/>
  <c r="AF139" i="4" l="1"/>
  <c r="AF75" i="4"/>
  <c r="AF80" i="4" s="1"/>
  <c r="AF81" i="4" s="1"/>
  <c r="AD142" i="4"/>
  <c r="AE130" i="4"/>
  <c r="AD91" i="4"/>
  <c r="AD92" i="4" s="1"/>
  <c r="AD140" i="4" s="1"/>
  <c r="AD143" i="4" l="1"/>
  <c r="AF84" i="4"/>
  <c r="AG71" i="4"/>
  <c r="AE87" i="4"/>
  <c r="AE88" i="4" s="1"/>
  <c r="AE89" i="4" s="1"/>
  <c r="AE127" i="4"/>
  <c r="AG114" i="4" l="1"/>
  <c r="AG77" i="4"/>
  <c r="Y12" i="4" s="1"/>
  <c r="AG74" i="4"/>
  <c r="AG78" i="4"/>
  <c r="AG99" i="4"/>
  <c r="AE142" i="4"/>
  <c r="AF130" i="4"/>
  <c r="AE91" i="4"/>
  <c r="AE92" i="4" s="1"/>
  <c r="AE140" i="4" s="1"/>
  <c r="AG100" i="4" l="1"/>
  <c r="AG118" i="4"/>
  <c r="AG106" i="4"/>
  <c r="AG107" i="4" s="1"/>
  <c r="AG108" i="4" s="1"/>
  <c r="AG119" i="4" s="1"/>
  <c r="AE143" i="4"/>
  <c r="AF127" i="4"/>
  <c r="AF87" i="4"/>
  <c r="AF88" i="4" s="1"/>
  <c r="AF89" i="4" s="1"/>
  <c r="AG124" i="4" l="1"/>
  <c r="AG120" i="4"/>
  <c r="AF91" i="4"/>
  <c r="AF92" i="4" s="1"/>
  <c r="AF140" i="4" s="1"/>
  <c r="AF142" i="4"/>
  <c r="AG125" i="4" l="1"/>
  <c r="AG126" i="4" s="1"/>
  <c r="AF143" i="4"/>
  <c r="AG75" i="4" l="1"/>
  <c r="AG80" i="4" s="1"/>
  <c r="AG81" i="4" s="1"/>
  <c r="AG84" i="4" s="1"/>
  <c r="AG139" i="4"/>
  <c r="AG130" i="4"/>
  <c r="AG87" i="4" l="1"/>
  <c r="AG88" i="4" s="1"/>
  <c r="AG127" i="4"/>
  <c r="D132" i="4" l="1"/>
  <c r="AG142" i="4"/>
  <c r="Y9" i="4"/>
  <c r="D12" i="6" s="1"/>
  <c r="AG89" i="4"/>
  <c r="AG91" i="4" s="1"/>
  <c r="C12" i="6" s="1"/>
  <c r="AG92" i="4" l="1"/>
  <c r="AG140" i="4" s="1"/>
  <c r="AG143" i="4" s="1"/>
  <c r="C145" i="4" s="1"/>
  <c r="C147" i="4" s="1"/>
  <c r="Y13" i="4" l="1"/>
</calcChain>
</file>

<file path=xl/sharedStrings.xml><?xml version="1.0" encoding="utf-8"?>
<sst xmlns="http://schemas.openxmlformats.org/spreadsheetml/2006/main" count="161" uniqueCount="133">
  <si>
    <t>HOMEOWNER VARIABLES</t>
  </si>
  <si>
    <t>FUTUREPROOF VARIABLES</t>
  </si>
  <si>
    <t>Surplus/ Deficit</t>
  </si>
  <si>
    <t>20 years</t>
  </si>
  <si>
    <t>Home Value</t>
  </si>
  <si>
    <t>Cash Rate</t>
  </si>
  <si>
    <t>30 years</t>
  </si>
  <si>
    <t>Wholesale Margin</t>
  </si>
  <si>
    <t>LVR</t>
  </si>
  <si>
    <t>Retail Margin</t>
  </si>
  <si>
    <t>Max Loan</t>
  </si>
  <si>
    <t>Hedging</t>
  </si>
  <si>
    <t>FP Margin</t>
  </si>
  <si>
    <t>Variable costs</t>
  </si>
  <si>
    <t>Initial Loan</t>
  </si>
  <si>
    <t>Tenure of EPM</t>
  </si>
  <si>
    <t>years</t>
  </si>
  <si>
    <t>Annuity</t>
  </si>
  <si>
    <t>Annuity term</t>
  </si>
  <si>
    <t xml:space="preserve">Year </t>
  </si>
  <si>
    <t>Opening</t>
  </si>
  <si>
    <t>Drawdown day 1</t>
  </si>
  <si>
    <t>Drawdown for annuity</t>
  </si>
  <si>
    <t>Closing</t>
  </si>
  <si>
    <t>Customer loan account</t>
  </si>
  <si>
    <t>Annuity Paid</t>
  </si>
  <si>
    <t>Investment Account</t>
  </si>
  <si>
    <t>Day 1 Investment</t>
  </si>
  <si>
    <t>Investment Return</t>
  </si>
  <si>
    <t>Retailer NIM Payment</t>
  </si>
  <si>
    <t>Hedging costs (running)</t>
  </si>
  <si>
    <t>Annuity payment</t>
  </si>
  <si>
    <t>Surplus/ (Deficit)</t>
  </si>
  <si>
    <t>Retail NIM</t>
  </si>
  <si>
    <t>Share of surplus</t>
  </si>
  <si>
    <t>Repayment</t>
  </si>
  <si>
    <t>Total</t>
  </si>
  <si>
    <t>IRR</t>
  </si>
  <si>
    <t>VS Wholesale funding</t>
  </si>
  <si>
    <t>FutureProof</t>
  </si>
  <si>
    <t>Mini Model</t>
  </si>
  <si>
    <t>Key Assumptions</t>
  </si>
  <si>
    <t>Interest Deficit &lt;90% and &gt;100%</t>
  </si>
  <si>
    <t>LMI Upfront Insurance</t>
  </si>
  <si>
    <t>Time Series Assumptions</t>
  </si>
  <si>
    <t>Upfront LMI costs</t>
  </si>
  <si>
    <t>Interest Payment</t>
  </si>
  <si>
    <t>Interest Holidays</t>
  </si>
  <si>
    <t>Interest Holiday Entry Flag</t>
  </si>
  <si>
    <t>Threshold of initial investment account (%)</t>
  </si>
  <si>
    <t>Threshold Amount</t>
  </si>
  <si>
    <t>Flag</t>
  </si>
  <si>
    <t>Interest Holiday Exit Flag</t>
  </si>
  <si>
    <t>Interest Holiday Account</t>
  </si>
  <si>
    <t>Open:</t>
  </si>
  <si>
    <t>Add: Interest Holiday</t>
  </si>
  <si>
    <t>Less: Repayment</t>
  </si>
  <si>
    <t>Close</t>
  </si>
  <si>
    <t>Total Interest Costs</t>
  </si>
  <si>
    <t>Interest Charged</t>
  </si>
  <si>
    <t>CHECK</t>
  </si>
  <si>
    <t>Fixed</t>
  </si>
  <si>
    <t>Hardcode</t>
  </si>
  <si>
    <t>Stochastic</t>
  </si>
  <si>
    <t>Volatility</t>
  </si>
  <si>
    <t>Investment Fund Return</t>
  </si>
  <si>
    <t>HardCode</t>
  </si>
  <si>
    <t>Investment fund return - Live</t>
  </si>
  <si>
    <t>Investment fund return - With Hedging</t>
  </si>
  <si>
    <t xml:space="preserve">Hedge </t>
  </si>
  <si>
    <t>Cap</t>
  </si>
  <si>
    <t>Floor</t>
  </si>
  <si>
    <t>Cash rate - fixed</t>
  </si>
  <si>
    <t>Cash rate - stochastic</t>
  </si>
  <si>
    <t>Cash Rate - live</t>
  </si>
  <si>
    <t>Mean Reversion</t>
  </si>
  <si>
    <t>Cumulatative return - Fixed</t>
  </si>
  <si>
    <t>Cumulatative return - hardcode</t>
  </si>
  <si>
    <t>Cumulatative return - stochastic</t>
  </si>
  <si>
    <t>Cumulatative return - live</t>
  </si>
  <si>
    <t>Cumulatative return - live with hedge</t>
  </si>
  <si>
    <t>CAGR ETF Return (raw)</t>
  </si>
  <si>
    <t>CAGR ETF Return (post hedge)</t>
  </si>
  <si>
    <t>CAGR ETF Return (post hedge cost)</t>
  </si>
  <si>
    <t>Interest Deficit Account</t>
  </si>
  <si>
    <t>Balance Sheet</t>
  </si>
  <si>
    <t>Add: Consumer Loan</t>
  </si>
  <si>
    <t>Less: Interest Deficit</t>
  </si>
  <si>
    <t>Premium to base returns on mortgage book</t>
  </si>
  <si>
    <t>Wind-up</t>
  </si>
  <si>
    <t>Less: Wind-up Repayment</t>
  </si>
  <si>
    <t>ETF investment return</t>
  </si>
  <si>
    <t>Interest received</t>
  </si>
  <si>
    <t>LMI Payment</t>
  </si>
  <si>
    <t>Repayment principal</t>
  </si>
  <si>
    <t>Repayment Interest Deficit (LMI)</t>
  </si>
  <si>
    <t>FutureProof income</t>
  </si>
  <si>
    <t>(NB Mean Reversion Method Needed for ETF)</t>
  </si>
  <si>
    <t>Repayment flag</t>
  </si>
  <si>
    <t>Count</t>
  </si>
  <si>
    <t>Repayment periods</t>
  </si>
  <si>
    <t>Repayment step</t>
  </si>
  <si>
    <t>S&amp;P 500</t>
  </si>
  <si>
    <t>Brownian</t>
  </si>
  <si>
    <t>Repayment Flag</t>
  </si>
  <si>
    <t>To be built</t>
  </si>
  <si>
    <t>speed of mean reversion</t>
  </si>
  <si>
    <t>Paths</t>
  </si>
  <si>
    <t>Max</t>
  </si>
  <si>
    <t>Min</t>
  </si>
  <si>
    <t>Median</t>
  </si>
  <si>
    <t>Average</t>
  </si>
  <si>
    <t>Count neg</t>
  </si>
  <si>
    <t>Long-term mean</t>
  </si>
  <si>
    <t>Expected return</t>
  </si>
  <si>
    <t>Average of paths</t>
  </si>
  <si>
    <t>Delta to average</t>
  </si>
  <si>
    <t>Median of paths</t>
  </si>
  <si>
    <t>Delta to median</t>
  </si>
  <si>
    <t>Implied return</t>
  </si>
  <si>
    <t>Cumulatative return - brownian</t>
  </si>
  <si>
    <t>Input</t>
  </si>
  <si>
    <t>30Y Surplus</t>
  </si>
  <si>
    <t>Parameter</t>
  </si>
  <si>
    <t>Funder share pre LMI</t>
  </si>
  <si>
    <t>Funder share post LMI</t>
  </si>
  <si>
    <t>Funder Interest Payment</t>
  </si>
  <si>
    <t>Loan from Funder</t>
  </si>
  <si>
    <t>Funder funding costs</t>
  </si>
  <si>
    <t>Less Funder Loan</t>
  </si>
  <si>
    <t>Funder Returns</t>
  </si>
  <si>
    <t>Funder returns</t>
  </si>
  <si>
    <t>Funder IRR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</si>
</sst>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;\(#,##0\);\-"/>
    <numFmt numFmtId="165" formatCode="0.00%;\(0.00%\);\-\%"/>
    <numFmt numFmtId="166" formatCode="0.00\x;\(0.00\x\);\-\ \x"/>
    <numFmt numFmtId="167" formatCode="0.0%;\(0.0%\);\-\%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10"/>
      <name val="Aptos Narrow"/>
      <family val="2"/>
      <scheme val="minor"/>
    </font>
    <font>
      <sz val="11"/>
      <name val="Aptos Narrow"/>
      <family val="2"/>
      <scheme val="minor"/>
    </font>
    <font>
      <sz val="11"/>
      <color indexed="12"/>
      <name val="Aptos Narrow"/>
      <family val="2"/>
      <scheme val="minor"/>
    </font>
    <font>
      <b/>
      <sz val="10"/>
      <color indexed="9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indexed="12"/>
      <name val="Calibri"/>
      <family val="2"/>
    </font>
    <font>
      <b/>
      <i/>
      <sz val="10"/>
      <color theme="1"/>
      <name val="Calibri"/>
      <family val="2"/>
    </font>
    <font>
      <sz val="10"/>
      <color indexed="10"/>
      <name val="Calibri"/>
      <family val="2"/>
    </font>
    <font>
      <i/>
      <sz val="10"/>
      <color theme="1"/>
      <name val="Calibri"/>
      <family val="2"/>
    </font>
    <font>
      <sz val="10"/>
      <name val="Calibri"/>
      <family val="2"/>
    </font>
    <font>
      <b/>
      <i/>
      <u/>
      <sz val="10"/>
      <color theme="1"/>
      <name val="Calibri"/>
      <family val="2"/>
    </font>
    <font>
      <i/>
      <sz val="10"/>
      <color rgb="FFFF0000"/>
      <name val="Calibri"/>
      <family val="2"/>
    </font>
    <font>
      <sz val="11"/>
      <color indexed="17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indexed="1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FFFF99"/>
        <bgColor indexed="64"/>
      </patternFill>
    </fill>
    <fill>
      <patternFill patternType="lightDown">
        <fgColor indexed="22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164" fontId="0" fillId="0" borderId="0" xfId="0" applyNumberFormat="1"/>
    <xf numFmtId="0" fontId="1" fillId="0" borderId="0" xfId="0" applyFont="1"/>
    <xf numFmtId="10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5" fillId="5" borderId="1" xfId="0" applyFont="1" applyFill="1" applyBorder="1"/>
    <xf numFmtId="0" fontId="5" fillId="5" borderId="4" xfId="0" applyFont="1" applyFill="1" applyBorder="1"/>
    <xf numFmtId="0" fontId="6" fillId="0" borderId="0" xfId="0" applyFont="1"/>
    <xf numFmtId="0" fontId="7" fillId="4" borderId="0" xfId="0" applyFont="1" applyFill="1"/>
    <xf numFmtId="0" fontId="6" fillId="4" borderId="0" xfId="0" applyFont="1" applyFill="1"/>
    <xf numFmtId="0" fontId="7" fillId="0" borderId="0" xfId="0" applyFont="1"/>
    <xf numFmtId="164" fontId="6" fillId="0" borderId="0" xfId="0" applyNumberFormat="1" applyFont="1"/>
    <xf numFmtId="10" fontId="8" fillId="3" borderId="0" xfId="0" applyNumberFormat="1" applyFont="1" applyFill="1"/>
    <xf numFmtId="165" fontId="6" fillId="0" borderId="0" xfId="0" applyNumberFormat="1" applyFont="1"/>
    <xf numFmtId="0" fontId="6" fillId="2" borderId="2" xfId="0" applyFont="1" applyFill="1" applyBorder="1"/>
    <xf numFmtId="165" fontId="6" fillId="2" borderId="0" xfId="0" applyNumberFormat="1" applyFont="1" applyFill="1"/>
    <xf numFmtId="10" fontId="6" fillId="0" borderId="0" xfId="0" applyNumberFormat="1" applyFont="1"/>
    <xf numFmtId="0" fontId="9" fillId="4" borderId="0" xfId="0" applyFont="1" applyFill="1"/>
    <xf numFmtId="0" fontId="9" fillId="0" borderId="0" xfId="0" applyFont="1"/>
    <xf numFmtId="0" fontId="6" fillId="0" borderId="1" xfId="0" applyFont="1" applyBorder="1"/>
    <xf numFmtId="164" fontId="6" fillId="0" borderId="1" xfId="0" applyNumberFormat="1" applyFont="1" applyBorder="1"/>
    <xf numFmtId="164" fontId="10" fillId="0" borderId="0" xfId="0" applyNumberFormat="1" applyFont="1"/>
    <xf numFmtId="0" fontId="7" fillId="0" borderId="1" xfId="0" applyFont="1" applyBorder="1"/>
    <xf numFmtId="164" fontId="7" fillId="0" borderId="1" xfId="0" applyNumberFormat="1" applyFont="1" applyBorder="1"/>
    <xf numFmtId="10" fontId="10" fillId="0" borderId="0" xfId="0" applyNumberFormat="1" applyFont="1"/>
    <xf numFmtId="0" fontId="11" fillId="0" borderId="0" xfId="0" applyFont="1"/>
    <xf numFmtId="0" fontId="9" fillId="0" borderId="1" xfId="0" applyFont="1" applyBorder="1"/>
    <xf numFmtId="10" fontId="12" fillId="0" borderId="0" xfId="0" applyNumberFormat="1" applyFont="1"/>
    <xf numFmtId="0" fontId="13" fillId="0" borderId="0" xfId="0" applyFont="1"/>
    <xf numFmtId="9" fontId="8" fillId="3" borderId="0" xfId="0" applyNumberFormat="1" applyFont="1" applyFill="1"/>
    <xf numFmtId="0" fontId="7" fillId="0" borderId="0" xfId="0" applyFont="1" applyAlignment="1">
      <alignment horizontal="right"/>
    </xf>
    <xf numFmtId="10" fontId="6" fillId="0" borderId="4" xfId="0" applyNumberFormat="1" applyFont="1" applyBorder="1"/>
    <xf numFmtId="0" fontId="6" fillId="0" borderId="5" xfId="0" applyFont="1" applyBorder="1"/>
    <xf numFmtId="10" fontId="6" fillId="0" borderId="1" xfId="0" applyNumberFormat="1" applyFont="1" applyBorder="1"/>
    <xf numFmtId="10" fontId="6" fillId="0" borderId="6" xfId="0" applyNumberFormat="1" applyFont="1" applyBorder="1"/>
    <xf numFmtId="0" fontId="6" fillId="0" borderId="7" xfId="0" applyFont="1" applyBorder="1"/>
    <xf numFmtId="0" fontId="6" fillId="0" borderId="9" xfId="0" applyFont="1" applyBorder="1"/>
    <xf numFmtId="10" fontId="10" fillId="0" borderId="4" xfId="0" applyNumberFormat="1" applyFont="1" applyBorder="1"/>
    <xf numFmtId="164" fontId="6" fillId="2" borderId="0" xfId="0" applyNumberFormat="1" applyFont="1" applyFill="1"/>
    <xf numFmtId="0" fontId="6" fillId="2" borderId="0" xfId="0" applyFont="1" applyFill="1"/>
    <xf numFmtId="0" fontId="14" fillId="0" borderId="0" xfId="0" applyFont="1"/>
    <xf numFmtId="164" fontId="8" fillId="6" borderId="0" xfId="0" applyNumberFormat="1" applyFont="1" applyFill="1"/>
    <xf numFmtId="10" fontId="8" fillId="6" borderId="0" xfId="0" applyNumberFormat="1" applyFont="1" applyFill="1"/>
    <xf numFmtId="164" fontId="6" fillId="0" borderId="3" xfId="0" applyNumberFormat="1" applyFont="1" applyBorder="1"/>
    <xf numFmtId="164" fontId="6" fillId="0" borderId="4" xfId="0" applyNumberFormat="1" applyFont="1" applyBorder="1"/>
    <xf numFmtId="9" fontId="8" fillId="6" borderId="0" xfId="0" applyNumberFormat="1" applyFont="1" applyFill="1"/>
    <xf numFmtId="0" fontId="6" fillId="7" borderId="0" xfId="0" applyFont="1" applyFill="1"/>
    <xf numFmtId="164" fontId="6" fillId="7" borderId="0" xfId="0" applyNumberFormat="1" applyFont="1" applyFill="1"/>
    <xf numFmtId="10" fontId="12" fillId="0" borderId="1" xfId="0" applyNumberFormat="1" applyFont="1" applyBorder="1"/>
    <xf numFmtId="0" fontId="10" fillId="0" borderId="0" xfId="0" applyFont="1"/>
    <xf numFmtId="10" fontId="10" fillId="0" borderId="1" xfId="0" applyNumberFormat="1" applyFont="1" applyBorder="1"/>
    <xf numFmtId="0" fontId="6" fillId="0" borderId="4" xfId="0" applyFont="1" applyBorder="1"/>
    <xf numFmtId="0" fontId="4" fillId="0" borderId="0" xfId="0" applyFont="1"/>
    <xf numFmtId="0" fontId="9" fillId="9" borderId="0" xfId="0" applyFont="1" applyFill="1"/>
    <xf numFmtId="0" fontId="6" fillId="9" borderId="0" xfId="0" applyFont="1" applyFill="1"/>
    <xf numFmtId="10" fontId="12" fillId="0" borderId="4" xfId="0" applyNumberFormat="1" applyFont="1" applyBorder="1"/>
    <xf numFmtId="10" fontId="6" fillId="0" borderId="10" xfId="0" applyNumberFormat="1" applyFont="1" applyBorder="1"/>
    <xf numFmtId="167" fontId="0" fillId="0" borderId="0" xfId="0" applyNumberFormat="1"/>
    <xf numFmtId="9" fontId="3" fillId="0" borderId="0" xfId="0" applyNumberFormat="1" applyFont="1"/>
    <xf numFmtId="0" fontId="0" fillId="8" borderId="0" xfId="0" applyFill="1"/>
    <xf numFmtId="167" fontId="3" fillId="0" borderId="0" xfId="0" applyNumberFormat="1" applyFont="1"/>
    <xf numFmtId="10" fontId="7" fillId="0" borderId="0" xfId="0" applyNumberFormat="1" applyFont="1"/>
    <xf numFmtId="164" fontId="4" fillId="0" borderId="0" xfId="0" applyNumberFormat="1" applyFont="1"/>
    <xf numFmtId="164" fontId="3" fillId="0" borderId="0" xfId="0" applyNumberFormat="1" applyFont="1"/>
    <xf numFmtId="166" fontId="6" fillId="0" borderId="0" xfId="0" applyNumberFormat="1" applyFont="1"/>
    <xf numFmtId="166" fontId="6" fillId="0" borderId="8" xfId="0" applyNumberFormat="1" applyFont="1" applyBorder="1"/>
    <xf numFmtId="10" fontId="6" fillId="0" borderId="8" xfId="0" applyNumberFormat="1" applyFont="1" applyBorder="1"/>
    <xf numFmtId="166" fontId="6" fillId="0" borderId="6" xfId="0" applyNumberFormat="1" applyFont="1" applyBorder="1"/>
    <xf numFmtId="166" fontId="6" fillId="0" borderId="10" xfId="0" applyNumberFormat="1" applyFont="1" applyBorder="1"/>
    <xf numFmtId="0" fontId="11" fillId="0" borderId="5" xfId="0" applyFont="1" applyBorder="1"/>
    <xf numFmtId="164" fontId="10" fillId="0" borderId="1" xfId="0" applyNumberFormat="1" applyFont="1" applyBorder="1"/>
    <xf numFmtId="166" fontId="6" fillId="0" borderId="1" xfId="0" applyNumberFormat="1" applyFont="1" applyBorder="1"/>
    <xf numFmtId="0" fontId="11" fillId="0" borderId="7" xfId="0" applyFont="1" applyBorder="1"/>
    <xf numFmtId="0" fontId="11" fillId="0" borderId="12" xfId="0" applyFont="1" applyBorder="1"/>
    <xf numFmtId="164" fontId="10" fillId="0" borderId="13" xfId="0" applyNumberFormat="1" applyFont="1" applyBorder="1"/>
    <xf numFmtId="166" fontId="6" fillId="0" borderId="13" xfId="0" applyNumberFormat="1" applyFont="1" applyBorder="1"/>
    <xf numFmtId="166" fontId="6" fillId="0" borderId="11" xfId="0" applyNumberFormat="1" applyFont="1" applyBorder="1"/>
    <xf numFmtId="0" fontId="11" fillId="0" borderId="9" xfId="0" applyFont="1" applyBorder="1"/>
    <xf numFmtId="164" fontId="10" fillId="0" borderId="4" xfId="0" applyNumberFormat="1" applyFont="1" applyBorder="1"/>
    <xf numFmtId="166" fontId="6" fillId="0" borderId="4" xfId="0" applyNumberFormat="1" applyFont="1" applyBorder="1"/>
    <xf numFmtId="167" fontId="15" fillId="0" borderId="0" xfId="0" applyNumberFormat="1" applyFont="1"/>
    <xf numFmtId="164" fontId="15" fillId="0" borderId="0" xfId="0" applyNumberFormat="1" applyFont="1"/>
    <xf numFmtId="0" fontId="16" fillId="0" borderId="0" xfId="0" applyFont="1"/>
    <xf numFmtId="164" fontId="16" fillId="0" borderId="0" xfId="0" applyNumberFormat="1" applyFont="1"/>
    <xf numFmtId="164" fontId="17" fillId="0" borderId="0" xfId="0" applyNumberFormat="1" applyFont="1"/>
    <xf numFmtId="0" fontId="17" fillId="0" borderId="0" xfId="0" applyFont="1"/>
    <xf numFmtId="167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 cmpd="sng" algn="ctr">
              <a:solidFill>
                <a:srgbClr val="156082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Brownian!$C$17:$AH$17</c:f>
              <c:numCache>
                <c:formatCode>#,##0;\(#,##0\);\-</c:formatCode>
                <c:ptCount val="32"/>
                <c:pt idx="0">
                  <c:v>100</c:v>
                </c:pt>
                <c:pt idx="1">
                  <c:v>92.561827120579679</c:v>
                </c:pt>
                <c:pt idx="2">
                  <c:v>103.76723643181117</c:v>
                </c:pt>
                <c:pt idx="3">
                  <c:v>105.35771190542374</c:v>
                </c:pt>
                <c:pt idx="4">
                  <c:v>132.42326158077407</c:v>
                </c:pt>
                <c:pt idx="5">
                  <c:v>149.25255652250269</c:v>
                </c:pt>
                <c:pt idx="6">
                  <c:v>159.04635888645674</c:v>
                </c:pt>
                <c:pt idx="7">
                  <c:v>141.80542247260735</c:v>
                </c:pt>
                <c:pt idx="8">
                  <c:v>190.26953506482948</c:v>
                </c:pt>
                <c:pt idx="9">
                  <c:v>240.3716369785663</c:v>
                </c:pt>
                <c:pt idx="10">
                  <c:v>303.44901085426312</c:v>
                </c:pt>
                <c:pt idx="11">
                  <c:v>362.0973632735674</c:v>
                </c:pt>
                <c:pt idx="12">
                  <c:v>331.51363626931584</c:v>
                </c:pt>
                <c:pt idx="13">
                  <c:v>354.05849668572341</c:v>
                </c:pt>
                <c:pt idx="14">
                  <c:v>396.26530834414598</c:v>
                </c:pt>
                <c:pt idx="15">
                  <c:v>423.01291258797187</c:v>
                </c:pt>
                <c:pt idx="16">
                  <c:v>484.55778081631888</c:v>
                </c:pt>
                <c:pt idx="17">
                  <c:v>485.24744381380555</c:v>
                </c:pt>
                <c:pt idx="18">
                  <c:v>529.57732071751479</c:v>
                </c:pt>
                <c:pt idx="19">
                  <c:v>489.49387284345676</c:v>
                </c:pt>
                <c:pt idx="20">
                  <c:v>677.55529699673195</c:v>
                </c:pt>
                <c:pt idx="21">
                  <c:v>671.15065522805185</c:v>
                </c:pt>
                <c:pt idx="22">
                  <c:v>861.30320569718538</c:v>
                </c:pt>
                <c:pt idx="23">
                  <c:v>756.03009778461899</c:v>
                </c:pt>
                <c:pt idx="24">
                  <c:v>818.67363993537379</c:v>
                </c:pt>
                <c:pt idx="25">
                  <c:v>894.90887045784916</c:v>
                </c:pt>
                <c:pt idx="26">
                  <c:v>1190.7032477823382</c:v>
                </c:pt>
                <c:pt idx="27">
                  <c:v>993.26852838841501</c:v>
                </c:pt>
                <c:pt idx="28">
                  <c:v>1293.6068577954156</c:v>
                </c:pt>
                <c:pt idx="29">
                  <c:v>1303.4401732895838</c:v>
                </c:pt>
                <c:pt idx="30">
                  <c:v>1495.9831191623834</c:v>
                </c:pt>
                <c:pt idx="31">
                  <c:v>1635.3281239507144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43-40B4-B870-30E84ADE810F}"/>
            </c:ext>
          </c:extLst>
        </c:ser>
        <c:ser>
          <c:idx val="1"/>
          <c:order val="1"/>
          <c:spPr>
            <a:ln w="25400" cap="rnd" cmpd="sng" algn="ctr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Brownian!$C$18:$AH$18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118.14121947131369</c:v>
                </c:pt>
                <c:pt idx="2">
                  <c:v>123.06889511971184</c:v>
                </c:pt>
                <c:pt idx="3">
                  <c:v>138.23186436491153</c:v>
                </c:pt>
                <c:pt idx="4">
                  <c:v>184.81970986425415</c:v>
                </c:pt>
                <c:pt idx="5">
                  <c:v>212.69914963956995</c:v>
                </c:pt>
                <c:pt idx="6">
                  <c:v>198.04116168853281</c:v>
                </c:pt>
                <c:pt idx="7">
                  <c:v>198.94018444589256</c:v>
                </c:pt>
                <c:pt idx="8">
                  <c:v>176.40807725546921</c:v>
                </c:pt>
                <c:pt idx="9">
                  <c:v>200.45364172876907</c:v>
                </c:pt>
                <c:pt idx="10">
                  <c:v>244.78328287953426</c:v>
                </c:pt>
                <c:pt idx="11">
                  <c:v>254.32536235838739</c:v>
                </c:pt>
                <c:pt idx="12">
                  <c:v>310.62202601011052</c:v>
                </c:pt>
                <c:pt idx="13">
                  <c:v>372.75469048765461</c:v>
                </c:pt>
                <c:pt idx="14">
                  <c:v>405.60049807405505</c:v>
                </c:pt>
                <c:pt idx="15">
                  <c:v>528.04502076590904</c:v>
                </c:pt>
                <c:pt idx="16">
                  <c:v>514.38719334126176</c:v>
                </c:pt>
                <c:pt idx="17">
                  <c:v>584.05948944833233</c:v>
                </c:pt>
                <c:pt idx="18">
                  <c:v>599.79240569914646</c:v>
                </c:pt>
                <c:pt idx="19">
                  <c:v>601.61468717965863</c:v>
                </c:pt>
                <c:pt idx="20">
                  <c:v>818.95828241456286</c:v>
                </c:pt>
                <c:pt idx="21">
                  <c:v>835.55101291193205</c:v>
                </c:pt>
                <c:pt idx="22">
                  <c:v>771.94077035745113</c:v>
                </c:pt>
                <c:pt idx="23">
                  <c:v>860.28035338751715</c:v>
                </c:pt>
                <c:pt idx="24">
                  <c:v>973.1838569171465</c:v>
                </c:pt>
                <c:pt idx="25">
                  <c:v>1089.7045557773986</c:v>
                </c:pt>
                <c:pt idx="26">
                  <c:v>1245.8846847992197</c:v>
                </c:pt>
                <c:pt idx="27">
                  <c:v>1194.8479983128288</c:v>
                </c:pt>
                <c:pt idx="28">
                  <c:v>1212.7536472574243</c:v>
                </c:pt>
                <c:pt idx="29">
                  <c:v>1560.4585688901457</c:v>
                </c:pt>
                <c:pt idx="30">
                  <c:v>1709.8235025354477</c:v>
                </c:pt>
                <c:pt idx="31">
                  <c:v>1832.127052636039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43-40B4-B870-30E84ADE810F}"/>
            </c:ext>
          </c:extLst>
        </c:ser>
        <c:ser>
          <c:idx val="2"/>
          <c:order val="2"/>
          <c:spPr>
            <a:ln w="25400" cap="rnd" cmpd="sng" algn="ctr">
              <a:solidFill>
                <a:srgbClr val="196B24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Brownian!$C$19:$AH$19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117.00015968860914</c:v>
                </c:pt>
                <c:pt idx="2">
                  <c:v>148.15898073384932</c:v>
                </c:pt>
                <c:pt idx="3">
                  <c:v>175.8068826475108</c:v>
                </c:pt>
                <c:pt idx="4">
                  <c:v>144.25986592131841</c:v>
                </c:pt>
                <c:pt idx="5">
                  <c:v>139.19330063135314</c:v>
                </c:pt>
                <c:pt idx="6">
                  <c:v>143.35508009601193</c:v>
                </c:pt>
                <c:pt idx="7">
                  <c:v>185.32945116597921</c:v>
                </c:pt>
                <c:pt idx="8">
                  <c:v>206.26039090161032</c:v>
                </c:pt>
                <c:pt idx="9">
                  <c:v>254.37337472225283</c:v>
                </c:pt>
                <c:pt idx="10">
                  <c:v>263.93272611696398</c:v>
                </c:pt>
                <c:pt idx="11">
                  <c:v>274.00251225864827</c:v>
                </c:pt>
                <c:pt idx="12">
                  <c:v>270.34078652529445</c:v>
                </c:pt>
                <c:pt idx="13">
                  <c:v>311.78563058699228</c:v>
                </c:pt>
                <c:pt idx="14">
                  <c:v>372.02389551892162</c:v>
                </c:pt>
                <c:pt idx="15">
                  <c:v>436.97725031008872</c:v>
                </c:pt>
                <c:pt idx="16">
                  <c:v>410.12971802799518</c:v>
                </c:pt>
                <c:pt idx="17">
                  <c:v>516.37061366730325</c:v>
                </c:pt>
                <c:pt idx="18">
                  <c:v>584.83748802185858</c:v>
                </c:pt>
                <c:pt idx="19">
                  <c:v>657.10071879935367</c:v>
                </c:pt>
                <c:pt idx="20">
                  <c:v>729.77588491432175</c:v>
                </c:pt>
                <c:pt idx="21">
                  <c:v>561.76539381143857</c:v>
                </c:pt>
                <c:pt idx="22">
                  <c:v>766.87925875864107</c:v>
                </c:pt>
                <c:pt idx="23">
                  <c:v>733.57328015221037</c:v>
                </c:pt>
                <c:pt idx="24">
                  <c:v>1017.3551338398649</c:v>
                </c:pt>
                <c:pt idx="25">
                  <c:v>1097.0932557091342</c:v>
                </c:pt>
                <c:pt idx="26">
                  <c:v>1396.1857797558628</c:v>
                </c:pt>
                <c:pt idx="27">
                  <c:v>1682.0326514229732</c:v>
                </c:pt>
                <c:pt idx="28">
                  <c:v>1612.0797774078837</c:v>
                </c:pt>
                <c:pt idx="29">
                  <c:v>1579.9551263437336</c:v>
                </c:pt>
                <c:pt idx="30">
                  <c:v>1875.554095717122</c:v>
                </c:pt>
                <c:pt idx="31">
                  <c:v>1862.0495759582684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43-40B4-B870-30E84ADE810F}"/>
            </c:ext>
          </c:extLst>
        </c:ser>
        <c:ser>
          <c:idx val="3"/>
          <c:order val="3"/>
          <c:spPr>
            <a:ln w="25400" cap="rnd" cmpd="sng" algn="ctr">
              <a:solidFill>
                <a:srgbClr val="0F9ED5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Brownian!$C$20:$AH$20</c:f>
              <c:numCache>
                <c:formatCode>#,##0;\(#,##0\);\-</c:formatCode>
                <c:ptCount val="32"/>
                <c:pt idx="0">
                  <c:v>100</c:v>
                </c:pt>
                <c:pt idx="1">
                  <c:v>132.49673774376984</c:v>
                </c:pt>
                <c:pt idx="2">
                  <c:v>122.2418694863695</c:v>
                </c:pt>
                <c:pt idx="3">
                  <c:v>122.04148566292552</c:v>
                </c:pt>
                <c:pt idx="4">
                  <c:v>112.95709336142829</c:v>
                </c:pt>
                <c:pt idx="5">
                  <c:v>147.43969630514519</c:v>
                </c:pt>
                <c:pt idx="6">
                  <c:v>183.17581699945595</c:v>
                </c:pt>
                <c:pt idx="7">
                  <c:v>214.76507863684139</c:v>
                </c:pt>
                <c:pt idx="8">
                  <c:v>233.77647959739426</c:v>
                </c:pt>
                <c:pt idx="9">
                  <c:v>294.48876287177785</c:v>
                </c:pt>
                <c:pt idx="10">
                  <c:v>293.00735871890004</c:v>
                </c:pt>
                <c:pt idx="11">
                  <c:v>224.58840261007958</c:v>
                </c:pt>
                <c:pt idx="12">
                  <c:v>285.50468649018524</c:v>
                </c:pt>
                <c:pt idx="13">
                  <c:v>320.44707034770681</c:v>
                </c:pt>
                <c:pt idx="14">
                  <c:v>367.03000058770658</c:v>
                </c:pt>
                <c:pt idx="15">
                  <c:v>353.63229298996146</c:v>
                </c:pt>
                <c:pt idx="16">
                  <c:v>407.43075385431598</c:v>
                </c:pt>
                <c:pt idx="17">
                  <c:v>511.88033355402928</c:v>
                </c:pt>
                <c:pt idx="18">
                  <c:v>503.53341637341259</c:v>
                </c:pt>
                <c:pt idx="19">
                  <c:v>574.8873217369628</c:v>
                </c:pt>
                <c:pt idx="20">
                  <c:v>631.46178533815294</c:v>
                </c:pt>
                <c:pt idx="21">
                  <c:v>678.72781967093715</c:v>
                </c:pt>
                <c:pt idx="22">
                  <c:v>754.0973330852305</c:v>
                </c:pt>
                <c:pt idx="23">
                  <c:v>976.76072245715079</c:v>
                </c:pt>
                <c:pt idx="24">
                  <c:v>1213.7346602700359</c:v>
                </c:pt>
                <c:pt idx="25">
                  <c:v>1379.7004917561769</c:v>
                </c:pt>
                <c:pt idx="26">
                  <c:v>1065.1492150500703</c:v>
                </c:pt>
                <c:pt idx="27">
                  <c:v>1512.9193794144458</c:v>
                </c:pt>
                <c:pt idx="28">
                  <c:v>1403.889892721774</c:v>
                </c:pt>
                <c:pt idx="29">
                  <c:v>1789.8660898963667</c:v>
                </c:pt>
                <c:pt idx="30">
                  <c:v>1707.8500396675922</c:v>
                </c:pt>
                <c:pt idx="31">
                  <c:v>2200.667248604339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43-40B4-B870-30E84ADE810F}"/>
            </c:ext>
          </c:extLst>
        </c:ser>
        <c:ser>
          <c:idx val="4"/>
          <c:order val="4"/>
          <c:spPr>
            <a:ln w="25400" cap="rnd" cmpd="sng" algn="ctr">
              <a:solidFill>
                <a:srgbClr val="A02B93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Brownian!$C$21:$AH$21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106.75592659233237</c:v>
                </c:pt>
                <c:pt idx="2">
                  <c:v>96.054059718732191</c:v>
                </c:pt>
                <c:pt idx="3">
                  <c:v>116.13273103338297</c:v>
                </c:pt>
                <c:pt idx="4">
                  <c:v>143.12718164226735</c:v>
                </c:pt>
                <c:pt idx="5">
                  <c:v>182.5916168319655</c:v>
                </c:pt>
                <c:pt idx="6">
                  <c:v>164.93240923312382</c:v>
                </c:pt>
                <c:pt idx="7">
                  <c:v>204.62093940233947</c:v>
                </c:pt>
                <c:pt idx="8">
                  <c:v>198.28688390565409</c:v>
                </c:pt>
                <c:pt idx="9">
                  <c:v>230.48337163886436</c:v>
                </c:pt>
                <c:pt idx="10">
                  <c:v>278.09798595234088</c:v>
                </c:pt>
                <c:pt idx="11">
                  <c:v>239.76741590773554</c:v>
                </c:pt>
                <c:pt idx="12">
                  <c:v>290.24019639777788</c:v>
                </c:pt>
                <c:pt idx="13">
                  <c:v>323.10822239670972</c:v>
                </c:pt>
                <c:pt idx="14">
                  <c:v>429.80010587817054</c:v>
                </c:pt>
                <c:pt idx="15">
                  <c:v>450.14462436229832</c:v>
                </c:pt>
                <c:pt idx="16">
                  <c:v>498.86520046248995</c:v>
                </c:pt>
                <c:pt idx="17">
                  <c:v>463.63414383646455</c:v>
                </c:pt>
                <c:pt idx="18">
                  <c:v>503.58951707852839</c:v>
                </c:pt>
                <c:pt idx="19">
                  <c:v>545.07957337389041</c:v>
                </c:pt>
                <c:pt idx="20">
                  <c:v>591.20294589680793</c:v>
                </c:pt>
                <c:pt idx="21">
                  <c:v>703.60064953267431</c:v>
                </c:pt>
                <c:pt idx="22">
                  <c:v>771.80267305744076</c:v>
                </c:pt>
                <c:pt idx="23">
                  <c:v>847.03744739602462</c:v>
                </c:pt>
                <c:pt idx="24">
                  <c:v>1013.9723117918272</c:v>
                </c:pt>
                <c:pt idx="25">
                  <c:v>1013.6858367561961</c:v>
                </c:pt>
                <c:pt idx="26">
                  <c:v>1083.1906475183669</c:v>
                </c:pt>
                <c:pt idx="27">
                  <c:v>1239.7729914073393</c:v>
                </c:pt>
                <c:pt idx="28">
                  <c:v>1323.5623548336923</c:v>
                </c:pt>
                <c:pt idx="29">
                  <c:v>1628.3428198125534</c:v>
                </c:pt>
                <c:pt idx="30">
                  <c:v>1878.5100795661201</c:v>
                </c:pt>
                <c:pt idx="31">
                  <c:v>1604.588855770694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43-40B4-B870-30E84ADE810F}"/>
            </c:ext>
          </c:extLst>
        </c:ser>
        <c:ser>
          <c:idx val="5"/>
          <c:order val="5"/>
          <c:spPr>
            <a:ln w="25400" cap="rnd" cmpd="sng" algn="ctr">
              <a:solidFill>
                <a:srgbClr val="4EA72E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Brownian!$C$22:$AH$22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119.57871184525881</c:v>
                </c:pt>
                <c:pt idx="2">
                  <c:v>115.30354270644339</c:v>
                </c:pt>
                <c:pt idx="3">
                  <c:v>138.29959001178699</c:v>
                </c:pt>
                <c:pt idx="4">
                  <c:v>170.08986841769158</c:v>
                </c:pt>
                <c:pt idx="5">
                  <c:v>193.18993276749916</c:v>
                </c:pt>
                <c:pt idx="6">
                  <c:v>206.95598815252308</c:v>
                </c:pt>
                <c:pt idx="7">
                  <c:v>217.91552358358695</c:v>
                </c:pt>
                <c:pt idx="8">
                  <c:v>236.36844374739314</c:v>
                </c:pt>
                <c:pt idx="9">
                  <c:v>248.08577206903584</c:v>
                </c:pt>
                <c:pt idx="10">
                  <c:v>254.08749940105855</c:v>
                </c:pt>
                <c:pt idx="11">
                  <c:v>293.31478872587479</c:v>
                </c:pt>
                <c:pt idx="12">
                  <c:v>315.85701089543011</c:v>
                </c:pt>
                <c:pt idx="13">
                  <c:v>311.3794611268346</c:v>
                </c:pt>
                <c:pt idx="14">
                  <c:v>344.09211583466629</c:v>
                </c:pt>
                <c:pt idx="15">
                  <c:v>404.58784633643472</c:v>
                </c:pt>
                <c:pt idx="16">
                  <c:v>426.99690029248291</c:v>
                </c:pt>
                <c:pt idx="17">
                  <c:v>512.66388979770443</c:v>
                </c:pt>
                <c:pt idx="18">
                  <c:v>446.93437698701348</c:v>
                </c:pt>
                <c:pt idx="19">
                  <c:v>590.88102821566531</c:v>
                </c:pt>
                <c:pt idx="20">
                  <c:v>566.72481369760339</c:v>
                </c:pt>
                <c:pt idx="21">
                  <c:v>621.54214869027464</c:v>
                </c:pt>
                <c:pt idx="22">
                  <c:v>837.53326161396126</c:v>
                </c:pt>
                <c:pt idx="23">
                  <c:v>874.19771962639595</c:v>
                </c:pt>
                <c:pt idx="24">
                  <c:v>1024.2851537018296</c:v>
                </c:pt>
                <c:pt idx="25">
                  <c:v>1144.0356948034</c:v>
                </c:pt>
                <c:pt idx="26">
                  <c:v>1163.1596317730416</c:v>
                </c:pt>
                <c:pt idx="27">
                  <c:v>1092.1003250526937</c:v>
                </c:pt>
                <c:pt idx="28">
                  <c:v>1027.7399957644943</c:v>
                </c:pt>
                <c:pt idx="29">
                  <c:v>1249.699460551346</c:v>
                </c:pt>
                <c:pt idx="30">
                  <c:v>1316.4569200777803</c:v>
                </c:pt>
                <c:pt idx="31">
                  <c:v>1780.4588482877471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43-40B4-B870-30E84ADE810F}"/>
            </c:ext>
          </c:extLst>
        </c:ser>
        <c:ser>
          <c:idx val="6"/>
          <c:order val="6"/>
          <c:spPr>
            <a:ln w="25400" cap="rnd" cmpd="sng" algn="ctr">
              <a:solidFill>
                <a:srgbClr val="A0D7C9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Brownian!$C$23:$AH$23</c:f>
              <c:numCache>
                <c:formatCode>#,##0;\(#,##0\);\-</c:formatCode>
                <c:ptCount val="32"/>
                <c:pt idx="0">
                  <c:v>100</c:v>
                </c:pt>
                <c:pt idx="1">
                  <c:v>130.49057944858492</c:v>
                </c:pt>
                <c:pt idx="2">
                  <c:v>134.13250242334294</c:v>
                </c:pt>
                <c:pt idx="3">
                  <c:v>100.36464948739062</c:v>
                </c:pt>
                <c:pt idx="4">
                  <c:v>120.6172284574539</c:v>
                </c:pt>
                <c:pt idx="5">
                  <c:v>144.30908795225909</c:v>
                </c:pt>
                <c:pt idx="6">
                  <c:v>197.79028887642761</c:v>
                </c:pt>
                <c:pt idx="7">
                  <c:v>169.28153956231449</c:v>
                </c:pt>
                <c:pt idx="8">
                  <c:v>196.48388221760291</c:v>
                </c:pt>
                <c:pt idx="9">
                  <c:v>237.46376827795638</c:v>
                </c:pt>
                <c:pt idx="10">
                  <c:v>229.67442494999963</c:v>
                </c:pt>
                <c:pt idx="11">
                  <c:v>289.79090734607922</c:v>
                </c:pt>
                <c:pt idx="12">
                  <c:v>306.48770168898955</c:v>
                </c:pt>
                <c:pt idx="13">
                  <c:v>294.08076513465375</c:v>
                </c:pt>
                <c:pt idx="14">
                  <c:v>340.58841086596522</c:v>
                </c:pt>
                <c:pt idx="15">
                  <c:v>402.20033373729461</c:v>
                </c:pt>
                <c:pt idx="16">
                  <c:v>496.43321623307918</c:v>
                </c:pt>
                <c:pt idx="17">
                  <c:v>534.90892126000972</c:v>
                </c:pt>
                <c:pt idx="18">
                  <c:v>518.45341481238256</c:v>
                </c:pt>
                <c:pt idx="19">
                  <c:v>654.66583420987217</c:v>
                </c:pt>
                <c:pt idx="20">
                  <c:v>777.52130709800247</c:v>
                </c:pt>
                <c:pt idx="21">
                  <c:v>704.85077680347831</c:v>
                </c:pt>
                <c:pt idx="22">
                  <c:v>902.25759022292345</c:v>
                </c:pt>
                <c:pt idx="23">
                  <c:v>1070.0882096390053</c:v>
                </c:pt>
                <c:pt idx="24">
                  <c:v>1208.2462326711779</c:v>
                </c:pt>
                <c:pt idx="25">
                  <c:v>1403.7305671935446</c:v>
                </c:pt>
                <c:pt idx="26">
                  <c:v>1608.1651658935925</c:v>
                </c:pt>
                <c:pt idx="27">
                  <c:v>1694.9435733213036</c:v>
                </c:pt>
                <c:pt idx="28">
                  <c:v>1743.2662507256844</c:v>
                </c:pt>
                <c:pt idx="29">
                  <c:v>1708.4385485382445</c:v>
                </c:pt>
                <c:pt idx="30">
                  <c:v>1589.8612501401813</c:v>
                </c:pt>
                <c:pt idx="31">
                  <c:v>1820.0242595214672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43-40B4-B870-30E84ADE810F}"/>
            </c:ext>
          </c:extLst>
        </c:ser>
        <c:ser>
          <c:idx val="7"/>
          <c:order val="7"/>
          <c:spPr>
            <a:ln w="25400" cap="rnd" cmpd="sng" algn="ctr">
              <a:solidFill>
                <a:srgbClr val="FF948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Brownian!$C$24:$AH$24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109.92742246230927</c:v>
                </c:pt>
                <c:pt idx="2">
                  <c:v>115.81054123667252</c:v>
                </c:pt>
                <c:pt idx="3">
                  <c:v>126.46973923566949</c:v>
                </c:pt>
                <c:pt idx="4">
                  <c:v>143.56329168933257</c:v>
                </c:pt>
                <c:pt idx="5">
                  <c:v>154.8219423370341</c:v>
                </c:pt>
                <c:pt idx="6">
                  <c:v>208.61499005388876</c:v>
                </c:pt>
                <c:pt idx="7">
                  <c:v>193.50803792892407</c:v>
                </c:pt>
                <c:pt idx="8">
                  <c:v>163.47336393301538</c:v>
                </c:pt>
                <c:pt idx="9">
                  <c:v>212.58854289070888</c:v>
                </c:pt>
                <c:pt idx="10">
                  <c:v>308.70446761123463</c:v>
                </c:pt>
                <c:pt idx="11">
                  <c:v>330.91644944660459</c:v>
                </c:pt>
                <c:pt idx="12">
                  <c:v>386.89035918640974</c:v>
                </c:pt>
                <c:pt idx="13">
                  <c:v>374.28031171814973</c:v>
                </c:pt>
                <c:pt idx="14">
                  <c:v>370.15957115399272</c:v>
                </c:pt>
                <c:pt idx="15">
                  <c:v>364.77292402113324</c:v>
                </c:pt>
                <c:pt idx="16">
                  <c:v>448.25121694529355</c:v>
                </c:pt>
                <c:pt idx="17">
                  <c:v>508.13755951354057</c:v>
                </c:pt>
                <c:pt idx="18">
                  <c:v>561.35000169469072</c:v>
                </c:pt>
                <c:pt idx="19">
                  <c:v>565.17059360735641</c:v>
                </c:pt>
                <c:pt idx="20">
                  <c:v>639.43223365499102</c:v>
                </c:pt>
                <c:pt idx="21">
                  <c:v>719.54101870715022</c:v>
                </c:pt>
                <c:pt idx="22">
                  <c:v>859.24383332676871</c:v>
                </c:pt>
                <c:pt idx="23">
                  <c:v>969.45775082248213</c:v>
                </c:pt>
                <c:pt idx="24">
                  <c:v>969.91990913329573</c:v>
                </c:pt>
                <c:pt idx="25">
                  <c:v>1143.1581539438123</c:v>
                </c:pt>
                <c:pt idx="26">
                  <c:v>1175.2340240555272</c:v>
                </c:pt>
                <c:pt idx="27">
                  <c:v>1305.7882026092134</c:v>
                </c:pt>
                <c:pt idx="28">
                  <c:v>1353.5965175257695</c:v>
                </c:pt>
                <c:pt idx="29">
                  <c:v>1799.4504043793595</c:v>
                </c:pt>
                <c:pt idx="30">
                  <c:v>2029.9243302223538</c:v>
                </c:pt>
                <c:pt idx="31">
                  <c:v>1614.0672953754761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43-40B4-B870-30E84ADE810F}"/>
            </c:ext>
          </c:extLst>
        </c:ser>
        <c:ser>
          <c:idx val="8"/>
          <c:order val="8"/>
          <c:spPr>
            <a:ln w="25400" cap="rnd" cmpd="sng" algn="ctr">
              <a:solidFill>
                <a:srgbClr val="FFD281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Brownian!$C$25:$AH$25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115.86125169534263</c:v>
                </c:pt>
                <c:pt idx="2">
                  <c:v>130.65184156729026</c:v>
                </c:pt>
                <c:pt idx="3">
                  <c:v>143.99757910148725</c:v>
                </c:pt>
                <c:pt idx="4">
                  <c:v>145.62273211280456</c:v>
                </c:pt>
                <c:pt idx="5">
                  <c:v>150.05534910469785</c:v>
                </c:pt>
                <c:pt idx="6">
                  <c:v>172.73259914054427</c:v>
                </c:pt>
                <c:pt idx="7">
                  <c:v>216.26758733325408</c:v>
                </c:pt>
                <c:pt idx="8">
                  <c:v>220.59956717378236</c:v>
                </c:pt>
                <c:pt idx="9">
                  <c:v>210.98411347287509</c:v>
                </c:pt>
                <c:pt idx="10">
                  <c:v>228.83430456593686</c:v>
                </c:pt>
                <c:pt idx="11">
                  <c:v>261.60697998001046</c:v>
                </c:pt>
                <c:pt idx="12">
                  <c:v>314.30476276779177</c:v>
                </c:pt>
                <c:pt idx="13">
                  <c:v>315.65154046674036</c:v>
                </c:pt>
                <c:pt idx="14">
                  <c:v>383.45254458592444</c:v>
                </c:pt>
                <c:pt idx="15">
                  <c:v>486.06744745530068</c:v>
                </c:pt>
                <c:pt idx="16">
                  <c:v>518.04298878833924</c:v>
                </c:pt>
                <c:pt idx="17">
                  <c:v>568.65743088353327</c:v>
                </c:pt>
                <c:pt idx="18">
                  <c:v>473.93067776369878</c:v>
                </c:pt>
                <c:pt idx="19">
                  <c:v>446.37827265847619</c:v>
                </c:pt>
                <c:pt idx="20">
                  <c:v>582.02705997170233</c:v>
                </c:pt>
                <c:pt idx="21">
                  <c:v>640.39946258700979</c:v>
                </c:pt>
                <c:pt idx="22">
                  <c:v>816.00067845016497</c:v>
                </c:pt>
                <c:pt idx="23">
                  <c:v>1069.1230555273307</c:v>
                </c:pt>
                <c:pt idx="24">
                  <c:v>1274.9305950690714</c:v>
                </c:pt>
                <c:pt idx="25">
                  <c:v>1117.4293985622594</c:v>
                </c:pt>
                <c:pt idx="26">
                  <c:v>1297.2792406892797</c:v>
                </c:pt>
                <c:pt idx="27">
                  <c:v>1577.3746794891315</c:v>
                </c:pt>
                <c:pt idx="28">
                  <c:v>1830.222916078867</c:v>
                </c:pt>
                <c:pt idx="29">
                  <c:v>1633.1362613975243</c:v>
                </c:pt>
                <c:pt idx="30">
                  <c:v>1778.6206603516932</c:v>
                </c:pt>
                <c:pt idx="31">
                  <c:v>2386.1206059947185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43-40B4-B870-30E84ADE810F}"/>
            </c:ext>
          </c:extLst>
        </c:ser>
        <c:ser>
          <c:idx val="9"/>
          <c:order val="9"/>
          <c:spPr>
            <a:ln w="25400" cap="rnd" cmpd="sng" algn="ctr">
              <a:solidFill>
                <a:srgbClr val="8CCAF3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Brownian!$C$26:$AH$26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115.44931874549826</c:v>
                </c:pt>
                <c:pt idx="2">
                  <c:v>111.41299556438014</c:v>
                </c:pt>
                <c:pt idx="3">
                  <c:v>119.20462639845115</c:v>
                </c:pt>
                <c:pt idx="4">
                  <c:v>142.22331577206208</c:v>
                </c:pt>
                <c:pt idx="5">
                  <c:v>156.26108247811459</c:v>
                </c:pt>
                <c:pt idx="6">
                  <c:v>126.43500877125115</c:v>
                </c:pt>
                <c:pt idx="7">
                  <c:v>145.95960290481827</c:v>
                </c:pt>
                <c:pt idx="8">
                  <c:v>181.70339273793144</c:v>
                </c:pt>
                <c:pt idx="9">
                  <c:v>225.18773076895343</c:v>
                </c:pt>
                <c:pt idx="10">
                  <c:v>259.00407172735083</c:v>
                </c:pt>
                <c:pt idx="11">
                  <c:v>233.77342884575296</c:v>
                </c:pt>
                <c:pt idx="12">
                  <c:v>268.86736307388151</c:v>
                </c:pt>
                <c:pt idx="13">
                  <c:v>358.86336822761615</c:v>
                </c:pt>
                <c:pt idx="14">
                  <c:v>396.03580908814536</c:v>
                </c:pt>
                <c:pt idx="15">
                  <c:v>422.06318919696253</c:v>
                </c:pt>
                <c:pt idx="16">
                  <c:v>426.83372565056811</c:v>
                </c:pt>
                <c:pt idx="17">
                  <c:v>601.32265756946811</c:v>
                </c:pt>
                <c:pt idx="18">
                  <c:v>570.40583602290292</c:v>
                </c:pt>
                <c:pt idx="19">
                  <c:v>570.44173158596163</c:v>
                </c:pt>
                <c:pt idx="20">
                  <c:v>676.66781344980222</c:v>
                </c:pt>
                <c:pt idx="21">
                  <c:v>833.73279057378215</c:v>
                </c:pt>
                <c:pt idx="22">
                  <c:v>980.30014287206473</c:v>
                </c:pt>
                <c:pt idx="23">
                  <c:v>873.32469623590953</c:v>
                </c:pt>
                <c:pt idx="24">
                  <c:v>966.49682681935701</c:v>
                </c:pt>
                <c:pt idx="25">
                  <c:v>1140.8455854275546</c:v>
                </c:pt>
                <c:pt idx="26">
                  <c:v>1078.7778492104012</c:v>
                </c:pt>
                <c:pt idx="27">
                  <c:v>1300.8163712816668</c:v>
                </c:pt>
                <c:pt idx="28">
                  <c:v>1422.8437772629618</c:v>
                </c:pt>
                <c:pt idx="29">
                  <c:v>1621.3875891518651</c:v>
                </c:pt>
                <c:pt idx="30">
                  <c:v>1561.3201612198652</c:v>
                </c:pt>
                <c:pt idx="31">
                  <c:v>1860.5913522134956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43-40B4-B870-30E84ADE810F}"/>
            </c:ext>
          </c:extLst>
        </c:ser>
        <c:ser>
          <c:idx val="10"/>
          <c:order val="10"/>
          <c:spPr>
            <a:ln w="25400" cap="rnd" cmpd="sng" algn="ctr">
              <a:solidFill>
                <a:srgbClr val="C7B1D6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Brownian!$C$27:$AH$27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119.12682922908489</c:v>
                </c:pt>
                <c:pt idx="2">
                  <c:v>125.2377000644554</c:v>
                </c:pt>
                <c:pt idx="3">
                  <c:v>161.45598412589345</c:v>
                </c:pt>
                <c:pt idx="4">
                  <c:v>190.72144845654759</c:v>
                </c:pt>
                <c:pt idx="5">
                  <c:v>178.34645985261457</c:v>
                </c:pt>
                <c:pt idx="6">
                  <c:v>233.58367945273739</c:v>
                </c:pt>
                <c:pt idx="7">
                  <c:v>226.21176590644706</c:v>
                </c:pt>
                <c:pt idx="8">
                  <c:v>193.91007126697269</c:v>
                </c:pt>
                <c:pt idx="9">
                  <c:v>234.28357220539726</c:v>
                </c:pt>
                <c:pt idx="10">
                  <c:v>226.43449579776512</c:v>
                </c:pt>
                <c:pt idx="11">
                  <c:v>244.65708150435441</c:v>
                </c:pt>
                <c:pt idx="12">
                  <c:v>281.85609623044513</c:v>
                </c:pt>
                <c:pt idx="13">
                  <c:v>334.89750681724547</c:v>
                </c:pt>
                <c:pt idx="14">
                  <c:v>314.49330067632599</c:v>
                </c:pt>
                <c:pt idx="15">
                  <c:v>331.41582786715554</c:v>
                </c:pt>
                <c:pt idx="16">
                  <c:v>404.53351657837158</c:v>
                </c:pt>
                <c:pt idx="17">
                  <c:v>459.28142061044866</c:v>
                </c:pt>
                <c:pt idx="18">
                  <c:v>609.77014968103845</c:v>
                </c:pt>
                <c:pt idx="19">
                  <c:v>671.05709025430531</c:v>
                </c:pt>
                <c:pt idx="20">
                  <c:v>617.77959574140732</c:v>
                </c:pt>
                <c:pt idx="21">
                  <c:v>798.2325374978401</c:v>
                </c:pt>
                <c:pt idx="22">
                  <c:v>735.36828480929557</c:v>
                </c:pt>
                <c:pt idx="23">
                  <c:v>976.66042557010815</c:v>
                </c:pt>
                <c:pt idx="24">
                  <c:v>927.89291150580402</c:v>
                </c:pt>
                <c:pt idx="25">
                  <c:v>972.18429278922849</c:v>
                </c:pt>
                <c:pt idx="26">
                  <c:v>1313.3882295285882</c:v>
                </c:pt>
                <c:pt idx="27">
                  <c:v>1190.979318860012</c:v>
                </c:pt>
                <c:pt idx="28">
                  <c:v>1468.970621700953</c:v>
                </c:pt>
                <c:pt idx="29">
                  <c:v>1739.7928955409709</c:v>
                </c:pt>
                <c:pt idx="30">
                  <c:v>1987.4493444802556</c:v>
                </c:pt>
                <c:pt idx="31">
                  <c:v>2337.9809522774949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43-40B4-B870-30E84ADE810F}"/>
            </c:ext>
          </c:extLst>
        </c:ser>
        <c:ser>
          <c:idx val="11"/>
          <c:order val="11"/>
          <c:spPr>
            <a:ln w="25400" cap="rnd" cmpd="sng" algn="ctr">
              <a:solidFill>
                <a:srgbClr val="5A5A5A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Brownian!$C$28:$AH$28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114.09700717419626</c:v>
                </c:pt>
                <c:pt idx="2">
                  <c:v>126.38016426001182</c:v>
                </c:pt>
                <c:pt idx="3">
                  <c:v>149.414419418949</c:v>
                </c:pt>
                <c:pt idx="4">
                  <c:v>153.05298639964425</c:v>
                </c:pt>
                <c:pt idx="5">
                  <c:v>176.94656779092293</c:v>
                </c:pt>
                <c:pt idx="6">
                  <c:v>210.02811930699983</c:v>
                </c:pt>
                <c:pt idx="7">
                  <c:v>212.27912268474955</c:v>
                </c:pt>
                <c:pt idx="8">
                  <c:v>274.4153422874848</c:v>
                </c:pt>
                <c:pt idx="9">
                  <c:v>268.80579363081011</c:v>
                </c:pt>
                <c:pt idx="10">
                  <c:v>265.05671082952244</c:v>
                </c:pt>
                <c:pt idx="11">
                  <c:v>328.22827606717374</c:v>
                </c:pt>
                <c:pt idx="12">
                  <c:v>348.055093428742</c:v>
                </c:pt>
                <c:pt idx="13">
                  <c:v>369.23760546564552</c:v>
                </c:pt>
                <c:pt idx="14">
                  <c:v>436.90356490763759</c:v>
                </c:pt>
                <c:pt idx="15">
                  <c:v>520.95633802563577</c:v>
                </c:pt>
                <c:pt idx="16">
                  <c:v>564.63842193282517</c:v>
                </c:pt>
                <c:pt idx="17">
                  <c:v>573.60941933198001</c:v>
                </c:pt>
                <c:pt idx="18">
                  <c:v>529.63483241066865</c:v>
                </c:pt>
                <c:pt idx="19">
                  <c:v>654.38670691143159</c:v>
                </c:pt>
                <c:pt idx="20">
                  <c:v>697.88413809301028</c:v>
                </c:pt>
                <c:pt idx="21">
                  <c:v>743.97261155199908</c:v>
                </c:pt>
                <c:pt idx="22">
                  <c:v>897.14841576427784</c:v>
                </c:pt>
                <c:pt idx="23">
                  <c:v>951.50388922541981</c:v>
                </c:pt>
                <c:pt idx="24">
                  <c:v>996.68513681314266</c:v>
                </c:pt>
                <c:pt idx="25">
                  <c:v>963.16429848477401</c:v>
                </c:pt>
                <c:pt idx="26">
                  <c:v>1242.9189939882924</c:v>
                </c:pt>
                <c:pt idx="27">
                  <c:v>1605.5853736791296</c:v>
                </c:pt>
                <c:pt idx="28">
                  <c:v>1634.460249940415</c:v>
                </c:pt>
                <c:pt idx="29">
                  <c:v>1587.90164213816</c:v>
                </c:pt>
                <c:pt idx="30">
                  <c:v>1823.9745014442178</c:v>
                </c:pt>
                <c:pt idx="31">
                  <c:v>2060.1528168378982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43-40B4-B870-30E84ADE810F}"/>
            </c:ext>
          </c:extLst>
        </c:ser>
        <c:ser>
          <c:idx val="12"/>
          <c:order val="12"/>
          <c:spPr>
            <a:ln w="28575" cap="rnd" cmpd="sng" algn="ctr">
              <a:solidFill>
                <a:srgbClr val="156082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Brownian!$C$29:$AH$29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115.6592018581148</c:v>
                </c:pt>
                <c:pt idx="2">
                  <c:v>137.9481298171338</c:v>
                </c:pt>
                <c:pt idx="3">
                  <c:v>133.15111024169357</c:v>
                </c:pt>
                <c:pt idx="4">
                  <c:v>130.26800636933683</c:v>
                </c:pt>
                <c:pt idx="5">
                  <c:v>158.64812120937913</c:v>
                </c:pt>
                <c:pt idx="6">
                  <c:v>196.48653204249797</c:v>
                </c:pt>
                <c:pt idx="7">
                  <c:v>219.92163883960154</c:v>
                </c:pt>
                <c:pt idx="8">
                  <c:v>252.60978744571929</c:v>
                </c:pt>
                <c:pt idx="9">
                  <c:v>317.9705894727278</c:v>
                </c:pt>
                <c:pt idx="10">
                  <c:v>331.41205034868824</c:v>
                </c:pt>
                <c:pt idx="11">
                  <c:v>384.39992094138495</c:v>
                </c:pt>
                <c:pt idx="12">
                  <c:v>331.34070646076941</c:v>
                </c:pt>
                <c:pt idx="13">
                  <c:v>324.11631293757148</c:v>
                </c:pt>
                <c:pt idx="14">
                  <c:v>407.14967099474461</c:v>
                </c:pt>
                <c:pt idx="15">
                  <c:v>398.61294765415266</c:v>
                </c:pt>
                <c:pt idx="16">
                  <c:v>470.15658384822837</c:v>
                </c:pt>
                <c:pt idx="17">
                  <c:v>514.07282176956608</c:v>
                </c:pt>
                <c:pt idx="18">
                  <c:v>639.08772291305547</c:v>
                </c:pt>
                <c:pt idx="19">
                  <c:v>688.01661224249028</c:v>
                </c:pt>
                <c:pt idx="20">
                  <c:v>612.61048595180193</c:v>
                </c:pt>
                <c:pt idx="21">
                  <c:v>721.83875511191673</c:v>
                </c:pt>
                <c:pt idx="22">
                  <c:v>736.27345471956733</c:v>
                </c:pt>
                <c:pt idx="23">
                  <c:v>753.99981559388846</c:v>
                </c:pt>
                <c:pt idx="24">
                  <c:v>862.79616211260782</c:v>
                </c:pt>
                <c:pt idx="25">
                  <c:v>1160.8991420931163</c:v>
                </c:pt>
                <c:pt idx="26">
                  <c:v>1185.1572651945244</c:v>
                </c:pt>
                <c:pt idx="27">
                  <c:v>1178.1917106989358</c:v>
                </c:pt>
                <c:pt idx="28">
                  <c:v>1516.8462843601367</c:v>
                </c:pt>
                <c:pt idx="29">
                  <c:v>1594.4814727703197</c:v>
                </c:pt>
                <c:pt idx="30">
                  <c:v>1775.931096571343</c:v>
                </c:pt>
                <c:pt idx="31">
                  <c:v>1856.4091568618135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BE7-4FA3-8E34-533CC44726C4}"/>
            </c:ext>
          </c:extLst>
        </c:ser>
        <c:ser>
          <c:idx val="13"/>
          <c:order val="13"/>
          <c:spPr>
            <a:ln w="28575" cap="rnd" cmpd="sng" algn="ctr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Brownian!$C$30:$AH$30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104.23109511206864</c:v>
                </c:pt>
                <c:pt idx="2">
                  <c:v>126.09774685302018</c:v>
                </c:pt>
                <c:pt idx="3">
                  <c:v>146.55169415550682</c:v>
                </c:pt>
                <c:pt idx="4">
                  <c:v>143.15476912995155</c:v>
                </c:pt>
                <c:pt idx="5">
                  <c:v>156.0836951458304</c:v>
                </c:pt>
                <c:pt idx="6">
                  <c:v>140.48482886103986</c:v>
                </c:pt>
                <c:pt idx="7">
                  <c:v>168.98680929625255</c:v>
                </c:pt>
                <c:pt idx="8">
                  <c:v>190.05349436686686</c:v>
                </c:pt>
                <c:pt idx="9">
                  <c:v>195.81100717952717</c:v>
                </c:pt>
                <c:pt idx="10">
                  <c:v>231.49380716808363</c:v>
                </c:pt>
                <c:pt idx="11">
                  <c:v>265.40349311440093</c:v>
                </c:pt>
                <c:pt idx="12">
                  <c:v>275.93571771645611</c:v>
                </c:pt>
                <c:pt idx="13">
                  <c:v>268.93102436310869</c:v>
                </c:pt>
                <c:pt idx="14">
                  <c:v>371.44829725481662</c:v>
                </c:pt>
                <c:pt idx="15">
                  <c:v>468.88647775719136</c:v>
                </c:pt>
                <c:pt idx="16">
                  <c:v>523.61358074544637</c:v>
                </c:pt>
                <c:pt idx="17">
                  <c:v>486.56124001728051</c:v>
                </c:pt>
                <c:pt idx="18">
                  <c:v>461.79746765210666</c:v>
                </c:pt>
                <c:pt idx="19">
                  <c:v>598.43348576164772</c:v>
                </c:pt>
                <c:pt idx="20">
                  <c:v>583.67389062402958</c:v>
                </c:pt>
                <c:pt idx="21">
                  <c:v>745.44212191644976</c:v>
                </c:pt>
                <c:pt idx="22">
                  <c:v>774.12488037191167</c:v>
                </c:pt>
                <c:pt idx="23">
                  <c:v>832.83171599066486</c:v>
                </c:pt>
                <c:pt idx="24">
                  <c:v>1017.8627783618998</c:v>
                </c:pt>
                <c:pt idx="25">
                  <c:v>1224.3005016900986</c:v>
                </c:pt>
                <c:pt idx="26">
                  <c:v>1468.2010212979421</c:v>
                </c:pt>
                <c:pt idx="27">
                  <c:v>1334.1468791870357</c:v>
                </c:pt>
                <c:pt idx="28">
                  <c:v>1583.5186329585636</c:v>
                </c:pt>
                <c:pt idx="29">
                  <c:v>1672.0125289985851</c:v>
                </c:pt>
                <c:pt idx="30">
                  <c:v>1713.4654859327188</c:v>
                </c:pt>
                <c:pt idx="31">
                  <c:v>2279.7063890613645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BE7-4FA3-8E34-533CC44726C4}"/>
            </c:ext>
          </c:extLst>
        </c:ser>
        <c:ser>
          <c:idx val="14"/>
          <c:order val="14"/>
          <c:spPr>
            <a:ln w="28575" cap="rnd" cmpd="sng" algn="ctr">
              <a:solidFill>
                <a:srgbClr val="196B24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Brownian!$C$31:$AH$31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112.1757693064972</c:v>
                </c:pt>
                <c:pt idx="2">
                  <c:v>156.30566230895766</c:v>
                </c:pt>
                <c:pt idx="3">
                  <c:v>148.29197117011245</c:v>
                </c:pt>
                <c:pt idx="4">
                  <c:v>160.14519267800523</c:v>
                </c:pt>
                <c:pt idx="5">
                  <c:v>156.0984126890371</c:v>
                </c:pt>
                <c:pt idx="6">
                  <c:v>154.36834824107555</c:v>
                </c:pt>
                <c:pt idx="7">
                  <c:v>150.35523799109083</c:v>
                </c:pt>
                <c:pt idx="8">
                  <c:v>195.14103212602461</c:v>
                </c:pt>
                <c:pt idx="9">
                  <c:v>203.89504975317129</c:v>
                </c:pt>
                <c:pt idx="10">
                  <c:v>268.26900490065242</c:v>
                </c:pt>
                <c:pt idx="11">
                  <c:v>279.98600644556763</c:v>
                </c:pt>
                <c:pt idx="12">
                  <c:v>292.40093910183464</c:v>
                </c:pt>
                <c:pt idx="13">
                  <c:v>342.8443787449184</c:v>
                </c:pt>
                <c:pt idx="14">
                  <c:v>375.0626727825254</c:v>
                </c:pt>
                <c:pt idx="15">
                  <c:v>462.85377357828952</c:v>
                </c:pt>
                <c:pt idx="16">
                  <c:v>425.44273147914589</c:v>
                </c:pt>
                <c:pt idx="17">
                  <c:v>529.9313213873902</c:v>
                </c:pt>
                <c:pt idx="18">
                  <c:v>651.58621275247617</c:v>
                </c:pt>
                <c:pt idx="19">
                  <c:v>569.30938542759895</c:v>
                </c:pt>
                <c:pt idx="20">
                  <c:v>732.09797744978835</c:v>
                </c:pt>
                <c:pt idx="21">
                  <c:v>717.90971934463323</c:v>
                </c:pt>
                <c:pt idx="22">
                  <c:v>799.01609276764657</c:v>
                </c:pt>
                <c:pt idx="23">
                  <c:v>866.23858454149956</c:v>
                </c:pt>
                <c:pt idx="24">
                  <c:v>995.42138483169583</c:v>
                </c:pt>
                <c:pt idx="25">
                  <c:v>1064.953947570415</c:v>
                </c:pt>
                <c:pt idx="26">
                  <c:v>1158.9206349440935</c:v>
                </c:pt>
                <c:pt idx="27">
                  <c:v>1203.8527275745682</c:v>
                </c:pt>
                <c:pt idx="28">
                  <c:v>1268.1080620480661</c:v>
                </c:pt>
                <c:pt idx="29">
                  <c:v>1517.6084311724708</c:v>
                </c:pt>
                <c:pt idx="30">
                  <c:v>1725.2095830437718</c:v>
                </c:pt>
                <c:pt idx="31">
                  <c:v>2079.3020636738738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BE7-4FA3-8E34-533CC44726C4}"/>
            </c:ext>
          </c:extLst>
        </c:ser>
        <c:ser>
          <c:idx val="15"/>
          <c:order val="15"/>
          <c:spPr>
            <a:ln w="28575" cap="rnd" cmpd="sng" algn="ctr">
              <a:solidFill>
                <a:srgbClr val="0F9ED5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Brownian!$C$32:$AH$32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102.05705764542954</c:v>
                </c:pt>
                <c:pt idx="2">
                  <c:v>113.57198655227278</c:v>
                </c:pt>
                <c:pt idx="3">
                  <c:v>155.07051455847895</c:v>
                </c:pt>
                <c:pt idx="4">
                  <c:v>175.30488311422147</c:v>
                </c:pt>
                <c:pt idx="5">
                  <c:v>185.88956840961956</c:v>
                </c:pt>
                <c:pt idx="6">
                  <c:v>164.21318582747824</c:v>
                </c:pt>
                <c:pt idx="7">
                  <c:v>170.88548236884418</c:v>
                </c:pt>
                <c:pt idx="8">
                  <c:v>174.18675968859105</c:v>
                </c:pt>
                <c:pt idx="9">
                  <c:v>184.22073588477627</c:v>
                </c:pt>
                <c:pt idx="10">
                  <c:v>223.34073372240252</c:v>
                </c:pt>
                <c:pt idx="11">
                  <c:v>292.00342248429246</c:v>
                </c:pt>
                <c:pt idx="12">
                  <c:v>274.90044953591428</c:v>
                </c:pt>
                <c:pt idx="13">
                  <c:v>338.16609579942678</c:v>
                </c:pt>
                <c:pt idx="14">
                  <c:v>455.75908013264274</c:v>
                </c:pt>
                <c:pt idx="15">
                  <c:v>538.62750442368588</c:v>
                </c:pt>
                <c:pt idx="16">
                  <c:v>605.06746814849032</c:v>
                </c:pt>
                <c:pt idx="17">
                  <c:v>702.64558502010391</c:v>
                </c:pt>
                <c:pt idx="18">
                  <c:v>708.19581152289823</c:v>
                </c:pt>
                <c:pt idx="19">
                  <c:v>773.48700154529547</c:v>
                </c:pt>
                <c:pt idx="20">
                  <c:v>844.28810450759181</c:v>
                </c:pt>
                <c:pt idx="21">
                  <c:v>1079.4314536597592</c:v>
                </c:pt>
                <c:pt idx="22">
                  <c:v>1074.6532614169257</c:v>
                </c:pt>
                <c:pt idx="23">
                  <c:v>1170.739940803875</c:v>
                </c:pt>
                <c:pt idx="24">
                  <c:v>1155.4590972516867</c:v>
                </c:pt>
                <c:pt idx="25">
                  <c:v>1050.1006163513218</c:v>
                </c:pt>
                <c:pt idx="26">
                  <c:v>1111.6116776924919</c:v>
                </c:pt>
                <c:pt idx="27">
                  <c:v>1374.5458037884287</c:v>
                </c:pt>
                <c:pt idx="28">
                  <c:v>1504.4086098899804</c:v>
                </c:pt>
                <c:pt idx="29">
                  <c:v>1446.3919776283519</c:v>
                </c:pt>
                <c:pt idx="30">
                  <c:v>1838.2882733682766</c:v>
                </c:pt>
                <c:pt idx="31">
                  <c:v>2198.6969649483081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BE7-4FA3-8E34-533CC44726C4}"/>
            </c:ext>
          </c:extLst>
        </c:ser>
        <c:ser>
          <c:idx val="16"/>
          <c:order val="16"/>
          <c:spPr>
            <a:ln w="28575" cap="rnd" cmpd="sng" algn="ctr">
              <a:solidFill>
                <a:srgbClr val="A02B93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Brownian!$C$33:$AH$33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104.53213612832756</c:v>
                </c:pt>
                <c:pt idx="2">
                  <c:v>103.85918523707011</c:v>
                </c:pt>
                <c:pt idx="3">
                  <c:v>101.95856166501062</c:v>
                </c:pt>
                <c:pt idx="4">
                  <c:v>126.10971557797133</c:v>
                </c:pt>
                <c:pt idx="5">
                  <c:v>159.729944347181</c:v>
                </c:pt>
                <c:pt idx="6">
                  <c:v>174.05333933453889</c:v>
                </c:pt>
                <c:pt idx="7">
                  <c:v>180.19420595736199</c:v>
                </c:pt>
                <c:pt idx="8">
                  <c:v>195.90892248811713</c:v>
                </c:pt>
                <c:pt idx="9">
                  <c:v>209.23713323709154</c:v>
                </c:pt>
                <c:pt idx="10">
                  <c:v>297.94487208068341</c:v>
                </c:pt>
                <c:pt idx="11">
                  <c:v>363.64474667890454</c:v>
                </c:pt>
                <c:pt idx="12">
                  <c:v>333.19021480394775</c:v>
                </c:pt>
                <c:pt idx="13">
                  <c:v>419.7195362992876</c:v>
                </c:pt>
                <c:pt idx="14">
                  <c:v>470.22713732287269</c:v>
                </c:pt>
                <c:pt idx="15">
                  <c:v>359.74967633708593</c:v>
                </c:pt>
                <c:pt idx="16">
                  <c:v>519.89211178431253</c:v>
                </c:pt>
                <c:pt idx="17">
                  <c:v>524.1189224394559</c:v>
                </c:pt>
                <c:pt idx="18">
                  <c:v>599.13518723501886</c:v>
                </c:pt>
                <c:pt idx="19">
                  <c:v>621.40025517958475</c:v>
                </c:pt>
                <c:pt idx="20">
                  <c:v>611.88794647179077</c:v>
                </c:pt>
                <c:pt idx="21">
                  <c:v>659.59793142346211</c:v>
                </c:pt>
                <c:pt idx="22">
                  <c:v>653.91190213656614</c:v>
                </c:pt>
                <c:pt idx="23">
                  <c:v>653.0174357852527</c:v>
                </c:pt>
                <c:pt idx="24">
                  <c:v>858.46310270472327</c:v>
                </c:pt>
                <c:pt idx="25">
                  <c:v>924.37808745818893</c:v>
                </c:pt>
                <c:pt idx="26">
                  <c:v>1295.4047328461113</c:v>
                </c:pt>
                <c:pt idx="27">
                  <c:v>1464.8516348223773</c:v>
                </c:pt>
                <c:pt idx="28">
                  <c:v>1437.5781393101852</c:v>
                </c:pt>
                <c:pt idx="29">
                  <c:v>1653.2009150998713</c:v>
                </c:pt>
                <c:pt idx="30">
                  <c:v>1792.6402619695095</c:v>
                </c:pt>
                <c:pt idx="31">
                  <c:v>1966.9906788512797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BE7-4FA3-8E34-533CC44726C4}"/>
            </c:ext>
          </c:extLst>
        </c:ser>
        <c:ser>
          <c:idx val="17"/>
          <c:order val="17"/>
          <c:spPr>
            <a:ln w="28575" cap="rnd" cmpd="sng" algn="ctr">
              <a:solidFill>
                <a:srgbClr val="4EA72E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Brownian!$C$34:$AH$34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122.29014214922498</c:v>
                </c:pt>
                <c:pt idx="2">
                  <c:v>139.02373710836011</c:v>
                </c:pt>
                <c:pt idx="3">
                  <c:v>151.29701284463593</c:v>
                </c:pt>
                <c:pt idx="4">
                  <c:v>170.46948001687591</c:v>
                </c:pt>
                <c:pt idx="5">
                  <c:v>212.36023828620381</c:v>
                </c:pt>
                <c:pt idx="6">
                  <c:v>256.11541488257063</c:v>
                </c:pt>
                <c:pt idx="7">
                  <c:v>275.35753107057877</c:v>
                </c:pt>
                <c:pt idx="8">
                  <c:v>233.57958551088274</c:v>
                </c:pt>
                <c:pt idx="9">
                  <c:v>238.14102420299912</c:v>
                </c:pt>
                <c:pt idx="10">
                  <c:v>251.01521859645661</c:v>
                </c:pt>
                <c:pt idx="11">
                  <c:v>271.50045103110386</c:v>
                </c:pt>
                <c:pt idx="12">
                  <c:v>326.24268700744528</c:v>
                </c:pt>
                <c:pt idx="13">
                  <c:v>341.82887684468517</c:v>
                </c:pt>
                <c:pt idx="14">
                  <c:v>371.17453830893982</c:v>
                </c:pt>
                <c:pt idx="15">
                  <c:v>427.26533107348092</c:v>
                </c:pt>
                <c:pt idx="16">
                  <c:v>439.29959390281317</c:v>
                </c:pt>
                <c:pt idx="17">
                  <c:v>447.06622401231056</c:v>
                </c:pt>
                <c:pt idx="18">
                  <c:v>568.90566724333667</c:v>
                </c:pt>
                <c:pt idx="19">
                  <c:v>657.5749532749843</c:v>
                </c:pt>
                <c:pt idx="20">
                  <c:v>675.96027735014241</c:v>
                </c:pt>
                <c:pt idx="21">
                  <c:v>733.41597145932099</c:v>
                </c:pt>
                <c:pt idx="22">
                  <c:v>812.63920161489045</c:v>
                </c:pt>
                <c:pt idx="23">
                  <c:v>901.54805153396808</c:v>
                </c:pt>
                <c:pt idx="24">
                  <c:v>944.83875143357091</c:v>
                </c:pt>
                <c:pt idx="25">
                  <c:v>1025.4889889384515</c:v>
                </c:pt>
                <c:pt idx="26">
                  <c:v>1090.5065815162993</c:v>
                </c:pt>
                <c:pt idx="27">
                  <c:v>1198.6191214850815</c:v>
                </c:pt>
                <c:pt idx="28">
                  <c:v>1454.2696417745653</c:v>
                </c:pt>
                <c:pt idx="29">
                  <c:v>1746.532732361612</c:v>
                </c:pt>
                <c:pt idx="30">
                  <c:v>1540.25924110255</c:v>
                </c:pt>
                <c:pt idx="31">
                  <c:v>1769.1562647538249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BE7-4FA3-8E34-533CC44726C4}"/>
            </c:ext>
          </c:extLst>
        </c:ser>
        <c:ser>
          <c:idx val="18"/>
          <c:order val="18"/>
          <c:spPr>
            <a:ln w="28575" cap="rnd" cmpd="sng" algn="ctr">
              <a:solidFill>
                <a:srgbClr val="A0D7C9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Brownian!$C$35:$AH$35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106.17033443420209</c:v>
                </c:pt>
                <c:pt idx="2">
                  <c:v>124.78298857945316</c:v>
                </c:pt>
                <c:pt idx="3">
                  <c:v>163.9321511869955</c:v>
                </c:pt>
                <c:pt idx="4">
                  <c:v>130.9517774609144</c:v>
                </c:pt>
                <c:pt idx="5">
                  <c:v>168.56268745506756</c:v>
                </c:pt>
                <c:pt idx="6">
                  <c:v>174.14614604192434</c:v>
                </c:pt>
                <c:pt idx="7">
                  <c:v>214.537819310825</c:v>
                </c:pt>
                <c:pt idx="8">
                  <c:v>221.21229663287301</c:v>
                </c:pt>
                <c:pt idx="9">
                  <c:v>241.13412904973723</c:v>
                </c:pt>
                <c:pt idx="10">
                  <c:v>298.89262275918202</c:v>
                </c:pt>
                <c:pt idx="11">
                  <c:v>354.91538694803512</c:v>
                </c:pt>
                <c:pt idx="12">
                  <c:v>365.73201488978776</c:v>
                </c:pt>
                <c:pt idx="13">
                  <c:v>412.6380766650218</c:v>
                </c:pt>
                <c:pt idx="14">
                  <c:v>474.73021831479531</c:v>
                </c:pt>
                <c:pt idx="15">
                  <c:v>447.98373059217795</c:v>
                </c:pt>
                <c:pt idx="16">
                  <c:v>382.23612549299833</c:v>
                </c:pt>
                <c:pt idx="17">
                  <c:v>475.41435482992114</c:v>
                </c:pt>
                <c:pt idx="18">
                  <c:v>554.47100887667375</c:v>
                </c:pt>
                <c:pt idx="19">
                  <c:v>723.19152159258169</c:v>
                </c:pt>
                <c:pt idx="20">
                  <c:v>738.83889332614797</c:v>
                </c:pt>
                <c:pt idx="21">
                  <c:v>680.75082365089338</c:v>
                </c:pt>
                <c:pt idx="22">
                  <c:v>901.22814447084397</c:v>
                </c:pt>
                <c:pt idx="23">
                  <c:v>939.66517150127993</c:v>
                </c:pt>
                <c:pt idx="24">
                  <c:v>1021.3909491945778</c:v>
                </c:pt>
                <c:pt idx="25">
                  <c:v>1103.5650693105397</c:v>
                </c:pt>
                <c:pt idx="26">
                  <c:v>1057.9735012219994</c:v>
                </c:pt>
                <c:pt idx="27">
                  <c:v>1460.6985641699621</c:v>
                </c:pt>
                <c:pt idx="28">
                  <c:v>1816.5127650133873</c:v>
                </c:pt>
                <c:pt idx="29">
                  <c:v>1873.9281469312541</c:v>
                </c:pt>
                <c:pt idx="30">
                  <c:v>1857.999440089058</c:v>
                </c:pt>
                <c:pt idx="31">
                  <c:v>1967.0447362225445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BE7-4FA3-8E34-533CC44726C4}"/>
            </c:ext>
          </c:extLst>
        </c:ser>
        <c:ser>
          <c:idx val="19"/>
          <c:order val="19"/>
          <c:spPr>
            <a:ln w="28575" cap="rnd" cmpd="sng" algn="ctr">
              <a:solidFill>
                <a:srgbClr val="FF948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Brownian!$C$36:$AH$36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110.68964887048539</c:v>
                </c:pt>
                <c:pt idx="2">
                  <c:v>119.73161781448358</c:v>
                </c:pt>
                <c:pt idx="3">
                  <c:v>105.75763062537996</c:v>
                </c:pt>
                <c:pt idx="4">
                  <c:v>122.80613896415831</c:v>
                </c:pt>
                <c:pt idx="5">
                  <c:v>131.13215467450738</c:v>
                </c:pt>
                <c:pt idx="6">
                  <c:v>167.71666346887159</c:v>
                </c:pt>
                <c:pt idx="7">
                  <c:v>184.75497457869093</c:v>
                </c:pt>
                <c:pt idx="8">
                  <c:v>214.72824933833792</c:v>
                </c:pt>
                <c:pt idx="9">
                  <c:v>254.59178396213201</c:v>
                </c:pt>
                <c:pt idx="10">
                  <c:v>329.98695608177297</c:v>
                </c:pt>
                <c:pt idx="11">
                  <c:v>322.91420341418802</c:v>
                </c:pt>
                <c:pt idx="12">
                  <c:v>351.71636730517969</c:v>
                </c:pt>
                <c:pt idx="13">
                  <c:v>423.93212877877153</c:v>
                </c:pt>
                <c:pt idx="14">
                  <c:v>416.68487251359124</c:v>
                </c:pt>
                <c:pt idx="15">
                  <c:v>396.7519492247518</c:v>
                </c:pt>
                <c:pt idx="16">
                  <c:v>415.57781684047529</c:v>
                </c:pt>
                <c:pt idx="17">
                  <c:v>525.28766657836695</c:v>
                </c:pt>
                <c:pt idx="18">
                  <c:v>575.74498576960116</c:v>
                </c:pt>
                <c:pt idx="19">
                  <c:v>618.99519415857503</c:v>
                </c:pt>
                <c:pt idx="20">
                  <c:v>699.07237105652018</c:v>
                </c:pt>
                <c:pt idx="21">
                  <c:v>932.59674135481464</c:v>
                </c:pt>
                <c:pt idx="22">
                  <c:v>875.47603254767728</c:v>
                </c:pt>
                <c:pt idx="23">
                  <c:v>806.01782239597287</c:v>
                </c:pt>
                <c:pt idx="24">
                  <c:v>852.13667682852974</c:v>
                </c:pt>
                <c:pt idx="25">
                  <c:v>989.8803407004159</c:v>
                </c:pt>
                <c:pt idx="26">
                  <c:v>1165.2995487848066</c:v>
                </c:pt>
                <c:pt idx="27">
                  <c:v>978.67673817726029</c:v>
                </c:pt>
                <c:pt idx="28">
                  <c:v>1182.5382163974223</c:v>
                </c:pt>
                <c:pt idx="29">
                  <c:v>1406.8783851372716</c:v>
                </c:pt>
                <c:pt idx="30">
                  <c:v>1953.8900071929879</c:v>
                </c:pt>
                <c:pt idx="31">
                  <c:v>2513.3164040083038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BE7-4FA3-8E34-533CC44726C4}"/>
            </c:ext>
          </c:extLst>
        </c:ser>
        <c:ser>
          <c:idx val="20"/>
          <c:order val="20"/>
          <c:spPr>
            <a:ln w="28575" cap="rnd" cmpd="sng" algn="ctr">
              <a:solidFill>
                <a:srgbClr val="FFD281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Brownian!$C$37:$AH$37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105.9408716629025</c:v>
                </c:pt>
                <c:pt idx="2">
                  <c:v>101.27081346375809</c:v>
                </c:pt>
                <c:pt idx="3">
                  <c:v>115.81562473986146</c:v>
                </c:pt>
                <c:pt idx="4">
                  <c:v>141.73739461460622</c:v>
                </c:pt>
                <c:pt idx="5">
                  <c:v>180.50350528278878</c:v>
                </c:pt>
                <c:pt idx="6">
                  <c:v>193.48250064803671</c:v>
                </c:pt>
                <c:pt idx="7">
                  <c:v>225.16655684067365</c:v>
                </c:pt>
                <c:pt idx="8">
                  <c:v>202.69017481269395</c:v>
                </c:pt>
                <c:pt idx="9">
                  <c:v>251.72648149488367</c:v>
                </c:pt>
                <c:pt idx="10">
                  <c:v>311.78459663682082</c:v>
                </c:pt>
                <c:pt idx="11">
                  <c:v>249.34866489165938</c:v>
                </c:pt>
                <c:pt idx="12">
                  <c:v>286.91982756164521</c:v>
                </c:pt>
                <c:pt idx="13">
                  <c:v>296.13178720312584</c:v>
                </c:pt>
                <c:pt idx="14">
                  <c:v>359.68754377686082</c:v>
                </c:pt>
                <c:pt idx="15">
                  <c:v>362.22114611167297</c:v>
                </c:pt>
                <c:pt idx="16">
                  <c:v>427.97268565046397</c:v>
                </c:pt>
                <c:pt idx="17">
                  <c:v>476.02866947783036</c:v>
                </c:pt>
                <c:pt idx="18">
                  <c:v>558.96578172852605</c:v>
                </c:pt>
                <c:pt idx="19">
                  <c:v>739.14040000805426</c:v>
                </c:pt>
                <c:pt idx="20">
                  <c:v>685.29398546509606</c:v>
                </c:pt>
                <c:pt idx="21">
                  <c:v>626.41663646777306</c:v>
                </c:pt>
                <c:pt idx="22">
                  <c:v>798.63325531846067</c:v>
                </c:pt>
                <c:pt idx="23">
                  <c:v>1030.400469439069</c:v>
                </c:pt>
                <c:pt idx="24">
                  <c:v>925.83400019564351</c:v>
                </c:pt>
                <c:pt idx="25">
                  <c:v>1218.0342581293351</c:v>
                </c:pt>
                <c:pt idx="26">
                  <c:v>1440.0610514736431</c:v>
                </c:pt>
                <c:pt idx="27">
                  <c:v>1392.0707694527723</c:v>
                </c:pt>
                <c:pt idx="28">
                  <c:v>1479.8517181781408</c:v>
                </c:pt>
                <c:pt idx="29">
                  <c:v>1626.3956724013071</c:v>
                </c:pt>
                <c:pt idx="30">
                  <c:v>1332.2888085848326</c:v>
                </c:pt>
                <c:pt idx="31">
                  <c:v>1830.4996294100747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BE7-4FA3-8E34-533CC44726C4}"/>
            </c:ext>
          </c:extLst>
        </c:ser>
        <c:ser>
          <c:idx val="21"/>
          <c:order val="21"/>
          <c:spPr>
            <a:ln w="28575" cap="rnd" cmpd="sng" algn="ctr">
              <a:solidFill>
                <a:srgbClr val="8CCAF3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Brownian!$C$38:$AH$38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114.94043446402742</c:v>
                </c:pt>
                <c:pt idx="2">
                  <c:v>116.29400070328288</c:v>
                </c:pt>
                <c:pt idx="3">
                  <c:v>132.73302708715406</c:v>
                </c:pt>
                <c:pt idx="4">
                  <c:v>126.25737399576701</c:v>
                </c:pt>
                <c:pt idx="5">
                  <c:v>165.30348574942485</c:v>
                </c:pt>
                <c:pt idx="6">
                  <c:v>187.18166833968175</c:v>
                </c:pt>
                <c:pt idx="7">
                  <c:v>206.13106939222652</c:v>
                </c:pt>
                <c:pt idx="8">
                  <c:v>204.07901485761792</c:v>
                </c:pt>
                <c:pt idx="9">
                  <c:v>213.1702787510068</c:v>
                </c:pt>
                <c:pt idx="10">
                  <c:v>323.25986634657227</c:v>
                </c:pt>
                <c:pt idx="11">
                  <c:v>322.34448647522822</c:v>
                </c:pt>
                <c:pt idx="12">
                  <c:v>374.96011843098853</c:v>
                </c:pt>
                <c:pt idx="13">
                  <c:v>447.7545581480847</c:v>
                </c:pt>
                <c:pt idx="14">
                  <c:v>426.79728116832842</c:v>
                </c:pt>
                <c:pt idx="15">
                  <c:v>408.69519188802644</c:v>
                </c:pt>
                <c:pt idx="16">
                  <c:v>459.22395277797114</c:v>
                </c:pt>
                <c:pt idx="17">
                  <c:v>434.50109305215864</c:v>
                </c:pt>
                <c:pt idx="18">
                  <c:v>451.16970141309565</c:v>
                </c:pt>
                <c:pt idx="19">
                  <c:v>601.01104939147649</c:v>
                </c:pt>
                <c:pt idx="20">
                  <c:v>775.93079799805435</c:v>
                </c:pt>
                <c:pt idx="21">
                  <c:v>921.43093385052975</c:v>
                </c:pt>
                <c:pt idx="22">
                  <c:v>841.81697416134011</c:v>
                </c:pt>
                <c:pt idx="23">
                  <c:v>951.63662149517393</c:v>
                </c:pt>
                <c:pt idx="24">
                  <c:v>1011.9918477194985</c:v>
                </c:pt>
                <c:pt idx="25">
                  <c:v>1239.5370036320592</c:v>
                </c:pt>
                <c:pt idx="26">
                  <c:v>1284.5893816479509</c:v>
                </c:pt>
                <c:pt idx="27">
                  <c:v>1600.121711696072</c:v>
                </c:pt>
                <c:pt idx="28">
                  <c:v>1665.2191502881828</c:v>
                </c:pt>
                <c:pt idx="29">
                  <c:v>1406.7467543824623</c:v>
                </c:pt>
                <c:pt idx="30">
                  <c:v>1593.9787779187684</c:v>
                </c:pt>
                <c:pt idx="31">
                  <c:v>2225.469353664459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BE7-4FA3-8E34-533CC44726C4}"/>
            </c:ext>
          </c:extLst>
        </c:ser>
        <c:ser>
          <c:idx val="22"/>
          <c:order val="22"/>
          <c:spPr>
            <a:ln w="28575" cap="rnd" cmpd="sng" algn="ctr">
              <a:solidFill>
                <a:srgbClr val="C7B1D6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Brownian!$C$39:$AH$39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100.15627401225625</c:v>
                </c:pt>
                <c:pt idx="2">
                  <c:v>111.07536084321008</c:v>
                </c:pt>
                <c:pt idx="3">
                  <c:v>119.98619670169364</c:v>
                </c:pt>
                <c:pt idx="4">
                  <c:v>122.26385595002412</c:v>
                </c:pt>
                <c:pt idx="5">
                  <c:v>127.88256830751284</c:v>
                </c:pt>
                <c:pt idx="6">
                  <c:v>156.44966361459751</c:v>
                </c:pt>
                <c:pt idx="7">
                  <c:v>180.66026319525031</c:v>
                </c:pt>
                <c:pt idx="8">
                  <c:v>232.28932747798274</c:v>
                </c:pt>
                <c:pt idx="9">
                  <c:v>245.39876373188952</c:v>
                </c:pt>
                <c:pt idx="10">
                  <c:v>319.12628914358015</c:v>
                </c:pt>
                <c:pt idx="11">
                  <c:v>285.45087917281148</c:v>
                </c:pt>
                <c:pt idx="12">
                  <c:v>337.33589492504973</c:v>
                </c:pt>
                <c:pt idx="13">
                  <c:v>413.38600362404236</c:v>
                </c:pt>
                <c:pt idx="14">
                  <c:v>406.55679008071735</c:v>
                </c:pt>
                <c:pt idx="15">
                  <c:v>461.88546646401716</c:v>
                </c:pt>
                <c:pt idx="16">
                  <c:v>411.43107859960821</c:v>
                </c:pt>
                <c:pt idx="17">
                  <c:v>507.53463967720194</c:v>
                </c:pt>
                <c:pt idx="18">
                  <c:v>577.28387969750452</c:v>
                </c:pt>
                <c:pt idx="19">
                  <c:v>634.48194967721952</c:v>
                </c:pt>
                <c:pt idx="20">
                  <c:v>779.80173298451246</c:v>
                </c:pt>
                <c:pt idx="21">
                  <c:v>616.51897336714762</c:v>
                </c:pt>
                <c:pt idx="22">
                  <c:v>746.2536219480204</c:v>
                </c:pt>
                <c:pt idx="23">
                  <c:v>826.28012637766687</c:v>
                </c:pt>
                <c:pt idx="24">
                  <c:v>1158.5430045582318</c:v>
                </c:pt>
                <c:pt idx="25">
                  <c:v>1188.5592092829004</c:v>
                </c:pt>
                <c:pt idx="26">
                  <c:v>1339.73058275313</c:v>
                </c:pt>
                <c:pt idx="27">
                  <c:v>1564.474247604559</c:v>
                </c:pt>
                <c:pt idx="28">
                  <c:v>1535.6454944450195</c:v>
                </c:pt>
                <c:pt idx="29">
                  <c:v>1787.8129353791123</c:v>
                </c:pt>
                <c:pt idx="30">
                  <c:v>2084.3418333967516</c:v>
                </c:pt>
                <c:pt idx="31">
                  <c:v>1878.5761379128196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BE7-4FA3-8E34-533CC44726C4}"/>
            </c:ext>
          </c:extLst>
        </c:ser>
        <c:ser>
          <c:idx val="23"/>
          <c:order val="23"/>
          <c:spPr>
            <a:ln w="28575" cap="rnd" cmpd="sng" algn="ctr">
              <a:solidFill>
                <a:srgbClr val="5A5A5A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Brownian!$C$40:$AH$40</c:f>
              <c:numCache>
                <c:formatCode>#,##0;\(#,##0\);\-</c:formatCode>
                <c:ptCount val="32"/>
                <c:pt idx="0">
                  <c:v>100</c:v>
                </c:pt>
                <c:pt idx="1">
                  <c:v>94.581742200841092</c:v>
                </c:pt>
                <c:pt idx="2">
                  <c:v>115.3250344403242</c:v>
                </c:pt>
                <c:pt idx="3">
                  <c:v>121.24884672379561</c:v>
                </c:pt>
                <c:pt idx="4">
                  <c:v>149.1617024044352</c:v>
                </c:pt>
                <c:pt idx="5">
                  <c:v>150.88777935782883</c:v>
                </c:pt>
                <c:pt idx="6">
                  <c:v>192.66791378890818</c:v>
                </c:pt>
                <c:pt idx="7">
                  <c:v>167.0940608238181</c:v>
                </c:pt>
                <c:pt idx="8">
                  <c:v>194.64895332965881</c:v>
                </c:pt>
                <c:pt idx="9">
                  <c:v>209.98375214589225</c:v>
                </c:pt>
                <c:pt idx="10">
                  <c:v>266.5360897176256</c:v>
                </c:pt>
                <c:pt idx="11">
                  <c:v>260.75882325374948</c:v>
                </c:pt>
                <c:pt idx="12">
                  <c:v>247.50742625054633</c:v>
                </c:pt>
                <c:pt idx="13">
                  <c:v>353.91416672636171</c:v>
                </c:pt>
                <c:pt idx="14">
                  <c:v>409.95901204462984</c:v>
                </c:pt>
                <c:pt idx="15">
                  <c:v>394.23294929513827</c:v>
                </c:pt>
                <c:pt idx="16">
                  <c:v>476.2234390346606</c:v>
                </c:pt>
                <c:pt idx="17">
                  <c:v>448.92707518439431</c:v>
                </c:pt>
                <c:pt idx="18">
                  <c:v>506.8911019487864</c:v>
                </c:pt>
                <c:pt idx="19">
                  <c:v>578.33823212875336</c:v>
                </c:pt>
                <c:pt idx="20">
                  <c:v>683.39146001657889</c:v>
                </c:pt>
                <c:pt idx="21">
                  <c:v>637.47493778927151</c:v>
                </c:pt>
                <c:pt idx="22">
                  <c:v>667.67233261185743</c:v>
                </c:pt>
                <c:pt idx="23">
                  <c:v>772.26477091524998</c:v>
                </c:pt>
                <c:pt idx="24">
                  <c:v>774.79942431048744</c:v>
                </c:pt>
                <c:pt idx="25">
                  <c:v>1038.1569361792549</c:v>
                </c:pt>
                <c:pt idx="26">
                  <c:v>1256.4814828948274</c:v>
                </c:pt>
                <c:pt idx="27">
                  <c:v>1261.8360444111559</c:v>
                </c:pt>
                <c:pt idx="28">
                  <c:v>1551.6073885147171</c:v>
                </c:pt>
                <c:pt idx="29">
                  <c:v>1801.8886262939318</c:v>
                </c:pt>
                <c:pt idx="30">
                  <c:v>1614.7283715307087</c:v>
                </c:pt>
                <c:pt idx="31">
                  <c:v>1576.8548099342574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BE7-4FA3-8E34-533CC44726C4}"/>
            </c:ext>
          </c:extLst>
        </c:ser>
        <c:ser>
          <c:idx val="24"/>
          <c:order val="24"/>
          <c:spPr>
            <a:ln w="28575" cap="rnd" cmpd="sng" algn="ctr">
              <a:solidFill>
                <a:srgbClr val="156082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Brownian!$C$41:$AH$41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112.59141632931373</c:v>
                </c:pt>
                <c:pt idx="2">
                  <c:v>111.63749574332442</c:v>
                </c:pt>
                <c:pt idx="3">
                  <c:v>125.5108208152691</c:v>
                </c:pt>
                <c:pt idx="4">
                  <c:v>140.25641653978306</c:v>
                </c:pt>
                <c:pt idx="5">
                  <c:v>176.13138205691982</c:v>
                </c:pt>
                <c:pt idx="6">
                  <c:v>188.21901812391957</c:v>
                </c:pt>
                <c:pt idx="7">
                  <c:v>210.96096392916417</c:v>
                </c:pt>
                <c:pt idx="8">
                  <c:v>232.2674541421008</c:v>
                </c:pt>
                <c:pt idx="9">
                  <c:v>216.83972994021099</c:v>
                </c:pt>
                <c:pt idx="10">
                  <c:v>245.98897839283086</c:v>
                </c:pt>
                <c:pt idx="11">
                  <c:v>228.56142608336526</c:v>
                </c:pt>
                <c:pt idx="12">
                  <c:v>246.88311918335046</c:v>
                </c:pt>
                <c:pt idx="13">
                  <c:v>301.26538044406072</c:v>
                </c:pt>
                <c:pt idx="14">
                  <c:v>315.04611237601381</c:v>
                </c:pt>
                <c:pt idx="15">
                  <c:v>345.84071632813198</c:v>
                </c:pt>
                <c:pt idx="16">
                  <c:v>392.3089954461758</c:v>
                </c:pt>
                <c:pt idx="17">
                  <c:v>431.21221404380145</c:v>
                </c:pt>
                <c:pt idx="18">
                  <c:v>448.0949467806326</c:v>
                </c:pt>
                <c:pt idx="19">
                  <c:v>556.91072735291152</c:v>
                </c:pt>
                <c:pt idx="20">
                  <c:v>637.46750913514643</c:v>
                </c:pt>
                <c:pt idx="21">
                  <c:v>632.11343431690852</c:v>
                </c:pt>
                <c:pt idx="22">
                  <c:v>768.9950309761341</c:v>
                </c:pt>
                <c:pt idx="23">
                  <c:v>935.04131370460345</c:v>
                </c:pt>
                <c:pt idx="24">
                  <c:v>1024.3106127561116</c:v>
                </c:pt>
                <c:pt idx="25">
                  <c:v>1196.9029659236826</c:v>
                </c:pt>
                <c:pt idx="26">
                  <c:v>1283.7506603282009</c:v>
                </c:pt>
                <c:pt idx="27">
                  <c:v>1353.1874603970791</c:v>
                </c:pt>
                <c:pt idx="28">
                  <c:v>1642.829928307129</c:v>
                </c:pt>
                <c:pt idx="29">
                  <c:v>1920.5004567668639</c:v>
                </c:pt>
                <c:pt idx="30">
                  <c:v>2179.2986539988651</c:v>
                </c:pt>
                <c:pt idx="31">
                  <c:v>2451.8768289549857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BE7-4FA3-8E34-533CC44726C4}"/>
            </c:ext>
          </c:extLst>
        </c:ser>
        <c:ser>
          <c:idx val="25"/>
          <c:order val="25"/>
          <c:spPr>
            <a:ln w="28575" cap="rnd" cmpd="sng" algn="ctr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Brownian!$C$42:$AH$42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121.42594289791595</c:v>
                </c:pt>
                <c:pt idx="2">
                  <c:v>111.81048876662652</c:v>
                </c:pt>
                <c:pt idx="3">
                  <c:v>107.92004026259049</c:v>
                </c:pt>
                <c:pt idx="4">
                  <c:v>122.98810432436582</c:v>
                </c:pt>
                <c:pt idx="5">
                  <c:v>138.78198843666809</c:v>
                </c:pt>
                <c:pt idx="6">
                  <c:v>159.57181576361734</c:v>
                </c:pt>
                <c:pt idx="7">
                  <c:v>188.09991732029471</c:v>
                </c:pt>
                <c:pt idx="8">
                  <c:v>165.77187726206995</c:v>
                </c:pt>
                <c:pt idx="9">
                  <c:v>212.99988358412389</c:v>
                </c:pt>
                <c:pt idx="10">
                  <c:v>267.47340635542673</c:v>
                </c:pt>
                <c:pt idx="11">
                  <c:v>257.6045212307763</c:v>
                </c:pt>
                <c:pt idx="12">
                  <c:v>290.00617424183338</c:v>
                </c:pt>
                <c:pt idx="13">
                  <c:v>355.0791223946614</c:v>
                </c:pt>
                <c:pt idx="14">
                  <c:v>345.64793002696535</c:v>
                </c:pt>
                <c:pt idx="15">
                  <c:v>386.7510027812807</c:v>
                </c:pt>
                <c:pt idx="16">
                  <c:v>479.80145105270606</c:v>
                </c:pt>
                <c:pt idx="17">
                  <c:v>506.36466300404533</c:v>
                </c:pt>
                <c:pt idx="18">
                  <c:v>544.33088829875874</c:v>
                </c:pt>
                <c:pt idx="19">
                  <c:v>567.86554593714118</c:v>
                </c:pt>
                <c:pt idx="20">
                  <c:v>723.28987880411114</c:v>
                </c:pt>
                <c:pt idx="21">
                  <c:v>901.08865370746639</c:v>
                </c:pt>
                <c:pt idx="22">
                  <c:v>964.34430671203472</c:v>
                </c:pt>
                <c:pt idx="23">
                  <c:v>1154.8771883313875</c:v>
                </c:pt>
                <c:pt idx="24">
                  <c:v>1092.9376395947957</c:v>
                </c:pt>
                <c:pt idx="25">
                  <c:v>1223.6513860477819</c:v>
                </c:pt>
                <c:pt idx="26">
                  <c:v>1196.7124943041226</c:v>
                </c:pt>
                <c:pt idx="27">
                  <c:v>1324.3653001829211</c:v>
                </c:pt>
                <c:pt idx="28">
                  <c:v>1139.5653950396534</c:v>
                </c:pt>
                <c:pt idx="29">
                  <c:v>1524.6654112731912</c:v>
                </c:pt>
                <c:pt idx="30">
                  <c:v>1887.0939959599666</c:v>
                </c:pt>
                <c:pt idx="31">
                  <c:v>2181.0743433890689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BE7-4FA3-8E34-533CC44726C4}"/>
            </c:ext>
          </c:extLst>
        </c:ser>
        <c:ser>
          <c:idx val="26"/>
          <c:order val="26"/>
          <c:spPr>
            <a:ln w="28575" cap="rnd" cmpd="sng" algn="ctr">
              <a:solidFill>
                <a:srgbClr val="196B24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Brownian!$C$43:$AH$43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129.28513188341873</c:v>
                </c:pt>
                <c:pt idx="2">
                  <c:v>131.87822091872485</c:v>
                </c:pt>
                <c:pt idx="3">
                  <c:v>129.26921619822977</c:v>
                </c:pt>
                <c:pt idx="4">
                  <c:v>161.29791600058485</c:v>
                </c:pt>
                <c:pt idx="5">
                  <c:v>191.53765530546895</c:v>
                </c:pt>
                <c:pt idx="6">
                  <c:v>166.58178576228107</c:v>
                </c:pt>
                <c:pt idx="7">
                  <c:v>190.93452120970437</c:v>
                </c:pt>
                <c:pt idx="8">
                  <c:v>192.52755455444276</c:v>
                </c:pt>
                <c:pt idx="9">
                  <c:v>194.72050014552991</c:v>
                </c:pt>
                <c:pt idx="10">
                  <c:v>214.9623296327367</c:v>
                </c:pt>
                <c:pt idx="11">
                  <c:v>280.34814215556304</c:v>
                </c:pt>
                <c:pt idx="12">
                  <c:v>341.79900195932214</c:v>
                </c:pt>
                <c:pt idx="13">
                  <c:v>263.9507717114148</c:v>
                </c:pt>
                <c:pt idx="14">
                  <c:v>326.81312698216539</c:v>
                </c:pt>
                <c:pt idx="15">
                  <c:v>419.97023949250274</c:v>
                </c:pt>
                <c:pt idx="16">
                  <c:v>446.16668392740621</c:v>
                </c:pt>
                <c:pt idx="17">
                  <c:v>494.66706557077094</c:v>
                </c:pt>
                <c:pt idx="18">
                  <c:v>572.2122174809906</c:v>
                </c:pt>
                <c:pt idx="19">
                  <c:v>666.30579234382014</c:v>
                </c:pt>
                <c:pt idx="20">
                  <c:v>567.34687192680894</c:v>
                </c:pt>
                <c:pt idx="21">
                  <c:v>722.6049015969927</c:v>
                </c:pt>
                <c:pt idx="22">
                  <c:v>794.51845472959417</c:v>
                </c:pt>
                <c:pt idx="23">
                  <c:v>789.72729333143639</c:v>
                </c:pt>
                <c:pt idx="24">
                  <c:v>1025.3911127230895</c:v>
                </c:pt>
                <c:pt idx="25">
                  <c:v>940.42895118015258</c:v>
                </c:pt>
                <c:pt idx="26">
                  <c:v>1177.3735725758968</c:v>
                </c:pt>
                <c:pt idx="27">
                  <c:v>1448.0648711241781</c:v>
                </c:pt>
                <c:pt idx="28">
                  <c:v>1968.0432325323554</c:v>
                </c:pt>
                <c:pt idx="29">
                  <c:v>2233.6494652489605</c:v>
                </c:pt>
                <c:pt idx="30">
                  <c:v>1880.0807037962695</c:v>
                </c:pt>
                <c:pt idx="31">
                  <c:v>1839.7239968743218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BE7-4FA3-8E34-533CC44726C4}"/>
            </c:ext>
          </c:extLst>
        </c:ser>
        <c:ser>
          <c:idx val="27"/>
          <c:order val="27"/>
          <c:spPr>
            <a:ln w="28575" cap="rnd" cmpd="sng" algn="ctr">
              <a:solidFill>
                <a:srgbClr val="0F9ED5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Brownian!$C$44:$AH$44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106.4372893359884</c:v>
                </c:pt>
                <c:pt idx="2">
                  <c:v>116.76721416609922</c:v>
                </c:pt>
                <c:pt idx="3">
                  <c:v>107.82483564683831</c:v>
                </c:pt>
                <c:pt idx="4">
                  <c:v>108.87851117039045</c:v>
                </c:pt>
                <c:pt idx="5">
                  <c:v>151.15775433777702</c:v>
                </c:pt>
                <c:pt idx="6">
                  <c:v>195.73966744593892</c:v>
                </c:pt>
                <c:pt idx="7">
                  <c:v>160.42668609440204</c:v>
                </c:pt>
                <c:pt idx="8">
                  <c:v>179.69008619792623</c:v>
                </c:pt>
                <c:pt idx="9">
                  <c:v>254.20671075590411</c:v>
                </c:pt>
                <c:pt idx="10">
                  <c:v>247.78052770891179</c:v>
                </c:pt>
                <c:pt idx="11">
                  <c:v>250.94341977897557</c:v>
                </c:pt>
                <c:pt idx="12">
                  <c:v>295.3346511640878</c:v>
                </c:pt>
                <c:pt idx="13">
                  <c:v>380.27231367993022</c:v>
                </c:pt>
                <c:pt idx="14">
                  <c:v>319.06174318778415</c:v>
                </c:pt>
                <c:pt idx="15">
                  <c:v>404.7869429331945</c:v>
                </c:pt>
                <c:pt idx="16">
                  <c:v>488.26733341492297</c:v>
                </c:pt>
                <c:pt idx="17">
                  <c:v>520.7503731716306</c:v>
                </c:pt>
                <c:pt idx="18">
                  <c:v>674.67868535177729</c:v>
                </c:pt>
                <c:pt idx="19">
                  <c:v>646.62971941838418</c:v>
                </c:pt>
                <c:pt idx="20">
                  <c:v>842.10239523728399</c:v>
                </c:pt>
                <c:pt idx="21">
                  <c:v>690.113210957511</c:v>
                </c:pt>
                <c:pt idx="22">
                  <c:v>778.22989731780308</c:v>
                </c:pt>
                <c:pt idx="23">
                  <c:v>792.22336830847701</c:v>
                </c:pt>
                <c:pt idx="24">
                  <c:v>883.67817959864442</c:v>
                </c:pt>
                <c:pt idx="25">
                  <c:v>1077.8214836679683</c:v>
                </c:pt>
                <c:pt idx="26">
                  <c:v>1147.9170629140422</c:v>
                </c:pt>
                <c:pt idx="27">
                  <c:v>1483.3820788611506</c:v>
                </c:pt>
                <c:pt idx="28">
                  <c:v>1549.1006598994281</c:v>
                </c:pt>
                <c:pt idx="29">
                  <c:v>1985.3648436096626</c:v>
                </c:pt>
                <c:pt idx="30">
                  <c:v>2258.7355137116629</c:v>
                </c:pt>
                <c:pt idx="31">
                  <c:v>2381.1395430123398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BE7-4FA3-8E34-533CC44726C4}"/>
            </c:ext>
          </c:extLst>
        </c:ser>
        <c:ser>
          <c:idx val="28"/>
          <c:order val="28"/>
          <c:spPr>
            <a:ln w="28575" cap="rnd" cmpd="sng" algn="ctr">
              <a:solidFill>
                <a:srgbClr val="A02B93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Brownian!$C$45:$AH$45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122.66157013108034</c:v>
                </c:pt>
                <c:pt idx="2">
                  <c:v>126.64712285939638</c:v>
                </c:pt>
                <c:pt idx="3">
                  <c:v>139.11005121493568</c:v>
                </c:pt>
                <c:pt idx="4">
                  <c:v>126.97269028928494</c:v>
                </c:pt>
                <c:pt idx="5">
                  <c:v>124.34470794029616</c:v>
                </c:pt>
                <c:pt idx="6">
                  <c:v>152.59890945791273</c:v>
                </c:pt>
                <c:pt idx="7">
                  <c:v>204.04766998257384</c:v>
                </c:pt>
                <c:pt idx="8">
                  <c:v>228.30436762588226</c:v>
                </c:pt>
                <c:pt idx="9">
                  <c:v>221.293455115379</c:v>
                </c:pt>
                <c:pt idx="10">
                  <c:v>234.30138982125141</c:v>
                </c:pt>
                <c:pt idx="11">
                  <c:v>284.23795893416298</c:v>
                </c:pt>
                <c:pt idx="12">
                  <c:v>324.17445176460961</c:v>
                </c:pt>
                <c:pt idx="13">
                  <c:v>444.51893488692895</c:v>
                </c:pt>
                <c:pt idx="14">
                  <c:v>383.74612441611941</c:v>
                </c:pt>
                <c:pt idx="15">
                  <c:v>376.96871431249247</c:v>
                </c:pt>
                <c:pt idx="16">
                  <c:v>430.44902665511245</c:v>
                </c:pt>
                <c:pt idx="17">
                  <c:v>498.96251161993911</c:v>
                </c:pt>
                <c:pt idx="18">
                  <c:v>613.91830313649757</c:v>
                </c:pt>
                <c:pt idx="19">
                  <c:v>660.7822016572419</c:v>
                </c:pt>
                <c:pt idx="20">
                  <c:v>742.44657922725264</c:v>
                </c:pt>
                <c:pt idx="21">
                  <c:v>756.0390096656439</c:v>
                </c:pt>
                <c:pt idx="22">
                  <c:v>795.31401377630323</c:v>
                </c:pt>
                <c:pt idx="23">
                  <c:v>775.19526294433786</c:v>
                </c:pt>
                <c:pt idx="24">
                  <c:v>776.99429014953751</c:v>
                </c:pt>
                <c:pt idx="25">
                  <c:v>1001.5710819901088</c:v>
                </c:pt>
                <c:pt idx="26">
                  <c:v>1165.6325236320333</c:v>
                </c:pt>
                <c:pt idx="27">
                  <c:v>1413.0241766349329</c:v>
                </c:pt>
                <c:pt idx="28">
                  <c:v>1415.8734229881015</c:v>
                </c:pt>
                <c:pt idx="29">
                  <c:v>1585.6575580234444</c:v>
                </c:pt>
                <c:pt idx="30">
                  <c:v>1506.7350155477648</c:v>
                </c:pt>
                <c:pt idx="31">
                  <c:v>1935.3900891027506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BE7-4FA3-8E34-533CC44726C4}"/>
            </c:ext>
          </c:extLst>
        </c:ser>
        <c:ser>
          <c:idx val="29"/>
          <c:order val="29"/>
          <c:spPr>
            <a:ln w="28575" cap="rnd" cmpd="sng" algn="ctr">
              <a:solidFill>
                <a:srgbClr val="4EA72E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Brownian!$C$46:$AH$46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107.28071667620615</c:v>
                </c:pt>
                <c:pt idx="2">
                  <c:v>117.19068536458465</c:v>
                </c:pt>
                <c:pt idx="3">
                  <c:v>157.52890244946371</c:v>
                </c:pt>
                <c:pt idx="4">
                  <c:v>141.3224156721746</c:v>
                </c:pt>
                <c:pt idx="5">
                  <c:v>150.8183831761398</c:v>
                </c:pt>
                <c:pt idx="6">
                  <c:v>163.97004541024666</c:v>
                </c:pt>
                <c:pt idx="7">
                  <c:v>230.13191981419106</c:v>
                </c:pt>
                <c:pt idx="8">
                  <c:v>191.12778388556296</c:v>
                </c:pt>
                <c:pt idx="9">
                  <c:v>231.21389134150905</c:v>
                </c:pt>
                <c:pt idx="10">
                  <c:v>257.03747702718755</c:v>
                </c:pt>
                <c:pt idx="11">
                  <c:v>282.92431656655202</c:v>
                </c:pt>
                <c:pt idx="12">
                  <c:v>295.68949648140017</c:v>
                </c:pt>
                <c:pt idx="13">
                  <c:v>385.62450881480783</c:v>
                </c:pt>
                <c:pt idx="14">
                  <c:v>449.61258959540726</c:v>
                </c:pt>
                <c:pt idx="15">
                  <c:v>389.31368554348717</c:v>
                </c:pt>
                <c:pt idx="16">
                  <c:v>486.04439528513137</c:v>
                </c:pt>
                <c:pt idx="17">
                  <c:v>547.32512589176531</c:v>
                </c:pt>
                <c:pt idx="18">
                  <c:v>605.80285100820697</c:v>
                </c:pt>
                <c:pt idx="19">
                  <c:v>662.27403375793449</c:v>
                </c:pt>
                <c:pt idx="20">
                  <c:v>733.03326381483498</c:v>
                </c:pt>
                <c:pt idx="21">
                  <c:v>832.61774097736475</c:v>
                </c:pt>
                <c:pt idx="22">
                  <c:v>986.26903166940565</c:v>
                </c:pt>
                <c:pt idx="23">
                  <c:v>929.15865926637935</c:v>
                </c:pt>
                <c:pt idx="24">
                  <c:v>979.66126523512992</c:v>
                </c:pt>
                <c:pt idx="25">
                  <c:v>985.489520777709</c:v>
                </c:pt>
                <c:pt idx="26">
                  <c:v>1339.1361771320517</c:v>
                </c:pt>
                <c:pt idx="27">
                  <c:v>1053.6937185016127</c:v>
                </c:pt>
                <c:pt idx="28">
                  <c:v>1149.6678815543191</c:v>
                </c:pt>
                <c:pt idx="29">
                  <c:v>1320.517162188271</c:v>
                </c:pt>
                <c:pt idx="30">
                  <c:v>1307.5398557453484</c:v>
                </c:pt>
                <c:pt idx="31">
                  <c:v>1305.9202128686156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EBE7-4FA3-8E34-533CC44726C4}"/>
            </c:ext>
          </c:extLst>
        </c:ser>
        <c:ser>
          <c:idx val="30"/>
          <c:order val="30"/>
          <c:spPr>
            <a:ln w="28575" cap="rnd" cmpd="sng" algn="ctr">
              <a:solidFill>
                <a:srgbClr val="A0D7C9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Brownian!$C$47:$AH$47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100.26953716649342</c:v>
                </c:pt>
                <c:pt idx="2">
                  <c:v>99.964761094006406</c:v>
                </c:pt>
                <c:pt idx="3">
                  <c:v>121.0579354949644</c:v>
                </c:pt>
                <c:pt idx="4">
                  <c:v>126.86494127854108</c:v>
                </c:pt>
                <c:pt idx="5">
                  <c:v>171.24582758890975</c:v>
                </c:pt>
                <c:pt idx="6">
                  <c:v>142.68635692924244</c:v>
                </c:pt>
                <c:pt idx="7">
                  <c:v>175.77704297344638</c:v>
                </c:pt>
                <c:pt idx="8">
                  <c:v>182.02133331869834</c:v>
                </c:pt>
                <c:pt idx="9">
                  <c:v>264.77789033086526</c:v>
                </c:pt>
                <c:pt idx="10">
                  <c:v>292.44428893545853</c:v>
                </c:pt>
                <c:pt idx="11">
                  <c:v>303.37905305932804</c:v>
                </c:pt>
                <c:pt idx="12">
                  <c:v>260.13795030175601</c:v>
                </c:pt>
                <c:pt idx="13">
                  <c:v>286.13748056513805</c:v>
                </c:pt>
                <c:pt idx="14">
                  <c:v>359.10281858030038</c:v>
                </c:pt>
                <c:pt idx="15">
                  <c:v>389.9892274170021</c:v>
                </c:pt>
                <c:pt idx="16">
                  <c:v>418.66738245051613</c:v>
                </c:pt>
                <c:pt idx="17">
                  <c:v>544.99420329863187</c:v>
                </c:pt>
                <c:pt idx="18">
                  <c:v>531.30308466438544</c:v>
                </c:pt>
                <c:pt idx="19">
                  <c:v>637.56548378318939</c:v>
                </c:pt>
                <c:pt idx="20">
                  <c:v>810.30879905063</c:v>
                </c:pt>
                <c:pt idx="21">
                  <c:v>756.37365179171661</c:v>
                </c:pt>
                <c:pt idx="22">
                  <c:v>631.34108180937574</c:v>
                </c:pt>
                <c:pt idx="23">
                  <c:v>777.93201390205786</c:v>
                </c:pt>
                <c:pt idx="24">
                  <c:v>888.99074635600584</c:v>
                </c:pt>
                <c:pt idx="25">
                  <c:v>1030.8251877999678</c:v>
                </c:pt>
                <c:pt idx="26">
                  <c:v>1095.5144859318382</c:v>
                </c:pt>
                <c:pt idx="27">
                  <c:v>1116.2794920363142</c:v>
                </c:pt>
                <c:pt idx="28">
                  <c:v>1419.0624468363098</c:v>
                </c:pt>
                <c:pt idx="29">
                  <c:v>1329.3240177856915</c:v>
                </c:pt>
                <c:pt idx="30">
                  <c:v>1927.1090067593266</c:v>
                </c:pt>
                <c:pt idx="31">
                  <c:v>2109.8936855953357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EBE7-4FA3-8E34-533CC44726C4}"/>
            </c:ext>
          </c:extLst>
        </c:ser>
        <c:ser>
          <c:idx val="31"/>
          <c:order val="31"/>
          <c:marker>
            <c:symbol val="none"/>
          </c:marker>
          <c:val>
            <c:numRef>
              <c:f>Brownian!$C$48:$AH$48</c:f>
              <c:numCache>
                <c:formatCode>#,##0;\(#,##0\);\-</c:formatCode>
                <c:ptCount val="32"/>
                <c:pt idx="0">
                  <c:v>100</c:v>
                </c:pt>
                <c:pt idx="1">
                  <c:v>95.210889428180735</c:v>
                </c:pt>
                <c:pt idx="2">
                  <c:v>99.733194719992667</c:v>
                </c:pt>
                <c:pt idx="3">
                  <c:v>127.4300586357509</c:v>
                </c:pt>
                <c:pt idx="4">
                  <c:v>139.55069130468399</c:v>
                </c:pt>
                <c:pt idx="5">
                  <c:v>147.15888442660898</c:v>
                </c:pt>
                <c:pt idx="6">
                  <c:v>140.09484763516167</c:v>
                </c:pt>
                <c:pt idx="7">
                  <c:v>176.73689117531484</c:v>
                </c:pt>
                <c:pt idx="8">
                  <c:v>257.81938807387252</c:v>
                </c:pt>
                <c:pt idx="9">
                  <c:v>228.73192537695701</c:v>
                </c:pt>
                <c:pt idx="10">
                  <c:v>234.95338046802073</c:v>
                </c:pt>
                <c:pt idx="11">
                  <c:v>307.89091456719683</c:v>
                </c:pt>
                <c:pt idx="12">
                  <c:v>308.10240902818771</c:v>
                </c:pt>
                <c:pt idx="13">
                  <c:v>320.21153177726427</c:v>
                </c:pt>
                <c:pt idx="14">
                  <c:v>385.04468235299896</c:v>
                </c:pt>
                <c:pt idx="15">
                  <c:v>452.54247669481481</c:v>
                </c:pt>
                <c:pt idx="16">
                  <c:v>468.83979797552081</c:v>
                </c:pt>
                <c:pt idx="17">
                  <c:v>506.85428201983848</c:v>
                </c:pt>
                <c:pt idx="18">
                  <c:v>538.08185684292198</c:v>
                </c:pt>
                <c:pt idx="19">
                  <c:v>650.01482439997415</c:v>
                </c:pt>
                <c:pt idx="20">
                  <c:v>747.64749527526214</c:v>
                </c:pt>
                <c:pt idx="21">
                  <c:v>780.50620182463308</c:v>
                </c:pt>
                <c:pt idx="22">
                  <c:v>831.19515046267952</c:v>
                </c:pt>
                <c:pt idx="23">
                  <c:v>844.3180640731598</c:v>
                </c:pt>
                <c:pt idx="24">
                  <c:v>792.25906249489503</c:v>
                </c:pt>
                <c:pt idx="25">
                  <c:v>950.74813655354865</c:v>
                </c:pt>
                <c:pt idx="26">
                  <c:v>1191.8040481077098</c:v>
                </c:pt>
                <c:pt idx="27">
                  <c:v>1353.9265121467281</c:v>
                </c:pt>
                <c:pt idx="28">
                  <c:v>1489.816742146359</c:v>
                </c:pt>
                <c:pt idx="29">
                  <c:v>1319.8404553009625</c:v>
                </c:pt>
                <c:pt idx="30">
                  <c:v>1704.3516246970089</c:v>
                </c:pt>
                <c:pt idx="31">
                  <c:v>2072.0067671487104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EBE7-4FA3-8E34-533CC44726C4}"/>
            </c:ext>
          </c:extLst>
        </c:ser>
        <c:ser>
          <c:idx val="32"/>
          <c:order val="32"/>
          <c:marker>
            <c:symbol val="none"/>
          </c:marker>
          <c:val>
            <c:numRef>
              <c:f>Brownian!$C$49:$AH$49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121.94404611831133</c:v>
                </c:pt>
                <c:pt idx="2">
                  <c:v>133.68552630490211</c:v>
                </c:pt>
                <c:pt idx="3">
                  <c:v>113.67435632249217</c:v>
                </c:pt>
                <c:pt idx="4">
                  <c:v>117.4337499337386</c:v>
                </c:pt>
                <c:pt idx="5">
                  <c:v>115.53448763020499</c:v>
                </c:pt>
                <c:pt idx="6">
                  <c:v>167.1531916860873</c:v>
                </c:pt>
                <c:pt idx="7">
                  <c:v>196.9805373088368</c:v>
                </c:pt>
                <c:pt idx="8">
                  <c:v>198.35815375152561</c:v>
                </c:pt>
                <c:pt idx="9">
                  <c:v>188.95745770320156</c:v>
                </c:pt>
                <c:pt idx="10">
                  <c:v>241.65849633988134</c:v>
                </c:pt>
                <c:pt idx="11">
                  <c:v>263.86508184176967</c:v>
                </c:pt>
                <c:pt idx="12">
                  <c:v>276.57604120605561</c:v>
                </c:pt>
                <c:pt idx="13">
                  <c:v>268.15209019973872</c:v>
                </c:pt>
                <c:pt idx="14">
                  <c:v>349.05990312176965</c:v>
                </c:pt>
                <c:pt idx="15">
                  <c:v>409.49137656594962</c:v>
                </c:pt>
                <c:pt idx="16">
                  <c:v>520.73955023928352</c:v>
                </c:pt>
                <c:pt idx="17">
                  <c:v>602.82021919363092</c:v>
                </c:pt>
                <c:pt idx="18">
                  <c:v>522.91869838672733</c:v>
                </c:pt>
                <c:pt idx="19">
                  <c:v>456.99088092061749</c:v>
                </c:pt>
                <c:pt idx="20">
                  <c:v>578.09784619258744</c:v>
                </c:pt>
                <c:pt idx="21">
                  <c:v>723.09700867598485</c:v>
                </c:pt>
                <c:pt idx="22">
                  <c:v>704.91163869746401</c:v>
                </c:pt>
                <c:pt idx="23">
                  <c:v>1025.3032761448403</c:v>
                </c:pt>
                <c:pt idx="24">
                  <c:v>942.77566673289994</c:v>
                </c:pt>
                <c:pt idx="25">
                  <c:v>896.2868679814469</c:v>
                </c:pt>
                <c:pt idx="26">
                  <c:v>1062.5887361414643</c:v>
                </c:pt>
                <c:pt idx="27">
                  <c:v>1190.5589711464127</c:v>
                </c:pt>
                <c:pt idx="28">
                  <c:v>1331.9243521734238</c:v>
                </c:pt>
                <c:pt idx="29">
                  <c:v>1611.8657220430621</c:v>
                </c:pt>
                <c:pt idx="30">
                  <c:v>1578.5988276671942</c:v>
                </c:pt>
                <c:pt idx="31">
                  <c:v>1627.4107491543782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EBE7-4FA3-8E34-533CC44726C4}"/>
            </c:ext>
          </c:extLst>
        </c:ser>
        <c:ser>
          <c:idx val="33"/>
          <c:order val="33"/>
          <c:marker>
            <c:symbol val="none"/>
          </c:marker>
          <c:val>
            <c:numRef>
              <c:f>Brownian!$C$50:$AH$50</c:f>
              <c:numCache>
                <c:formatCode>#,##0;\(#,##0\);\-</c:formatCode>
                <c:ptCount val="32"/>
                <c:pt idx="0">
                  <c:v>100</c:v>
                </c:pt>
                <c:pt idx="1">
                  <c:v>88.434660738253655</c:v>
                </c:pt>
                <c:pt idx="2">
                  <c:v>119.76058295390717</c:v>
                </c:pt>
                <c:pt idx="3">
                  <c:v>123.36331791990042</c:v>
                </c:pt>
                <c:pt idx="4">
                  <c:v>138.33391974811596</c:v>
                </c:pt>
                <c:pt idx="5">
                  <c:v>155.99787316454621</c:v>
                </c:pt>
                <c:pt idx="6">
                  <c:v>192.72640763133862</c:v>
                </c:pt>
                <c:pt idx="7">
                  <c:v>219.66979865805203</c:v>
                </c:pt>
                <c:pt idx="8">
                  <c:v>216.8033667315151</c:v>
                </c:pt>
                <c:pt idx="9">
                  <c:v>234.95444630640043</c:v>
                </c:pt>
                <c:pt idx="10">
                  <c:v>308.7076970003792</c:v>
                </c:pt>
                <c:pt idx="11">
                  <c:v>416.56639261676628</c:v>
                </c:pt>
                <c:pt idx="12">
                  <c:v>381.2758216319001</c:v>
                </c:pt>
                <c:pt idx="13">
                  <c:v>364.39710019624977</c:v>
                </c:pt>
                <c:pt idx="14">
                  <c:v>309.15333242174847</c:v>
                </c:pt>
                <c:pt idx="15">
                  <c:v>334.27546970308049</c:v>
                </c:pt>
                <c:pt idx="16">
                  <c:v>401.31374290754729</c:v>
                </c:pt>
                <c:pt idx="17">
                  <c:v>462.53152052130719</c:v>
                </c:pt>
                <c:pt idx="18">
                  <c:v>557.61368485088315</c:v>
                </c:pt>
                <c:pt idx="19">
                  <c:v>568.06658865842371</c:v>
                </c:pt>
                <c:pt idx="20">
                  <c:v>612.04173816495381</c:v>
                </c:pt>
                <c:pt idx="21">
                  <c:v>880.25220041653415</c:v>
                </c:pt>
                <c:pt idx="22">
                  <c:v>846.38630787967872</c:v>
                </c:pt>
                <c:pt idx="23">
                  <c:v>911.85909314442347</c:v>
                </c:pt>
                <c:pt idx="24">
                  <c:v>1213.3797151397221</c:v>
                </c:pt>
                <c:pt idx="25">
                  <c:v>1170.0439823275854</c:v>
                </c:pt>
                <c:pt idx="26">
                  <c:v>1207.6213908507052</c:v>
                </c:pt>
                <c:pt idx="27">
                  <c:v>1576.6275769421236</c:v>
                </c:pt>
                <c:pt idx="28">
                  <c:v>1829.473073213441</c:v>
                </c:pt>
                <c:pt idx="29">
                  <c:v>2032.2024436754259</c:v>
                </c:pt>
                <c:pt idx="30">
                  <c:v>2029.4983587155398</c:v>
                </c:pt>
                <c:pt idx="31">
                  <c:v>2194.0105152122487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EBE7-4FA3-8E34-533CC44726C4}"/>
            </c:ext>
          </c:extLst>
        </c:ser>
        <c:ser>
          <c:idx val="34"/>
          <c:order val="34"/>
          <c:marker>
            <c:symbol val="none"/>
          </c:marker>
          <c:val>
            <c:numRef>
              <c:f>Brownian!$C$51:$AH$51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100.23783042352319</c:v>
                </c:pt>
                <c:pt idx="2">
                  <c:v>117.04051166027136</c:v>
                </c:pt>
                <c:pt idx="3">
                  <c:v>130.47311266536178</c:v>
                </c:pt>
                <c:pt idx="4">
                  <c:v>128.88516546113073</c:v>
                </c:pt>
                <c:pt idx="5">
                  <c:v>144.55531294921778</c:v>
                </c:pt>
                <c:pt idx="6">
                  <c:v>156.73793894174207</c:v>
                </c:pt>
                <c:pt idx="7">
                  <c:v>170.4777895409203</c:v>
                </c:pt>
                <c:pt idx="8">
                  <c:v>186.20138415833742</c:v>
                </c:pt>
                <c:pt idx="9">
                  <c:v>189.64694880864675</c:v>
                </c:pt>
                <c:pt idx="10">
                  <c:v>210.06690024239288</c:v>
                </c:pt>
                <c:pt idx="11">
                  <c:v>249.53777276465485</c:v>
                </c:pt>
                <c:pt idx="12">
                  <c:v>311.89521570321062</c:v>
                </c:pt>
                <c:pt idx="13">
                  <c:v>389.97072477329192</c:v>
                </c:pt>
                <c:pt idx="14">
                  <c:v>375.63662797276345</c:v>
                </c:pt>
                <c:pt idx="15">
                  <c:v>485.27821968954981</c:v>
                </c:pt>
                <c:pt idx="16">
                  <c:v>564.54235982366515</c:v>
                </c:pt>
                <c:pt idx="17">
                  <c:v>661.8068601549196</c:v>
                </c:pt>
                <c:pt idx="18">
                  <c:v>675.8290160769825</c:v>
                </c:pt>
                <c:pt idx="19">
                  <c:v>643.25748804654586</c:v>
                </c:pt>
                <c:pt idx="20">
                  <c:v>623.83806056901165</c:v>
                </c:pt>
                <c:pt idx="21">
                  <c:v>589.3107066303221</c:v>
                </c:pt>
                <c:pt idx="22">
                  <c:v>678.12328522264784</c:v>
                </c:pt>
                <c:pt idx="23">
                  <c:v>767.44486666824582</c:v>
                </c:pt>
                <c:pt idx="24">
                  <c:v>963.1203714997722</c:v>
                </c:pt>
                <c:pt idx="25">
                  <c:v>1122.7781010252311</c:v>
                </c:pt>
                <c:pt idx="26">
                  <c:v>1116.5801453278616</c:v>
                </c:pt>
                <c:pt idx="27">
                  <c:v>1371.9202867806566</c:v>
                </c:pt>
                <c:pt idx="28">
                  <c:v>1493.7022788229606</c:v>
                </c:pt>
                <c:pt idx="29">
                  <c:v>1282.4066467379985</c:v>
                </c:pt>
                <c:pt idx="30">
                  <c:v>1455.4537454587273</c:v>
                </c:pt>
                <c:pt idx="31">
                  <c:v>1771.4041044616797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EBE7-4FA3-8E34-533CC44726C4}"/>
            </c:ext>
          </c:extLst>
        </c:ser>
        <c:ser>
          <c:idx val="35"/>
          <c:order val="35"/>
          <c:marker>
            <c:symbol val="none"/>
          </c:marker>
          <c:val>
            <c:numRef>
              <c:f>Brownian!$C$52:$AH$52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102.36796007371711</c:v>
                </c:pt>
                <c:pt idx="2">
                  <c:v>114.86452884322742</c:v>
                </c:pt>
                <c:pt idx="3">
                  <c:v>103.02397138971419</c:v>
                </c:pt>
                <c:pt idx="4">
                  <c:v>153.45016319687954</c:v>
                </c:pt>
                <c:pt idx="5">
                  <c:v>148.3415361939098</c:v>
                </c:pt>
                <c:pt idx="6">
                  <c:v>135.31082594534945</c:v>
                </c:pt>
                <c:pt idx="7">
                  <c:v>166.22348707378239</c:v>
                </c:pt>
                <c:pt idx="8">
                  <c:v>166.13877498746189</c:v>
                </c:pt>
                <c:pt idx="9">
                  <c:v>204.91251197625979</c:v>
                </c:pt>
                <c:pt idx="10">
                  <c:v>251.012111208752</c:v>
                </c:pt>
                <c:pt idx="11">
                  <c:v>267.38569150915851</c:v>
                </c:pt>
                <c:pt idx="12">
                  <c:v>306.4939149635623</c:v>
                </c:pt>
                <c:pt idx="13">
                  <c:v>429.87732286833671</c:v>
                </c:pt>
                <c:pt idx="14">
                  <c:v>446.57259986864318</c:v>
                </c:pt>
                <c:pt idx="15">
                  <c:v>468.90224964193732</c:v>
                </c:pt>
                <c:pt idx="16">
                  <c:v>537.39722442876223</c:v>
                </c:pt>
                <c:pt idx="17">
                  <c:v>633.57391819877932</c:v>
                </c:pt>
                <c:pt idx="18">
                  <c:v>519.95198998998274</c:v>
                </c:pt>
                <c:pt idx="19">
                  <c:v>674.61277469040692</c:v>
                </c:pt>
                <c:pt idx="20">
                  <c:v>744.14185066886739</c:v>
                </c:pt>
                <c:pt idx="21">
                  <c:v>776.37452515217456</c:v>
                </c:pt>
                <c:pt idx="22">
                  <c:v>728.80439484931912</c:v>
                </c:pt>
                <c:pt idx="23">
                  <c:v>698.56706733078283</c:v>
                </c:pt>
                <c:pt idx="24">
                  <c:v>883.92134359282068</c:v>
                </c:pt>
                <c:pt idx="25">
                  <c:v>1036.9058586435156</c:v>
                </c:pt>
                <c:pt idx="26">
                  <c:v>1115.3579330684379</c:v>
                </c:pt>
                <c:pt idx="27">
                  <c:v>1160.3780418415804</c:v>
                </c:pt>
                <c:pt idx="28">
                  <c:v>1527.1464191074419</c:v>
                </c:pt>
                <c:pt idx="29">
                  <c:v>1481.5595257244947</c:v>
                </c:pt>
                <c:pt idx="30">
                  <c:v>1717.5187009790297</c:v>
                </c:pt>
                <c:pt idx="31">
                  <c:v>1821.0046850730914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EBE7-4FA3-8E34-533CC44726C4}"/>
            </c:ext>
          </c:extLst>
        </c:ser>
        <c:ser>
          <c:idx val="36"/>
          <c:order val="36"/>
          <c:marker>
            <c:symbol val="none"/>
          </c:marker>
          <c:val>
            <c:numRef>
              <c:f>Brownian!$C$53:$AH$53</c:f>
              <c:numCache>
                <c:formatCode>#,##0;\(#,##0\);\-</c:formatCode>
                <c:ptCount val="32"/>
                <c:pt idx="0">
                  <c:v>100</c:v>
                </c:pt>
                <c:pt idx="1">
                  <c:v>98.773229079975948</c:v>
                </c:pt>
                <c:pt idx="2">
                  <c:v>111.05471338259395</c:v>
                </c:pt>
                <c:pt idx="3">
                  <c:v>118.26551156822134</c:v>
                </c:pt>
                <c:pt idx="4">
                  <c:v>146.60814833684483</c:v>
                </c:pt>
                <c:pt idx="5">
                  <c:v>206.61300350825059</c:v>
                </c:pt>
                <c:pt idx="6">
                  <c:v>243.61057894256257</c:v>
                </c:pt>
                <c:pt idx="7">
                  <c:v>256.2402768872235</c:v>
                </c:pt>
                <c:pt idx="8">
                  <c:v>230.51749669890154</c:v>
                </c:pt>
                <c:pt idx="9">
                  <c:v>224.85073312679776</c:v>
                </c:pt>
                <c:pt idx="10">
                  <c:v>266.36095568158703</c:v>
                </c:pt>
                <c:pt idx="11">
                  <c:v>330.7693480998372</c:v>
                </c:pt>
                <c:pt idx="12">
                  <c:v>274.58928805317004</c:v>
                </c:pt>
                <c:pt idx="13">
                  <c:v>323.28900786855638</c:v>
                </c:pt>
                <c:pt idx="14">
                  <c:v>363.72166858418865</c:v>
                </c:pt>
                <c:pt idx="15">
                  <c:v>433.89347015813638</c:v>
                </c:pt>
                <c:pt idx="16">
                  <c:v>469.31982938534907</c:v>
                </c:pt>
                <c:pt idx="17">
                  <c:v>571.79997488522133</c:v>
                </c:pt>
                <c:pt idx="18">
                  <c:v>594.00164512798119</c:v>
                </c:pt>
                <c:pt idx="19">
                  <c:v>658.67264805073592</c:v>
                </c:pt>
                <c:pt idx="20">
                  <c:v>698.6528370263145</c:v>
                </c:pt>
                <c:pt idx="21">
                  <c:v>769.66146979048835</c:v>
                </c:pt>
                <c:pt idx="22">
                  <c:v>907.24618230180295</c:v>
                </c:pt>
                <c:pt idx="23">
                  <c:v>1028.3352573013804</c:v>
                </c:pt>
                <c:pt idx="24">
                  <c:v>809.22523366380449</c:v>
                </c:pt>
                <c:pt idx="25">
                  <c:v>796.68192627845508</c:v>
                </c:pt>
                <c:pt idx="26">
                  <c:v>988.47019272914986</c:v>
                </c:pt>
                <c:pt idx="27">
                  <c:v>949.48756756347564</c:v>
                </c:pt>
                <c:pt idx="28">
                  <c:v>1113.2292397669626</c:v>
                </c:pt>
                <c:pt idx="29">
                  <c:v>1662.9278154335091</c:v>
                </c:pt>
                <c:pt idx="30">
                  <c:v>1786.781713793464</c:v>
                </c:pt>
                <c:pt idx="31">
                  <c:v>1737.651413055964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EBE7-4FA3-8E34-533CC44726C4}"/>
            </c:ext>
          </c:extLst>
        </c:ser>
        <c:ser>
          <c:idx val="37"/>
          <c:order val="37"/>
          <c:marker>
            <c:symbol val="none"/>
          </c:marker>
          <c:val>
            <c:numRef>
              <c:f>Brownian!$C$54:$AH$54</c:f>
              <c:numCache>
                <c:formatCode>#,##0;\(#,##0\);\-</c:formatCode>
                <c:ptCount val="32"/>
                <c:pt idx="0">
                  <c:v>100</c:v>
                </c:pt>
                <c:pt idx="1">
                  <c:v>97.649723268309288</c:v>
                </c:pt>
                <c:pt idx="2">
                  <c:v>122.8338188051365</c:v>
                </c:pt>
                <c:pt idx="3">
                  <c:v>117.88756753582339</c:v>
                </c:pt>
                <c:pt idx="4">
                  <c:v>119.91575492600631</c:v>
                </c:pt>
                <c:pt idx="5">
                  <c:v>147.16747356166815</c:v>
                </c:pt>
                <c:pt idx="6">
                  <c:v>142.7041311922161</c:v>
                </c:pt>
                <c:pt idx="7">
                  <c:v>174.27101764783197</c:v>
                </c:pt>
                <c:pt idx="8">
                  <c:v>197.38015667391466</c:v>
                </c:pt>
                <c:pt idx="9">
                  <c:v>261.57455785659488</c:v>
                </c:pt>
                <c:pt idx="10">
                  <c:v>297.07263488647664</c:v>
                </c:pt>
                <c:pt idx="11">
                  <c:v>299.53642858458181</c:v>
                </c:pt>
                <c:pt idx="12">
                  <c:v>329.18443804962021</c:v>
                </c:pt>
                <c:pt idx="13">
                  <c:v>266.90518700970301</c:v>
                </c:pt>
                <c:pt idx="14">
                  <c:v>317.61253693114924</c:v>
                </c:pt>
                <c:pt idx="15">
                  <c:v>370.20369618726795</c:v>
                </c:pt>
                <c:pt idx="16">
                  <c:v>358.22097125280698</c:v>
                </c:pt>
                <c:pt idx="17">
                  <c:v>427.66255805065748</c:v>
                </c:pt>
                <c:pt idx="18">
                  <c:v>521.4132793449694</c:v>
                </c:pt>
                <c:pt idx="19">
                  <c:v>610.71346066237027</c:v>
                </c:pt>
                <c:pt idx="20">
                  <c:v>678.06142433971149</c:v>
                </c:pt>
                <c:pt idx="21">
                  <c:v>805.62388978223896</c:v>
                </c:pt>
                <c:pt idx="22">
                  <c:v>776.42948938078314</c:v>
                </c:pt>
                <c:pt idx="23">
                  <c:v>917.95310726209414</c:v>
                </c:pt>
                <c:pt idx="24">
                  <c:v>1010.2485000824471</c:v>
                </c:pt>
                <c:pt idx="25">
                  <c:v>1197.4546256454332</c:v>
                </c:pt>
                <c:pt idx="26">
                  <c:v>1323.5712664870587</c:v>
                </c:pt>
                <c:pt idx="27">
                  <c:v>1325.9065346750876</c:v>
                </c:pt>
                <c:pt idx="28">
                  <c:v>1641.7108547998423</c:v>
                </c:pt>
                <c:pt idx="29">
                  <c:v>1384.0346083624995</c:v>
                </c:pt>
                <c:pt idx="30">
                  <c:v>1609.4854466988065</c:v>
                </c:pt>
                <c:pt idx="31">
                  <c:v>1881.0111061233274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EBE7-4FA3-8E34-533CC44726C4}"/>
            </c:ext>
          </c:extLst>
        </c:ser>
        <c:ser>
          <c:idx val="38"/>
          <c:order val="38"/>
          <c:marker>
            <c:symbol val="none"/>
          </c:marker>
          <c:val>
            <c:numRef>
              <c:f>Brownian!$C$55:$AH$55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119.39380741671776</c:v>
                </c:pt>
                <c:pt idx="2">
                  <c:v>110.35310906949654</c:v>
                </c:pt>
                <c:pt idx="3">
                  <c:v>121.213942932788</c:v>
                </c:pt>
                <c:pt idx="4">
                  <c:v>119.36041870337118</c:v>
                </c:pt>
                <c:pt idx="5">
                  <c:v>120.00784638189256</c:v>
                </c:pt>
                <c:pt idx="6">
                  <c:v>140.88951420337105</c:v>
                </c:pt>
                <c:pt idx="7">
                  <c:v>198.80102555951078</c:v>
                </c:pt>
                <c:pt idx="8">
                  <c:v>221.41008934693275</c:v>
                </c:pt>
                <c:pt idx="9">
                  <c:v>240.24460514244782</c:v>
                </c:pt>
                <c:pt idx="10">
                  <c:v>243.32331390994796</c:v>
                </c:pt>
                <c:pt idx="11">
                  <c:v>260.72957501194003</c:v>
                </c:pt>
                <c:pt idx="12">
                  <c:v>300.92678797132459</c:v>
                </c:pt>
                <c:pt idx="13">
                  <c:v>406.34410088006814</c:v>
                </c:pt>
                <c:pt idx="14">
                  <c:v>477.24004057920263</c:v>
                </c:pt>
                <c:pt idx="15">
                  <c:v>461.0586635195549</c:v>
                </c:pt>
                <c:pt idx="16">
                  <c:v>489.98447969847905</c:v>
                </c:pt>
                <c:pt idx="17">
                  <c:v>455.78530803540343</c:v>
                </c:pt>
                <c:pt idx="18">
                  <c:v>613.28850007626738</c:v>
                </c:pt>
                <c:pt idx="19">
                  <c:v>535.89030030428114</c:v>
                </c:pt>
                <c:pt idx="20">
                  <c:v>613.92348089963639</c:v>
                </c:pt>
                <c:pt idx="21">
                  <c:v>706.09536267388557</c:v>
                </c:pt>
                <c:pt idx="22">
                  <c:v>811.04522993599016</c:v>
                </c:pt>
                <c:pt idx="23">
                  <c:v>736.41716630125336</c:v>
                </c:pt>
                <c:pt idx="24">
                  <c:v>936.19634960603366</c:v>
                </c:pt>
                <c:pt idx="25">
                  <c:v>1278.3199992943642</c:v>
                </c:pt>
                <c:pt idx="26">
                  <c:v>1476.5327466919387</c:v>
                </c:pt>
                <c:pt idx="27">
                  <c:v>1475.4761561204</c:v>
                </c:pt>
                <c:pt idx="28">
                  <c:v>1574.9670421637325</c:v>
                </c:pt>
                <c:pt idx="29">
                  <c:v>1723.1942826338868</c:v>
                </c:pt>
                <c:pt idx="30">
                  <c:v>1797.8055569272246</c:v>
                </c:pt>
                <c:pt idx="31">
                  <c:v>1776.0782116485673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EBE7-4FA3-8E34-533CC44726C4}"/>
            </c:ext>
          </c:extLst>
        </c:ser>
        <c:ser>
          <c:idx val="39"/>
          <c:order val="39"/>
          <c:marker>
            <c:symbol val="none"/>
          </c:marker>
          <c:val>
            <c:numRef>
              <c:f>Brownian!$C$56:$AH$56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105.15645108331613</c:v>
                </c:pt>
                <c:pt idx="2">
                  <c:v>124.89962072345288</c:v>
                </c:pt>
                <c:pt idx="3">
                  <c:v>122.78971295721706</c:v>
                </c:pt>
                <c:pt idx="4">
                  <c:v>123.35134368440211</c:v>
                </c:pt>
                <c:pt idx="5">
                  <c:v>172.5162942234968</c:v>
                </c:pt>
                <c:pt idx="6">
                  <c:v>211.07643444343492</c:v>
                </c:pt>
                <c:pt idx="7">
                  <c:v>217.66162045221952</c:v>
                </c:pt>
                <c:pt idx="8">
                  <c:v>214.42207000022029</c:v>
                </c:pt>
                <c:pt idx="9">
                  <c:v>245.8105114913165</c:v>
                </c:pt>
                <c:pt idx="10">
                  <c:v>239.37523066372339</c:v>
                </c:pt>
                <c:pt idx="11">
                  <c:v>243.01256103895389</c:v>
                </c:pt>
                <c:pt idx="12">
                  <c:v>273.03574101574191</c:v>
                </c:pt>
                <c:pt idx="13">
                  <c:v>331.8332456457162</c:v>
                </c:pt>
                <c:pt idx="14">
                  <c:v>355.50441741592078</c:v>
                </c:pt>
                <c:pt idx="15">
                  <c:v>418.21245999770974</c:v>
                </c:pt>
                <c:pt idx="16">
                  <c:v>522.60555578118226</c:v>
                </c:pt>
                <c:pt idx="17">
                  <c:v>508.04278228474612</c:v>
                </c:pt>
                <c:pt idx="18">
                  <c:v>529.77952460902543</c:v>
                </c:pt>
                <c:pt idx="19">
                  <c:v>560.35501597514349</c:v>
                </c:pt>
                <c:pt idx="20">
                  <c:v>648.13979649131647</c:v>
                </c:pt>
                <c:pt idx="21">
                  <c:v>793.24704556716449</c:v>
                </c:pt>
                <c:pt idx="22">
                  <c:v>813.98104948016544</c:v>
                </c:pt>
                <c:pt idx="23">
                  <c:v>963.95508356447317</c:v>
                </c:pt>
                <c:pt idx="24">
                  <c:v>1056.9148530310274</c:v>
                </c:pt>
                <c:pt idx="25">
                  <c:v>1087.9277463998528</c:v>
                </c:pt>
                <c:pt idx="26">
                  <c:v>979.3967776086464</c:v>
                </c:pt>
                <c:pt idx="27">
                  <c:v>1033.6261339020884</c:v>
                </c:pt>
                <c:pt idx="28">
                  <c:v>941.51921145765914</c:v>
                </c:pt>
                <c:pt idx="29">
                  <c:v>1238.1366505606779</c:v>
                </c:pt>
                <c:pt idx="30">
                  <c:v>1501.2563810932204</c:v>
                </c:pt>
                <c:pt idx="31">
                  <c:v>1834.4574812417336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EBE7-4FA3-8E34-533CC44726C4}"/>
            </c:ext>
          </c:extLst>
        </c:ser>
        <c:ser>
          <c:idx val="40"/>
          <c:order val="40"/>
          <c:marker>
            <c:symbol val="none"/>
          </c:marker>
          <c:val>
            <c:numRef>
              <c:f>Brownian!$C$57:$AH$57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109.14767588648706</c:v>
                </c:pt>
                <c:pt idx="2">
                  <c:v>129.13732330145319</c:v>
                </c:pt>
                <c:pt idx="3">
                  <c:v>161.15680858251181</c:v>
                </c:pt>
                <c:pt idx="4">
                  <c:v>152.56529341407025</c:v>
                </c:pt>
                <c:pt idx="5">
                  <c:v>170.20281113671919</c:v>
                </c:pt>
                <c:pt idx="6">
                  <c:v>202.41140746482478</c:v>
                </c:pt>
                <c:pt idx="7">
                  <c:v>210.00927787471244</c:v>
                </c:pt>
                <c:pt idx="8">
                  <c:v>210.05770428289424</c:v>
                </c:pt>
                <c:pt idx="9">
                  <c:v>231.39973821783809</c:v>
                </c:pt>
                <c:pt idx="10">
                  <c:v>215.13552273340082</c:v>
                </c:pt>
                <c:pt idx="11">
                  <c:v>270.31360197846033</c:v>
                </c:pt>
                <c:pt idx="12">
                  <c:v>279.38394897290402</c:v>
                </c:pt>
                <c:pt idx="13">
                  <c:v>295.96687564389026</c:v>
                </c:pt>
                <c:pt idx="14">
                  <c:v>374.77312144170838</c:v>
                </c:pt>
                <c:pt idx="15">
                  <c:v>525.66681764986629</c:v>
                </c:pt>
                <c:pt idx="16">
                  <c:v>515.45551212493228</c:v>
                </c:pt>
                <c:pt idx="17">
                  <c:v>595.070986947488</c:v>
                </c:pt>
                <c:pt idx="18">
                  <c:v>572.25196586243567</c:v>
                </c:pt>
                <c:pt idx="19">
                  <c:v>586.84496681446353</c:v>
                </c:pt>
                <c:pt idx="20">
                  <c:v>601.99175324562395</c:v>
                </c:pt>
                <c:pt idx="21">
                  <c:v>822.06875603005892</c:v>
                </c:pt>
                <c:pt idx="22">
                  <c:v>821.32731322784821</c:v>
                </c:pt>
                <c:pt idx="23">
                  <c:v>753.41129580711038</c:v>
                </c:pt>
                <c:pt idx="24">
                  <c:v>989.62254349967407</c:v>
                </c:pt>
                <c:pt idx="25">
                  <c:v>1134.8992865289554</c:v>
                </c:pt>
                <c:pt idx="26">
                  <c:v>1136.3521444429443</c:v>
                </c:pt>
                <c:pt idx="27">
                  <c:v>1278.2507193630968</c:v>
                </c:pt>
                <c:pt idx="28">
                  <c:v>1433.2952751445994</c:v>
                </c:pt>
                <c:pt idx="29">
                  <c:v>1617.4912941283164</c:v>
                </c:pt>
                <c:pt idx="30">
                  <c:v>1880.5148234854657</c:v>
                </c:pt>
                <c:pt idx="31">
                  <c:v>1496.8129784962671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EBE7-4FA3-8E34-533CC44726C4}"/>
            </c:ext>
          </c:extLst>
        </c:ser>
        <c:ser>
          <c:idx val="41"/>
          <c:order val="41"/>
          <c:marker>
            <c:symbol val="none"/>
          </c:marker>
          <c:val>
            <c:numRef>
              <c:f>Brownian!$C$58:$AH$58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119.5016420067422</c:v>
                </c:pt>
                <c:pt idx="2">
                  <c:v>122.98161200986456</c:v>
                </c:pt>
                <c:pt idx="3">
                  <c:v>152.5559887026707</c:v>
                </c:pt>
                <c:pt idx="4">
                  <c:v>129.62361110452275</c:v>
                </c:pt>
                <c:pt idx="5">
                  <c:v>127.27252098260755</c:v>
                </c:pt>
                <c:pt idx="6">
                  <c:v>173.26800019101051</c:v>
                </c:pt>
                <c:pt idx="7">
                  <c:v>220.48843021203061</c:v>
                </c:pt>
                <c:pt idx="8">
                  <c:v>233.65617085904591</c:v>
                </c:pt>
                <c:pt idx="9">
                  <c:v>250.60371130661912</c:v>
                </c:pt>
                <c:pt idx="10">
                  <c:v>220.02888419536185</c:v>
                </c:pt>
                <c:pt idx="11">
                  <c:v>261.84913304891052</c:v>
                </c:pt>
                <c:pt idx="12">
                  <c:v>259.90737671691409</c:v>
                </c:pt>
                <c:pt idx="13">
                  <c:v>317.1595720576135</c:v>
                </c:pt>
                <c:pt idx="14">
                  <c:v>368.39630244780653</c:v>
                </c:pt>
                <c:pt idx="15">
                  <c:v>404.94710812697474</c:v>
                </c:pt>
                <c:pt idx="16">
                  <c:v>388.32167622741269</c:v>
                </c:pt>
                <c:pt idx="17">
                  <c:v>477.05747773843729</c:v>
                </c:pt>
                <c:pt idx="18">
                  <c:v>456.24832871018879</c:v>
                </c:pt>
                <c:pt idx="19">
                  <c:v>565.12548220978783</c:v>
                </c:pt>
                <c:pt idx="20">
                  <c:v>728.11937057310558</c:v>
                </c:pt>
                <c:pt idx="21">
                  <c:v>735.8059638428042</c:v>
                </c:pt>
                <c:pt idx="22">
                  <c:v>821.35803113801421</c:v>
                </c:pt>
                <c:pt idx="23">
                  <c:v>1056.1211148497982</c:v>
                </c:pt>
                <c:pt idx="24">
                  <c:v>842.19889513715725</c:v>
                </c:pt>
                <c:pt idx="25">
                  <c:v>1054.1923655576254</c:v>
                </c:pt>
                <c:pt idx="26">
                  <c:v>1327.4906035998642</c:v>
                </c:pt>
                <c:pt idx="27">
                  <c:v>1614.7895753624384</c:v>
                </c:pt>
                <c:pt idx="28">
                  <c:v>1484.5155012656307</c:v>
                </c:pt>
                <c:pt idx="29">
                  <c:v>1497.5581591528567</c:v>
                </c:pt>
                <c:pt idx="30">
                  <c:v>1687.3960109162965</c:v>
                </c:pt>
                <c:pt idx="31">
                  <c:v>2078.7986339132613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EBE7-4FA3-8E34-533CC44726C4}"/>
            </c:ext>
          </c:extLst>
        </c:ser>
        <c:ser>
          <c:idx val="42"/>
          <c:order val="42"/>
          <c:marker>
            <c:symbol val="none"/>
          </c:marker>
          <c:val>
            <c:numRef>
              <c:f>Brownian!$C$59:$AH$59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108.16841265228663</c:v>
                </c:pt>
                <c:pt idx="2">
                  <c:v>139.85652261932447</c:v>
                </c:pt>
                <c:pt idx="3">
                  <c:v>112.35168238810371</c:v>
                </c:pt>
                <c:pt idx="4">
                  <c:v>146.73702276603251</c:v>
                </c:pt>
                <c:pt idx="5">
                  <c:v>156.85617382525157</c:v>
                </c:pt>
                <c:pt idx="6">
                  <c:v>185.39462632985203</c:v>
                </c:pt>
                <c:pt idx="7">
                  <c:v>208.48351297896033</c:v>
                </c:pt>
                <c:pt idx="8">
                  <c:v>212.11840316426537</c:v>
                </c:pt>
                <c:pt idx="9">
                  <c:v>250.95710292304722</c:v>
                </c:pt>
                <c:pt idx="10">
                  <c:v>271.3302633785778</c:v>
                </c:pt>
                <c:pt idx="11">
                  <c:v>282.26010601505152</c:v>
                </c:pt>
                <c:pt idx="12">
                  <c:v>329.73434274490603</c:v>
                </c:pt>
                <c:pt idx="13">
                  <c:v>315.73630718876024</c:v>
                </c:pt>
                <c:pt idx="14">
                  <c:v>303.14537010356435</c:v>
                </c:pt>
                <c:pt idx="15">
                  <c:v>351.35235679040272</c:v>
                </c:pt>
                <c:pt idx="16">
                  <c:v>435.10492209608208</c:v>
                </c:pt>
                <c:pt idx="17">
                  <c:v>445.14775262658532</c:v>
                </c:pt>
                <c:pt idx="18">
                  <c:v>531.04071251584617</c:v>
                </c:pt>
                <c:pt idx="19">
                  <c:v>671.69534437375842</c:v>
                </c:pt>
                <c:pt idx="20">
                  <c:v>653.51677483025969</c:v>
                </c:pt>
                <c:pt idx="21">
                  <c:v>612.25721100928649</c:v>
                </c:pt>
                <c:pt idx="22">
                  <c:v>717.89100814656649</c:v>
                </c:pt>
                <c:pt idx="23">
                  <c:v>895.40391388733121</c:v>
                </c:pt>
                <c:pt idx="24">
                  <c:v>942.08105675718639</c:v>
                </c:pt>
                <c:pt idx="25">
                  <c:v>1186.1697520348184</c:v>
                </c:pt>
                <c:pt idx="26">
                  <c:v>1314.0014724493337</c:v>
                </c:pt>
                <c:pt idx="27">
                  <c:v>1257.820714620203</c:v>
                </c:pt>
                <c:pt idx="28">
                  <c:v>1590.9294476495349</c:v>
                </c:pt>
                <c:pt idx="29">
                  <c:v>1880.0287216263932</c:v>
                </c:pt>
                <c:pt idx="30">
                  <c:v>1951.4773675124086</c:v>
                </c:pt>
                <c:pt idx="31">
                  <c:v>2001.4579503162904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EBE7-4FA3-8E34-533CC44726C4}"/>
            </c:ext>
          </c:extLst>
        </c:ser>
        <c:ser>
          <c:idx val="43"/>
          <c:order val="43"/>
          <c:marker>
            <c:symbol val="none"/>
          </c:marker>
          <c:val>
            <c:numRef>
              <c:f>Brownian!$C$60:$AH$60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121.09586127786139</c:v>
                </c:pt>
                <c:pt idx="2">
                  <c:v>141.38654596275106</c:v>
                </c:pt>
                <c:pt idx="3">
                  <c:v>119.20731386503138</c:v>
                </c:pt>
                <c:pt idx="4">
                  <c:v>115.52334697918654</c:v>
                </c:pt>
                <c:pt idx="5">
                  <c:v>134.09527611613109</c:v>
                </c:pt>
                <c:pt idx="6">
                  <c:v>179.47758320437987</c:v>
                </c:pt>
                <c:pt idx="7">
                  <c:v>161.67933397201591</c:v>
                </c:pt>
                <c:pt idx="8">
                  <c:v>191.53305566869881</c:v>
                </c:pt>
                <c:pt idx="9">
                  <c:v>192.34246935592438</c:v>
                </c:pt>
                <c:pt idx="10">
                  <c:v>195.39190323676445</c:v>
                </c:pt>
                <c:pt idx="11">
                  <c:v>255.18266264936059</c:v>
                </c:pt>
                <c:pt idx="12">
                  <c:v>223.15348738735003</c:v>
                </c:pt>
                <c:pt idx="13">
                  <c:v>273.71220636322323</c:v>
                </c:pt>
                <c:pt idx="14">
                  <c:v>286.78582725351419</c:v>
                </c:pt>
                <c:pt idx="15">
                  <c:v>331.65497267152898</c:v>
                </c:pt>
                <c:pt idx="16">
                  <c:v>422.85065079632943</c:v>
                </c:pt>
                <c:pt idx="17">
                  <c:v>459.67011133054348</c:v>
                </c:pt>
                <c:pt idx="18">
                  <c:v>512.40725356146424</c:v>
                </c:pt>
                <c:pt idx="19">
                  <c:v>582.12215558857565</c:v>
                </c:pt>
                <c:pt idx="20">
                  <c:v>778.06439572211161</c:v>
                </c:pt>
                <c:pt idx="21">
                  <c:v>850.55897486600338</c:v>
                </c:pt>
                <c:pt idx="22">
                  <c:v>995.5207019867064</c:v>
                </c:pt>
                <c:pt idx="23">
                  <c:v>869.32494368229425</c:v>
                </c:pt>
                <c:pt idx="24">
                  <c:v>924.16519721852842</c:v>
                </c:pt>
                <c:pt idx="25">
                  <c:v>1061.346394069672</c:v>
                </c:pt>
                <c:pt idx="26">
                  <c:v>1195.5172588756041</c:v>
                </c:pt>
                <c:pt idx="27">
                  <c:v>1380.4387464935057</c:v>
                </c:pt>
                <c:pt idx="28">
                  <c:v>1519.4140709630949</c:v>
                </c:pt>
                <c:pt idx="29">
                  <c:v>1667.4030173658434</c:v>
                </c:pt>
                <c:pt idx="30">
                  <c:v>1995.9750223144347</c:v>
                </c:pt>
                <c:pt idx="31">
                  <c:v>2122.6838589963081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EBE7-4FA3-8E34-533CC44726C4}"/>
            </c:ext>
          </c:extLst>
        </c:ser>
        <c:ser>
          <c:idx val="44"/>
          <c:order val="44"/>
          <c:marker>
            <c:symbol val="none"/>
          </c:marker>
          <c:val>
            <c:numRef>
              <c:f>Brownian!$C$61:$AH$61</c:f>
              <c:numCache>
                <c:formatCode>#,##0;\(#,##0\);\-</c:formatCode>
                <c:ptCount val="32"/>
                <c:pt idx="0">
                  <c:v>100</c:v>
                </c:pt>
                <c:pt idx="1">
                  <c:v>134.99101867361665</c:v>
                </c:pt>
                <c:pt idx="2">
                  <c:v>158.05350901542488</c:v>
                </c:pt>
                <c:pt idx="3">
                  <c:v>161.53325170933613</c:v>
                </c:pt>
                <c:pt idx="4">
                  <c:v>161.52600566538644</c:v>
                </c:pt>
                <c:pt idx="5">
                  <c:v>168.08828841500184</c:v>
                </c:pt>
                <c:pt idx="6">
                  <c:v>178.07904872626779</c:v>
                </c:pt>
                <c:pt idx="7">
                  <c:v>205.00184408406437</c:v>
                </c:pt>
                <c:pt idx="8">
                  <c:v>252.91045058712768</c:v>
                </c:pt>
                <c:pt idx="9">
                  <c:v>240.67760490736833</c:v>
                </c:pt>
                <c:pt idx="10">
                  <c:v>206.69744717045995</c:v>
                </c:pt>
                <c:pt idx="11">
                  <c:v>263.49544059380321</c:v>
                </c:pt>
                <c:pt idx="12">
                  <c:v>311.62930888999182</c:v>
                </c:pt>
                <c:pt idx="13">
                  <c:v>322.65594038518554</c:v>
                </c:pt>
                <c:pt idx="14">
                  <c:v>338.99546539437296</c:v>
                </c:pt>
                <c:pt idx="15">
                  <c:v>419.12965258938402</c:v>
                </c:pt>
                <c:pt idx="16">
                  <c:v>396.23421556628489</c:v>
                </c:pt>
                <c:pt idx="17">
                  <c:v>458.49239073335906</c:v>
                </c:pt>
                <c:pt idx="18">
                  <c:v>544.60162310761666</c:v>
                </c:pt>
                <c:pt idx="19">
                  <c:v>696.69947464427128</c:v>
                </c:pt>
                <c:pt idx="20">
                  <c:v>674.38197253083615</c:v>
                </c:pt>
                <c:pt idx="21">
                  <c:v>747.60542575076715</c:v>
                </c:pt>
                <c:pt idx="22">
                  <c:v>810.39339682839181</c:v>
                </c:pt>
                <c:pt idx="23">
                  <c:v>901.54347854911543</c:v>
                </c:pt>
                <c:pt idx="24">
                  <c:v>1054.1244067914231</c:v>
                </c:pt>
                <c:pt idx="25">
                  <c:v>1059.671078064609</c:v>
                </c:pt>
                <c:pt idx="26">
                  <c:v>1087.1059038210349</c:v>
                </c:pt>
                <c:pt idx="27">
                  <c:v>1182.9888879187884</c:v>
                </c:pt>
                <c:pt idx="28">
                  <c:v>1266.9401832133708</c:v>
                </c:pt>
                <c:pt idx="29">
                  <c:v>1619.4611786326068</c:v>
                </c:pt>
                <c:pt idx="30">
                  <c:v>2049.4024760324382</c:v>
                </c:pt>
                <c:pt idx="31">
                  <c:v>2390.287038120302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EBE7-4FA3-8E34-533CC44726C4}"/>
            </c:ext>
          </c:extLst>
        </c:ser>
        <c:ser>
          <c:idx val="45"/>
          <c:order val="45"/>
          <c:marker>
            <c:symbol val="none"/>
          </c:marker>
          <c:val>
            <c:numRef>
              <c:f>Brownian!$C$62:$AH$62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103.51170971335276</c:v>
                </c:pt>
                <c:pt idx="2">
                  <c:v>101.42928681903322</c:v>
                </c:pt>
                <c:pt idx="3">
                  <c:v>152.79620174796366</c:v>
                </c:pt>
                <c:pt idx="4">
                  <c:v>160.48474445187793</c:v>
                </c:pt>
                <c:pt idx="5">
                  <c:v>177.19728745930655</c:v>
                </c:pt>
                <c:pt idx="6">
                  <c:v>181.40519593292169</c:v>
                </c:pt>
                <c:pt idx="7">
                  <c:v>197.69223074040065</c:v>
                </c:pt>
                <c:pt idx="8">
                  <c:v>182.3605049750106</c:v>
                </c:pt>
                <c:pt idx="9">
                  <c:v>236.29614788575861</c:v>
                </c:pt>
                <c:pt idx="10">
                  <c:v>240.61273280948126</c:v>
                </c:pt>
                <c:pt idx="11">
                  <c:v>275.78776424531895</c:v>
                </c:pt>
                <c:pt idx="12">
                  <c:v>327.93742895751109</c:v>
                </c:pt>
                <c:pt idx="13">
                  <c:v>336.62424727451315</c:v>
                </c:pt>
                <c:pt idx="14">
                  <c:v>423.8311635137901</c:v>
                </c:pt>
                <c:pt idx="15">
                  <c:v>443.20346996781143</c:v>
                </c:pt>
                <c:pt idx="16">
                  <c:v>554.71115501558768</c:v>
                </c:pt>
                <c:pt idx="17">
                  <c:v>465.10315385805205</c:v>
                </c:pt>
                <c:pt idx="18">
                  <c:v>577.65434684239176</c:v>
                </c:pt>
                <c:pt idx="19">
                  <c:v>633.06805399244377</c:v>
                </c:pt>
                <c:pt idx="20">
                  <c:v>626.98077916250622</c:v>
                </c:pt>
                <c:pt idx="21">
                  <c:v>713.66845133291883</c:v>
                </c:pt>
                <c:pt idx="22">
                  <c:v>981.34510021120968</c:v>
                </c:pt>
                <c:pt idx="23">
                  <c:v>831.65773163767369</c:v>
                </c:pt>
                <c:pt idx="24">
                  <c:v>1069.0445119814069</c:v>
                </c:pt>
                <c:pt idx="25">
                  <c:v>1202.3181173943824</c:v>
                </c:pt>
                <c:pt idx="26">
                  <c:v>1305.4132187182709</c:v>
                </c:pt>
                <c:pt idx="27">
                  <c:v>1300.500694451337</c:v>
                </c:pt>
                <c:pt idx="28">
                  <c:v>1482.3861413715044</c:v>
                </c:pt>
                <c:pt idx="29">
                  <c:v>1682.7276463809128</c:v>
                </c:pt>
                <c:pt idx="30">
                  <c:v>1616.5655239800494</c:v>
                </c:pt>
                <c:pt idx="31">
                  <c:v>1980.5579601190295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EBE7-4FA3-8E34-533CC44726C4}"/>
            </c:ext>
          </c:extLst>
        </c:ser>
        <c:ser>
          <c:idx val="46"/>
          <c:order val="46"/>
          <c:marker>
            <c:symbol val="none"/>
          </c:marker>
          <c:val>
            <c:numRef>
              <c:f>Brownian!$C$63:$AH$63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117.65092467717071</c:v>
                </c:pt>
                <c:pt idx="2">
                  <c:v>126.61187559967019</c:v>
                </c:pt>
                <c:pt idx="3">
                  <c:v>160.95519555611409</c:v>
                </c:pt>
                <c:pt idx="4">
                  <c:v>161.66361167697553</c:v>
                </c:pt>
                <c:pt idx="5">
                  <c:v>149.16676556742277</c:v>
                </c:pt>
                <c:pt idx="6">
                  <c:v>163.29298537005508</c:v>
                </c:pt>
                <c:pt idx="7">
                  <c:v>208.02972829358839</c:v>
                </c:pt>
                <c:pt idx="8">
                  <c:v>255.08588192509887</c:v>
                </c:pt>
                <c:pt idx="9">
                  <c:v>288.83355704196708</c:v>
                </c:pt>
                <c:pt idx="10">
                  <c:v>340.27425058752783</c:v>
                </c:pt>
                <c:pt idx="11">
                  <c:v>353.13430364266299</c:v>
                </c:pt>
                <c:pt idx="12">
                  <c:v>334.13169902219624</c:v>
                </c:pt>
                <c:pt idx="13">
                  <c:v>373.02636172444585</c:v>
                </c:pt>
                <c:pt idx="14">
                  <c:v>396.67755032569676</c:v>
                </c:pt>
                <c:pt idx="15">
                  <c:v>491.21382301311235</c:v>
                </c:pt>
                <c:pt idx="16">
                  <c:v>400.49898021705178</c:v>
                </c:pt>
                <c:pt idx="17">
                  <c:v>375.59179825901322</c:v>
                </c:pt>
                <c:pt idx="18">
                  <c:v>423.29027201377119</c:v>
                </c:pt>
                <c:pt idx="19">
                  <c:v>510.92267246855675</c:v>
                </c:pt>
                <c:pt idx="20">
                  <c:v>711.22509025332658</c:v>
                </c:pt>
                <c:pt idx="21">
                  <c:v>878.49275487732621</c:v>
                </c:pt>
                <c:pt idx="22">
                  <c:v>803.72289293055996</c:v>
                </c:pt>
                <c:pt idx="23">
                  <c:v>1181.0520915959646</c:v>
                </c:pt>
                <c:pt idx="24">
                  <c:v>1269.3125646657725</c:v>
                </c:pt>
                <c:pt idx="25">
                  <c:v>1348.4166637184223</c:v>
                </c:pt>
                <c:pt idx="26">
                  <c:v>1243.641794130057</c:v>
                </c:pt>
                <c:pt idx="27">
                  <c:v>1288.5266503198891</c:v>
                </c:pt>
                <c:pt idx="28">
                  <c:v>1498.548724022628</c:v>
                </c:pt>
                <c:pt idx="29">
                  <c:v>1482.2251691822223</c:v>
                </c:pt>
                <c:pt idx="30">
                  <c:v>1735.3698108250983</c:v>
                </c:pt>
                <c:pt idx="31">
                  <c:v>1566.493284553007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EBE7-4FA3-8E34-533CC44726C4}"/>
            </c:ext>
          </c:extLst>
        </c:ser>
        <c:ser>
          <c:idx val="47"/>
          <c:order val="47"/>
          <c:marker>
            <c:symbol val="none"/>
          </c:marker>
          <c:val>
            <c:numRef>
              <c:f>Brownian!$C$64:$AH$64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123.36799576329001</c:v>
                </c:pt>
                <c:pt idx="2">
                  <c:v>127.25177431597946</c:v>
                </c:pt>
                <c:pt idx="3">
                  <c:v>156.69511361938962</c:v>
                </c:pt>
                <c:pt idx="4">
                  <c:v>142.06976246014474</c:v>
                </c:pt>
                <c:pt idx="5">
                  <c:v>174.92070160825125</c:v>
                </c:pt>
                <c:pt idx="6">
                  <c:v>154.25418555658666</c:v>
                </c:pt>
                <c:pt idx="7">
                  <c:v>168.61267159048549</c:v>
                </c:pt>
                <c:pt idx="8">
                  <c:v>217.71444783249996</c:v>
                </c:pt>
                <c:pt idx="9">
                  <c:v>258.07013057179853</c:v>
                </c:pt>
                <c:pt idx="10">
                  <c:v>361.44665658801358</c:v>
                </c:pt>
                <c:pt idx="11">
                  <c:v>340.32232421889938</c:v>
                </c:pt>
                <c:pt idx="12">
                  <c:v>339.30034004417496</c:v>
                </c:pt>
                <c:pt idx="13">
                  <c:v>387.41296571127384</c:v>
                </c:pt>
                <c:pt idx="14">
                  <c:v>362.65234864048062</c:v>
                </c:pt>
                <c:pt idx="15">
                  <c:v>437.83673185177952</c:v>
                </c:pt>
                <c:pt idx="16">
                  <c:v>496.90566725723806</c:v>
                </c:pt>
                <c:pt idx="17">
                  <c:v>538.26102673396417</c:v>
                </c:pt>
                <c:pt idx="18">
                  <c:v>646.96231716651153</c:v>
                </c:pt>
                <c:pt idx="19">
                  <c:v>662.21153045580718</c:v>
                </c:pt>
                <c:pt idx="20">
                  <c:v>749.88208303087981</c:v>
                </c:pt>
                <c:pt idx="21">
                  <c:v>668.25009154924419</c:v>
                </c:pt>
                <c:pt idx="22">
                  <c:v>672.15744011606057</c:v>
                </c:pt>
                <c:pt idx="23">
                  <c:v>782.30753695739145</c:v>
                </c:pt>
                <c:pt idx="24">
                  <c:v>878.65729921386685</c:v>
                </c:pt>
                <c:pt idx="25">
                  <c:v>805.05990937168303</c:v>
                </c:pt>
                <c:pt idx="26">
                  <c:v>1021.9056946574069</c:v>
                </c:pt>
                <c:pt idx="27">
                  <c:v>1291.1597408997986</c:v>
                </c:pt>
                <c:pt idx="28">
                  <c:v>1125.1743981817283</c:v>
                </c:pt>
                <c:pt idx="29">
                  <c:v>1580.3248409730445</c:v>
                </c:pt>
                <c:pt idx="30">
                  <c:v>1485.165457449426</c:v>
                </c:pt>
                <c:pt idx="31">
                  <c:v>1833.5052281285025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EBE7-4FA3-8E34-533CC44726C4}"/>
            </c:ext>
          </c:extLst>
        </c:ser>
        <c:ser>
          <c:idx val="48"/>
          <c:order val="48"/>
          <c:marker>
            <c:symbol val="none"/>
          </c:marker>
          <c:val>
            <c:numRef>
              <c:f>Brownian!$C$65:$AH$65</c:f>
              <c:numCache>
                <c:formatCode>#,##0;\(#,##0\);\-</c:formatCode>
                <c:ptCount val="32"/>
                <c:pt idx="0">
                  <c:v>100</c:v>
                </c:pt>
                <c:pt idx="1">
                  <c:v>139.13050545989768</c:v>
                </c:pt>
                <c:pt idx="2">
                  <c:v>170.57409112896335</c:v>
                </c:pt>
                <c:pt idx="3">
                  <c:v>159.08694031647525</c:v>
                </c:pt>
                <c:pt idx="4">
                  <c:v>145.79984450975002</c:v>
                </c:pt>
                <c:pt idx="5">
                  <c:v>179.00840440801957</c:v>
                </c:pt>
                <c:pt idx="6">
                  <c:v>252.67154475086545</c:v>
                </c:pt>
                <c:pt idx="7">
                  <c:v>258.07554840896472</c:v>
                </c:pt>
                <c:pt idx="8">
                  <c:v>221.73327523703875</c:v>
                </c:pt>
                <c:pt idx="9">
                  <c:v>248.70402039149525</c:v>
                </c:pt>
                <c:pt idx="10">
                  <c:v>270.88692788222733</c:v>
                </c:pt>
                <c:pt idx="11">
                  <c:v>306.99527956135557</c:v>
                </c:pt>
                <c:pt idx="12">
                  <c:v>336.00311773106176</c:v>
                </c:pt>
                <c:pt idx="13">
                  <c:v>355.3277040842629</c:v>
                </c:pt>
                <c:pt idx="14">
                  <c:v>366.61387261288155</c:v>
                </c:pt>
                <c:pt idx="15">
                  <c:v>419.1724978319337</c:v>
                </c:pt>
                <c:pt idx="16">
                  <c:v>519.71580780141073</c:v>
                </c:pt>
                <c:pt idx="17">
                  <c:v>617.37471008272337</c:v>
                </c:pt>
                <c:pt idx="18">
                  <c:v>558.94090763866211</c:v>
                </c:pt>
                <c:pt idx="19">
                  <c:v>693.16372668200256</c:v>
                </c:pt>
                <c:pt idx="20">
                  <c:v>728.99595591847685</c:v>
                </c:pt>
                <c:pt idx="21">
                  <c:v>785.04079265112796</c:v>
                </c:pt>
                <c:pt idx="22">
                  <c:v>818.32637012078885</c:v>
                </c:pt>
                <c:pt idx="23">
                  <c:v>1098.1887490889985</c:v>
                </c:pt>
                <c:pt idx="24">
                  <c:v>1003.7293166953737</c:v>
                </c:pt>
                <c:pt idx="25">
                  <c:v>1130.676965079351</c:v>
                </c:pt>
                <c:pt idx="26">
                  <c:v>1207.8792681389182</c:v>
                </c:pt>
                <c:pt idx="27">
                  <c:v>1177.3101971299993</c:v>
                </c:pt>
                <c:pt idx="28">
                  <c:v>1193.3131942764253</c:v>
                </c:pt>
                <c:pt idx="29">
                  <c:v>1538.4992546298408</c:v>
                </c:pt>
                <c:pt idx="30">
                  <c:v>1445.9225745442034</c:v>
                </c:pt>
                <c:pt idx="31">
                  <c:v>2004.0841057230778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EBE7-4FA3-8E34-533CC44726C4}"/>
            </c:ext>
          </c:extLst>
        </c:ser>
        <c:ser>
          <c:idx val="49"/>
          <c:order val="49"/>
          <c:marker>
            <c:symbol val="none"/>
          </c:marker>
          <c:val>
            <c:numRef>
              <c:f>Brownian!$C$66:$AH$66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106.642414553287</c:v>
                </c:pt>
                <c:pt idx="2">
                  <c:v>110.32141660869695</c:v>
                </c:pt>
                <c:pt idx="3">
                  <c:v>98.656018814666822</c:v>
                </c:pt>
                <c:pt idx="4">
                  <c:v>108.19897273217221</c:v>
                </c:pt>
                <c:pt idx="5">
                  <c:v>159.61489376042442</c:v>
                </c:pt>
                <c:pt idx="6">
                  <c:v>212.8977800092506</c:v>
                </c:pt>
                <c:pt idx="7">
                  <c:v>257.34140386286515</c:v>
                </c:pt>
                <c:pt idx="8">
                  <c:v>250.87119449460789</c:v>
                </c:pt>
                <c:pt idx="9">
                  <c:v>319.0091688477653</c:v>
                </c:pt>
                <c:pt idx="10">
                  <c:v>312.43739316447818</c:v>
                </c:pt>
                <c:pt idx="11">
                  <c:v>253.1385028399383</c:v>
                </c:pt>
                <c:pt idx="12">
                  <c:v>305.87526330769299</c:v>
                </c:pt>
                <c:pt idx="13">
                  <c:v>337.80608040369447</c:v>
                </c:pt>
                <c:pt idx="14">
                  <c:v>432.55835633588197</c:v>
                </c:pt>
                <c:pt idx="15">
                  <c:v>498.14441071340718</c:v>
                </c:pt>
                <c:pt idx="16">
                  <c:v>511.5781074803715</c:v>
                </c:pt>
                <c:pt idx="17">
                  <c:v>523.65106337994996</c:v>
                </c:pt>
                <c:pt idx="18">
                  <c:v>517.39285810424997</c:v>
                </c:pt>
                <c:pt idx="19">
                  <c:v>579.74018319943525</c:v>
                </c:pt>
                <c:pt idx="20">
                  <c:v>611.18185686956417</c:v>
                </c:pt>
                <c:pt idx="21">
                  <c:v>635.64202700091528</c:v>
                </c:pt>
                <c:pt idx="22">
                  <c:v>676.58588041915687</c:v>
                </c:pt>
                <c:pt idx="23">
                  <c:v>805.60438161856291</c:v>
                </c:pt>
                <c:pt idx="24">
                  <c:v>971.70344478025061</c:v>
                </c:pt>
                <c:pt idx="25">
                  <c:v>1082.1940190754058</c:v>
                </c:pt>
                <c:pt idx="26">
                  <c:v>1104.8701634434292</c:v>
                </c:pt>
                <c:pt idx="27">
                  <c:v>1269.8790480712205</c:v>
                </c:pt>
                <c:pt idx="28">
                  <c:v>1511.2584767543512</c:v>
                </c:pt>
                <c:pt idx="29">
                  <c:v>1675.484012588317</c:v>
                </c:pt>
                <c:pt idx="30">
                  <c:v>1912.5651887120537</c:v>
                </c:pt>
                <c:pt idx="31">
                  <c:v>1722.7783800811899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EBE7-4FA3-8E34-533CC44726C4}"/>
            </c:ext>
          </c:extLst>
        </c:ser>
        <c:ser>
          <c:idx val="50"/>
          <c:order val="50"/>
          <c:marker>
            <c:symbol val="none"/>
          </c:marker>
          <c:val>
            <c:numRef>
              <c:f>Brownian!$C$67:$AH$67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113.00754293338629</c:v>
                </c:pt>
                <c:pt idx="2">
                  <c:v>116.51543172588731</c:v>
                </c:pt>
                <c:pt idx="3">
                  <c:v>138.69704954783424</c:v>
                </c:pt>
                <c:pt idx="4">
                  <c:v>138.4205102308311</c:v>
                </c:pt>
                <c:pt idx="5">
                  <c:v>184.5025277595434</c:v>
                </c:pt>
                <c:pt idx="6">
                  <c:v>184.60469232655285</c:v>
                </c:pt>
                <c:pt idx="7">
                  <c:v>180.49236185965134</c:v>
                </c:pt>
                <c:pt idx="8">
                  <c:v>214.08480327045879</c:v>
                </c:pt>
                <c:pt idx="9">
                  <c:v>233.9990968088884</c:v>
                </c:pt>
                <c:pt idx="10">
                  <c:v>278.67985700998742</c:v>
                </c:pt>
                <c:pt idx="11">
                  <c:v>334.96107935945815</c:v>
                </c:pt>
                <c:pt idx="12">
                  <c:v>317.40784295106153</c:v>
                </c:pt>
                <c:pt idx="13">
                  <c:v>409.89430569547784</c:v>
                </c:pt>
                <c:pt idx="14">
                  <c:v>424.45947044368233</c:v>
                </c:pt>
                <c:pt idx="15">
                  <c:v>454.63209187563007</c:v>
                </c:pt>
                <c:pt idx="16">
                  <c:v>488.27686596953447</c:v>
                </c:pt>
                <c:pt idx="17">
                  <c:v>563.28014152233504</c:v>
                </c:pt>
                <c:pt idx="18">
                  <c:v>544.44695715261639</c:v>
                </c:pt>
                <c:pt idx="19">
                  <c:v>544.26861074138264</c:v>
                </c:pt>
                <c:pt idx="20">
                  <c:v>613.21194840453154</c:v>
                </c:pt>
                <c:pt idx="21">
                  <c:v>691.7975970842341</c:v>
                </c:pt>
                <c:pt idx="22">
                  <c:v>757.82511221887398</c:v>
                </c:pt>
                <c:pt idx="23">
                  <c:v>798.98541002394597</c:v>
                </c:pt>
                <c:pt idx="24">
                  <c:v>978.51849032199834</c:v>
                </c:pt>
                <c:pt idx="25">
                  <c:v>1073.9145771034775</c:v>
                </c:pt>
                <c:pt idx="26">
                  <c:v>1285.172718890281</c:v>
                </c:pt>
                <c:pt idx="27">
                  <c:v>1170.6347705769685</c:v>
                </c:pt>
                <c:pt idx="28">
                  <c:v>1206.2474909670127</c:v>
                </c:pt>
                <c:pt idx="29">
                  <c:v>1553.5447061220252</c:v>
                </c:pt>
                <c:pt idx="30">
                  <c:v>1499.4991271845963</c:v>
                </c:pt>
                <c:pt idx="31">
                  <c:v>1426.815679686636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EBE7-4FA3-8E34-533CC44726C4}"/>
            </c:ext>
          </c:extLst>
        </c:ser>
        <c:ser>
          <c:idx val="51"/>
          <c:order val="51"/>
          <c:marker>
            <c:symbol val="none"/>
          </c:marker>
          <c:val>
            <c:numRef>
              <c:f>Brownian!$C$68:$AH$68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125.42078417596984</c:v>
                </c:pt>
                <c:pt idx="2">
                  <c:v>138.1365774062358</c:v>
                </c:pt>
                <c:pt idx="3">
                  <c:v>137.92225312577619</c:v>
                </c:pt>
                <c:pt idx="4">
                  <c:v>141.90321335202782</c:v>
                </c:pt>
                <c:pt idx="5">
                  <c:v>164.54580195301511</c:v>
                </c:pt>
                <c:pt idx="6">
                  <c:v>181.50869140305804</c:v>
                </c:pt>
                <c:pt idx="7">
                  <c:v>200.50289458735278</c:v>
                </c:pt>
                <c:pt idx="8">
                  <c:v>212.33663000132867</c:v>
                </c:pt>
                <c:pt idx="9">
                  <c:v>261.15239896407621</c:v>
                </c:pt>
                <c:pt idx="10">
                  <c:v>274.02012420679915</c:v>
                </c:pt>
                <c:pt idx="11">
                  <c:v>304.44119871534218</c:v>
                </c:pt>
                <c:pt idx="12">
                  <c:v>380.32162023566332</c:v>
                </c:pt>
                <c:pt idx="13">
                  <c:v>413.05498001665774</c:v>
                </c:pt>
                <c:pt idx="14">
                  <c:v>392.83493636655948</c:v>
                </c:pt>
                <c:pt idx="15">
                  <c:v>466.75219244282914</c:v>
                </c:pt>
                <c:pt idx="16">
                  <c:v>481.48283421988333</c:v>
                </c:pt>
                <c:pt idx="17">
                  <c:v>518.54657324744721</c:v>
                </c:pt>
                <c:pt idx="18">
                  <c:v>592.40029575100345</c:v>
                </c:pt>
                <c:pt idx="19">
                  <c:v>500.7208296209447</c:v>
                </c:pt>
                <c:pt idx="20">
                  <c:v>641.39482536023797</c:v>
                </c:pt>
                <c:pt idx="21">
                  <c:v>656.14257324031405</c:v>
                </c:pt>
                <c:pt idx="22">
                  <c:v>680.41918019320929</c:v>
                </c:pt>
                <c:pt idx="23">
                  <c:v>793.65879133357589</c:v>
                </c:pt>
                <c:pt idx="24">
                  <c:v>790.28559901102665</c:v>
                </c:pt>
                <c:pt idx="25">
                  <c:v>1060.3751014037448</c:v>
                </c:pt>
                <c:pt idx="26">
                  <c:v>1317.2849292329283</c:v>
                </c:pt>
                <c:pt idx="27">
                  <c:v>1253.3689096131429</c:v>
                </c:pt>
                <c:pt idx="28">
                  <c:v>1470.079171894047</c:v>
                </c:pt>
                <c:pt idx="29">
                  <c:v>1590.0138976057688</c:v>
                </c:pt>
                <c:pt idx="30">
                  <c:v>1753.6280050104374</c:v>
                </c:pt>
                <c:pt idx="31">
                  <c:v>1928.1783515910849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EBE7-4FA3-8E34-533CC44726C4}"/>
            </c:ext>
          </c:extLst>
        </c:ser>
        <c:ser>
          <c:idx val="52"/>
          <c:order val="52"/>
          <c:marker>
            <c:symbol val="none"/>
          </c:marker>
          <c:val>
            <c:numRef>
              <c:f>Brownian!$C$69:$AH$69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115.93573857497641</c:v>
                </c:pt>
                <c:pt idx="2">
                  <c:v>112.88567162498394</c:v>
                </c:pt>
                <c:pt idx="3">
                  <c:v>137.43834042922492</c:v>
                </c:pt>
                <c:pt idx="4">
                  <c:v>147.19737873342063</c:v>
                </c:pt>
                <c:pt idx="5">
                  <c:v>158.87054105570095</c:v>
                </c:pt>
                <c:pt idx="6">
                  <c:v>204.5192536244532</c:v>
                </c:pt>
                <c:pt idx="7">
                  <c:v>249.32985135623528</c:v>
                </c:pt>
                <c:pt idx="8">
                  <c:v>224.5562283453001</c:v>
                </c:pt>
                <c:pt idx="9">
                  <c:v>183.6660903612547</c:v>
                </c:pt>
                <c:pt idx="10">
                  <c:v>232.46337166158168</c:v>
                </c:pt>
                <c:pt idx="11">
                  <c:v>268.95496560856543</c:v>
                </c:pt>
                <c:pt idx="12">
                  <c:v>321.72063421201403</c:v>
                </c:pt>
                <c:pt idx="13">
                  <c:v>335.69145191884462</c:v>
                </c:pt>
                <c:pt idx="14">
                  <c:v>367.69933229061462</c:v>
                </c:pt>
                <c:pt idx="15">
                  <c:v>382.52533029563222</c:v>
                </c:pt>
                <c:pt idx="16">
                  <c:v>445.61807518633566</c:v>
                </c:pt>
                <c:pt idx="17">
                  <c:v>511.96917148187993</c:v>
                </c:pt>
                <c:pt idx="18">
                  <c:v>630.19595171409992</c:v>
                </c:pt>
                <c:pt idx="19">
                  <c:v>658.97284617149489</c:v>
                </c:pt>
                <c:pt idx="20">
                  <c:v>866.666476425523</c:v>
                </c:pt>
                <c:pt idx="21">
                  <c:v>651.46926959087477</c:v>
                </c:pt>
                <c:pt idx="22">
                  <c:v>788.10881192698889</c:v>
                </c:pt>
                <c:pt idx="23">
                  <c:v>852.64940266438668</c:v>
                </c:pt>
                <c:pt idx="24">
                  <c:v>979.6209277776868</c:v>
                </c:pt>
                <c:pt idx="25">
                  <c:v>993.30421385618774</c:v>
                </c:pt>
                <c:pt idx="26">
                  <c:v>1106.0075312356221</c:v>
                </c:pt>
                <c:pt idx="27">
                  <c:v>1350.9852836711352</c:v>
                </c:pt>
                <c:pt idx="28">
                  <c:v>1456.6465158090148</c:v>
                </c:pt>
                <c:pt idx="29">
                  <c:v>1751.069580765271</c:v>
                </c:pt>
                <c:pt idx="30">
                  <c:v>2000.4134985855187</c:v>
                </c:pt>
                <c:pt idx="31">
                  <c:v>2451.4806466121472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EBE7-4FA3-8E34-533CC44726C4}"/>
            </c:ext>
          </c:extLst>
        </c:ser>
        <c:ser>
          <c:idx val="53"/>
          <c:order val="53"/>
          <c:marker>
            <c:symbol val="none"/>
          </c:marker>
          <c:val>
            <c:numRef>
              <c:f>Brownian!$C$70:$AH$70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111.61592662880963</c:v>
                </c:pt>
                <c:pt idx="2">
                  <c:v>152.05644989833687</c:v>
                </c:pt>
                <c:pt idx="3">
                  <c:v>176.09768574104623</c:v>
                </c:pt>
                <c:pt idx="4">
                  <c:v>156.61145709556416</c:v>
                </c:pt>
                <c:pt idx="5">
                  <c:v>166.75483993581611</c:v>
                </c:pt>
                <c:pt idx="6">
                  <c:v>184.3025834362484</c:v>
                </c:pt>
                <c:pt idx="7">
                  <c:v>202.87070468793391</c:v>
                </c:pt>
                <c:pt idx="8">
                  <c:v>209.68746330367162</c:v>
                </c:pt>
                <c:pt idx="9">
                  <c:v>223.18264646054485</c:v>
                </c:pt>
                <c:pt idx="10">
                  <c:v>253.25721609383069</c:v>
                </c:pt>
                <c:pt idx="11">
                  <c:v>326.49834792000632</c:v>
                </c:pt>
                <c:pt idx="12">
                  <c:v>376.55859387289809</c:v>
                </c:pt>
                <c:pt idx="13">
                  <c:v>459.12568669064495</c:v>
                </c:pt>
                <c:pt idx="14">
                  <c:v>511.57356143581183</c:v>
                </c:pt>
                <c:pt idx="15">
                  <c:v>395.9877089160251</c:v>
                </c:pt>
                <c:pt idx="16">
                  <c:v>445.321437624493</c:v>
                </c:pt>
                <c:pt idx="17">
                  <c:v>543.79848781326541</c:v>
                </c:pt>
                <c:pt idx="18">
                  <c:v>670.70229412621268</c:v>
                </c:pt>
                <c:pt idx="19">
                  <c:v>622.90316788358177</c:v>
                </c:pt>
                <c:pt idx="20">
                  <c:v>641.69146893465495</c:v>
                </c:pt>
                <c:pt idx="21">
                  <c:v>789.41623129488221</c:v>
                </c:pt>
                <c:pt idx="22">
                  <c:v>811.2287559033548</c:v>
                </c:pt>
                <c:pt idx="23">
                  <c:v>732.32237056289421</c:v>
                </c:pt>
                <c:pt idx="24">
                  <c:v>944.34713860501415</c:v>
                </c:pt>
                <c:pt idx="25">
                  <c:v>1090.8816152525228</c:v>
                </c:pt>
                <c:pt idx="26">
                  <c:v>1071.128386785615</c:v>
                </c:pt>
                <c:pt idx="27">
                  <c:v>1320.9695859003309</c:v>
                </c:pt>
                <c:pt idx="28">
                  <c:v>1491.2619610755844</c:v>
                </c:pt>
                <c:pt idx="29">
                  <c:v>1418.6495865019933</c:v>
                </c:pt>
                <c:pt idx="30">
                  <c:v>1922.8434555247711</c:v>
                </c:pt>
                <c:pt idx="31">
                  <c:v>1589.7778481068553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EBE7-4FA3-8E34-533CC44726C4}"/>
            </c:ext>
          </c:extLst>
        </c:ser>
        <c:ser>
          <c:idx val="54"/>
          <c:order val="54"/>
          <c:marker>
            <c:symbol val="none"/>
          </c:marker>
          <c:val>
            <c:numRef>
              <c:f>Brownian!$C$71:$AH$71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129.43488601889652</c:v>
                </c:pt>
                <c:pt idx="2">
                  <c:v>142.37368332214953</c:v>
                </c:pt>
                <c:pt idx="3">
                  <c:v>142.94431766278046</c:v>
                </c:pt>
                <c:pt idx="4">
                  <c:v>155.95679343978662</c:v>
                </c:pt>
                <c:pt idx="5">
                  <c:v>188.26566242803358</c:v>
                </c:pt>
                <c:pt idx="6">
                  <c:v>228.25084521866447</c:v>
                </c:pt>
                <c:pt idx="7">
                  <c:v>192.56994941131344</c:v>
                </c:pt>
                <c:pt idx="8">
                  <c:v>200.85909332040131</c:v>
                </c:pt>
                <c:pt idx="9">
                  <c:v>272.32152405878992</c:v>
                </c:pt>
                <c:pt idx="10">
                  <c:v>263.93252776997792</c:v>
                </c:pt>
                <c:pt idx="11">
                  <c:v>294.68482157645769</c:v>
                </c:pt>
                <c:pt idx="12">
                  <c:v>320.43147982204471</c:v>
                </c:pt>
                <c:pt idx="13">
                  <c:v>376.2462858671617</c:v>
                </c:pt>
                <c:pt idx="14">
                  <c:v>420.62615295265641</c:v>
                </c:pt>
                <c:pt idx="15">
                  <c:v>356.63258058989788</c:v>
                </c:pt>
                <c:pt idx="16">
                  <c:v>362.21492916171746</c:v>
                </c:pt>
                <c:pt idx="17">
                  <c:v>477.90429543720677</c:v>
                </c:pt>
                <c:pt idx="18">
                  <c:v>495.84530891289421</c:v>
                </c:pt>
                <c:pt idx="19">
                  <c:v>604.55887623352669</c:v>
                </c:pt>
                <c:pt idx="20">
                  <c:v>611.79088938028963</c:v>
                </c:pt>
                <c:pt idx="21">
                  <c:v>630.61459752320343</c:v>
                </c:pt>
                <c:pt idx="22">
                  <c:v>722.71138869756555</c:v>
                </c:pt>
                <c:pt idx="23">
                  <c:v>972.05301086766485</c:v>
                </c:pt>
                <c:pt idx="24">
                  <c:v>1058.9333987048262</c:v>
                </c:pt>
                <c:pt idx="25">
                  <c:v>1081.6366695813276</c:v>
                </c:pt>
                <c:pt idx="26">
                  <c:v>1462.4522187296416</c:v>
                </c:pt>
                <c:pt idx="27">
                  <c:v>1389.9067065804484</c:v>
                </c:pt>
                <c:pt idx="28">
                  <c:v>1361.0255472916044</c:v>
                </c:pt>
                <c:pt idx="29">
                  <c:v>1645.7142061132004</c:v>
                </c:pt>
                <c:pt idx="30">
                  <c:v>1465.2216047518934</c:v>
                </c:pt>
                <c:pt idx="31">
                  <c:v>1708.4135054227227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EBE7-4FA3-8E34-533CC44726C4}"/>
            </c:ext>
          </c:extLst>
        </c:ser>
        <c:ser>
          <c:idx val="55"/>
          <c:order val="55"/>
          <c:marker>
            <c:symbol val="none"/>
          </c:marker>
          <c:val>
            <c:numRef>
              <c:f>Brownian!$C$72:$AH$72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119.51910038594914</c:v>
                </c:pt>
                <c:pt idx="2">
                  <c:v>132.62205820007543</c:v>
                </c:pt>
                <c:pt idx="3">
                  <c:v>116.31398554747918</c:v>
                </c:pt>
                <c:pt idx="4">
                  <c:v>144.09702612088853</c:v>
                </c:pt>
                <c:pt idx="5">
                  <c:v>167.30058850912425</c:v>
                </c:pt>
                <c:pt idx="6">
                  <c:v>184.61469304198368</c:v>
                </c:pt>
                <c:pt idx="7">
                  <c:v>235.97947331048636</c:v>
                </c:pt>
                <c:pt idx="8">
                  <c:v>227.34513832166181</c:v>
                </c:pt>
                <c:pt idx="9">
                  <c:v>272.21646460222121</c:v>
                </c:pt>
                <c:pt idx="10">
                  <c:v>293.22547685754012</c:v>
                </c:pt>
                <c:pt idx="11">
                  <c:v>252.04816854383327</c:v>
                </c:pt>
                <c:pt idx="12">
                  <c:v>251.0314836548356</c:v>
                </c:pt>
                <c:pt idx="13">
                  <c:v>297.58559030705982</c:v>
                </c:pt>
                <c:pt idx="14">
                  <c:v>314.96225959065089</c:v>
                </c:pt>
                <c:pt idx="15">
                  <c:v>400.84256927359684</c:v>
                </c:pt>
                <c:pt idx="16">
                  <c:v>448.5026835672935</c:v>
                </c:pt>
                <c:pt idx="17">
                  <c:v>577.96563340776765</c:v>
                </c:pt>
                <c:pt idx="18">
                  <c:v>555.54386640977486</c:v>
                </c:pt>
                <c:pt idx="19">
                  <c:v>694.6802740092329</c:v>
                </c:pt>
                <c:pt idx="20">
                  <c:v>965.32546322240501</c:v>
                </c:pt>
                <c:pt idx="21">
                  <c:v>954.30960753967372</c:v>
                </c:pt>
                <c:pt idx="22">
                  <c:v>1112.3147185716703</c:v>
                </c:pt>
                <c:pt idx="23">
                  <c:v>1080.0236807817182</c:v>
                </c:pt>
                <c:pt idx="24">
                  <c:v>1129.0208296714252</c:v>
                </c:pt>
                <c:pt idx="25">
                  <c:v>1154.5801078563129</c:v>
                </c:pt>
                <c:pt idx="26">
                  <c:v>1305.1744014354281</c:v>
                </c:pt>
                <c:pt idx="27">
                  <c:v>1456.4784720082739</c:v>
                </c:pt>
                <c:pt idx="28">
                  <c:v>1516.3789195610884</c:v>
                </c:pt>
                <c:pt idx="29">
                  <c:v>1443.061949892038</c:v>
                </c:pt>
                <c:pt idx="30">
                  <c:v>1636.1004116255881</c:v>
                </c:pt>
                <c:pt idx="31">
                  <c:v>2078.6817053155373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EBE7-4FA3-8E34-533CC44726C4}"/>
            </c:ext>
          </c:extLst>
        </c:ser>
        <c:ser>
          <c:idx val="56"/>
          <c:order val="56"/>
          <c:marker>
            <c:symbol val="none"/>
          </c:marker>
          <c:val>
            <c:numRef>
              <c:f>Brownian!$C$73:$AH$73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104.38692569646426</c:v>
                </c:pt>
                <c:pt idx="2">
                  <c:v>109.63929922692361</c:v>
                </c:pt>
                <c:pt idx="3">
                  <c:v>142.95068999665489</c:v>
                </c:pt>
                <c:pt idx="4">
                  <c:v>169.30884175580303</c:v>
                </c:pt>
                <c:pt idx="5">
                  <c:v>199.8847279688419</c:v>
                </c:pt>
                <c:pt idx="6">
                  <c:v>179.8506436944121</c:v>
                </c:pt>
                <c:pt idx="7">
                  <c:v>263.04908444768017</c:v>
                </c:pt>
                <c:pt idx="8">
                  <c:v>231.15689539295983</c:v>
                </c:pt>
                <c:pt idx="9">
                  <c:v>278.277996727019</c:v>
                </c:pt>
                <c:pt idx="10">
                  <c:v>238.47579641839974</c:v>
                </c:pt>
                <c:pt idx="11">
                  <c:v>293.50313654036705</c:v>
                </c:pt>
                <c:pt idx="12">
                  <c:v>305.51467308540668</c:v>
                </c:pt>
                <c:pt idx="13">
                  <c:v>350.16046382899185</c:v>
                </c:pt>
                <c:pt idx="14">
                  <c:v>439.28378907085528</c:v>
                </c:pt>
                <c:pt idx="15">
                  <c:v>360.18928316353617</c:v>
                </c:pt>
                <c:pt idx="16">
                  <c:v>402.96034329669862</c:v>
                </c:pt>
                <c:pt idx="17">
                  <c:v>519.08827647486623</c:v>
                </c:pt>
                <c:pt idx="18">
                  <c:v>601.34848372946396</c:v>
                </c:pt>
                <c:pt idx="19">
                  <c:v>588.38147702497236</c:v>
                </c:pt>
                <c:pt idx="20">
                  <c:v>676.71664222870515</c:v>
                </c:pt>
                <c:pt idx="21">
                  <c:v>790.47661094386285</c:v>
                </c:pt>
                <c:pt idx="22">
                  <c:v>1026.5469579364521</c:v>
                </c:pt>
                <c:pt idx="23">
                  <c:v>1262.5048769548694</c:v>
                </c:pt>
                <c:pt idx="24">
                  <c:v>1296.1375184697774</c:v>
                </c:pt>
                <c:pt idx="25">
                  <c:v>1390.8139461316782</c:v>
                </c:pt>
                <c:pt idx="26">
                  <c:v>1402.2710804954693</c:v>
                </c:pt>
                <c:pt idx="27">
                  <c:v>1578.822521099783</c:v>
                </c:pt>
                <c:pt idx="28">
                  <c:v>1404.2278475032838</c:v>
                </c:pt>
                <c:pt idx="29">
                  <c:v>1592.5677609344357</c:v>
                </c:pt>
                <c:pt idx="30">
                  <c:v>1502.2369860484418</c:v>
                </c:pt>
                <c:pt idx="31">
                  <c:v>1804.544794519539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EBE7-4FA3-8E34-533CC44726C4}"/>
            </c:ext>
          </c:extLst>
        </c:ser>
        <c:ser>
          <c:idx val="57"/>
          <c:order val="57"/>
          <c:marker>
            <c:symbol val="none"/>
          </c:marker>
          <c:val>
            <c:numRef>
              <c:f>Brownian!$C$74:$AH$74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102.44847998731143</c:v>
                </c:pt>
                <c:pt idx="2">
                  <c:v>109.87231071850994</c:v>
                </c:pt>
                <c:pt idx="3">
                  <c:v>125.23233671013504</c:v>
                </c:pt>
                <c:pt idx="4">
                  <c:v>121.76530867943447</c:v>
                </c:pt>
                <c:pt idx="5">
                  <c:v>171.86439456726907</c:v>
                </c:pt>
                <c:pt idx="6">
                  <c:v>231.62253547064859</c:v>
                </c:pt>
                <c:pt idx="7">
                  <c:v>197.21886991727422</c:v>
                </c:pt>
                <c:pt idx="8">
                  <c:v>216.24452244530733</c:v>
                </c:pt>
                <c:pt idx="9">
                  <c:v>238.27468793486867</c:v>
                </c:pt>
                <c:pt idx="10">
                  <c:v>276.54695490944846</c:v>
                </c:pt>
                <c:pt idx="11">
                  <c:v>321.98585000559126</c:v>
                </c:pt>
                <c:pt idx="12">
                  <c:v>345.02514668747546</c:v>
                </c:pt>
                <c:pt idx="13">
                  <c:v>393.19190998164777</c:v>
                </c:pt>
                <c:pt idx="14">
                  <c:v>388.66899621841259</c:v>
                </c:pt>
                <c:pt idx="15">
                  <c:v>402.66561878740367</c:v>
                </c:pt>
                <c:pt idx="16">
                  <c:v>407.50673653581885</c:v>
                </c:pt>
                <c:pt idx="17">
                  <c:v>483.33031561452771</c:v>
                </c:pt>
                <c:pt idx="18">
                  <c:v>589.12108130702882</c:v>
                </c:pt>
                <c:pt idx="19">
                  <c:v>587.12270857991859</c:v>
                </c:pt>
                <c:pt idx="20">
                  <c:v>622.82385470600138</c:v>
                </c:pt>
                <c:pt idx="21">
                  <c:v>628.60525389322129</c:v>
                </c:pt>
                <c:pt idx="22">
                  <c:v>852.56279305436465</c:v>
                </c:pt>
                <c:pt idx="23">
                  <c:v>923.78407991462495</c:v>
                </c:pt>
                <c:pt idx="24">
                  <c:v>1027.7935190524859</c:v>
                </c:pt>
                <c:pt idx="25">
                  <c:v>1217.4144131452806</c:v>
                </c:pt>
                <c:pt idx="26">
                  <c:v>1427.2233872577635</c:v>
                </c:pt>
                <c:pt idx="27">
                  <c:v>1334.6084014117532</c:v>
                </c:pt>
                <c:pt idx="28">
                  <c:v>1430.6788715814525</c:v>
                </c:pt>
                <c:pt idx="29">
                  <c:v>1655.9395883482462</c:v>
                </c:pt>
                <c:pt idx="30">
                  <c:v>1688.0945437533032</c:v>
                </c:pt>
                <c:pt idx="31">
                  <c:v>1926.8476225664115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EBE7-4FA3-8E34-533CC44726C4}"/>
            </c:ext>
          </c:extLst>
        </c:ser>
        <c:ser>
          <c:idx val="58"/>
          <c:order val="58"/>
          <c:marker>
            <c:symbol val="none"/>
          </c:marker>
          <c:val>
            <c:numRef>
              <c:f>Brownian!$C$75:$AH$75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115.45034026920213</c:v>
                </c:pt>
                <c:pt idx="2">
                  <c:v>129.35342391397273</c:v>
                </c:pt>
                <c:pt idx="3">
                  <c:v>136.63957303970545</c:v>
                </c:pt>
                <c:pt idx="4">
                  <c:v>142.59100741749086</c:v>
                </c:pt>
                <c:pt idx="5">
                  <c:v>134.04155874573235</c:v>
                </c:pt>
                <c:pt idx="6">
                  <c:v>140.20966661426522</c:v>
                </c:pt>
                <c:pt idx="7">
                  <c:v>175.1733246065296</c:v>
                </c:pt>
                <c:pt idx="8">
                  <c:v>213.5778321791912</c:v>
                </c:pt>
                <c:pt idx="9">
                  <c:v>198.66839675502689</c:v>
                </c:pt>
                <c:pt idx="10">
                  <c:v>217.92823757810601</c:v>
                </c:pt>
                <c:pt idx="11">
                  <c:v>275.44394177279509</c:v>
                </c:pt>
                <c:pt idx="12">
                  <c:v>326.01965050324895</c:v>
                </c:pt>
                <c:pt idx="13">
                  <c:v>373.42161618605974</c:v>
                </c:pt>
                <c:pt idx="14">
                  <c:v>387.03661010123358</c:v>
                </c:pt>
                <c:pt idx="15">
                  <c:v>472.11843849518766</c:v>
                </c:pt>
                <c:pt idx="16">
                  <c:v>332.58911822599271</c:v>
                </c:pt>
                <c:pt idx="17">
                  <c:v>432.56246610583219</c:v>
                </c:pt>
                <c:pt idx="18">
                  <c:v>547.93330438372288</c:v>
                </c:pt>
                <c:pt idx="19">
                  <c:v>662.24359377027827</c:v>
                </c:pt>
                <c:pt idx="20">
                  <c:v>675.00376181471472</c:v>
                </c:pt>
                <c:pt idx="21">
                  <c:v>721.23682512989649</c:v>
                </c:pt>
                <c:pt idx="22">
                  <c:v>751.64972464567404</c:v>
                </c:pt>
                <c:pt idx="23">
                  <c:v>924.88113617201452</c:v>
                </c:pt>
                <c:pt idx="24">
                  <c:v>1004.146136037412</c:v>
                </c:pt>
                <c:pt idx="25">
                  <c:v>871.5993404584176</c:v>
                </c:pt>
                <c:pt idx="26">
                  <c:v>1168.1026674836489</c:v>
                </c:pt>
                <c:pt idx="27">
                  <c:v>1411.0241345690865</c:v>
                </c:pt>
                <c:pt idx="28">
                  <c:v>1199.4554177572998</c:v>
                </c:pt>
                <c:pt idx="29">
                  <c:v>1300.2637118967236</c:v>
                </c:pt>
                <c:pt idx="30">
                  <c:v>1554.6355727804898</c:v>
                </c:pt>
                <c:pt idx="31">
                  <c:v>2023.6229509614689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EBE7-4FA3-8E34-533CC44726C4}"/>
            </c:ext>
          </c:extLst>
        </c:ser>
        <c:ser>
          <c:idx val="59"/>
          <c:order val="59"/>
          <c:marker>
            <c:symbol val="none"/>
          </c:marker>
          <c:val>
            <c:numRef>
              <c:f>Brownian!$C$76:$AH$76</c:f>
              <c:numCache>
                <c:formatCode>#,##0;\(#,##0\);\-</c:formatCode>
                <c:ptCount val="32"/>
                <c:pt idx="0">
                  <c:v>100</c:v>
                </c:pt>
                <c:pt idx="1">
                  <c:v>91.223154159424936</c:v>
                </c:pt>
                <c:pt idx="2">
                  <c:v>110.57526664627662</c:v>
                </c:pt>
                <c:pt idx="3">
                  <c:v>128.98877981640737</c:v>
                </c:pt>
                <c:pt idx="4">
                  <c:v>155.18329794171649</c:v>
                </c:pt>
                <c:pt idx="5">
                  <c:v>178.68249252195673</c:v>
                </c:pt>
                <c:pt idx="6">
                  <c:v>157.54874472311246</c:v>
                </c:pt>
                <c:pt idx="7">
                  <c:v>159.569895886528</c:v>
                </c:pt>
                <c:pt idx="8">
                  <c:v>190.22054720215999</c:v>
                </c:pt>
                <c:pt idx="9">
                  <c:v>207.01328487197475</c:v>
                </c:pt>
                <c:pt idx="10">
                  <c:v>217.60801999465312</c:v>
                </c:pt>
                <c:pt idx="11">
                  <c:v>325.50574106895584</c:v>
                </c:pt>
                <c:pt idx="12">
                  <c:v>381.69460500301739</c:v>
                </c:pt>
                <c:pt idx="13">
                  <c:v>324.11318412451567</c:v>
                </c:pt>
                <c:pt idx="14">
                  <c:v>376.86968349511164</c:v>
                </c:pt>
                <c:pt idx="15">
                  <c:v>340.62176565127152</c:v>
                </c:pt>
                <c:pt idx="16">
                  <c:v>411.37949251254292</c:v>
                </c:pt>
                <c:pt idx="17">
                  <c:v>455.20157796057924</c:v>
                </c:pt>
                <c:pt idx="18">
                  <c:v>528.86847939912536</c:v>
                </c:pt>
                <c:pt idx="19">
                  <c:v>593.85296339343995</c:v>
                </c:pt>
                <c:pt idx="20">
                  <c:v>658.12653008120265</c:v>
                </c:pt>
                <c:pt idx="21">
                  <c:v>628.42464141775372</c:v>
                </c:pt>
                <c:pt idx="22">
                  <c:v>758.79398535397877</c:v>
                </c:pt>
                <c:pt idx="23">
                  <c:v>774.32361175677511</c:v>
                </c:pt>
                <c:pt idx="24">
                  <c:v>940.67209016331014</c:v>
                </c:pt>
                <c:pt idx="25">
                  <c:v>1136.5711464972301</c:v>
                </c:pt>
                <c:pt idx="26">
                  <c:v>1147.4407924029615</c:v>
                </c:pt>
                <c:pt idx="27">
                  <c:v>1558.1625013914809</c:v>
                </c:pt>
                <c:pt idx="28">
                  <c:v>1411.3807954918518</c:v>
                </c:pt>
                <c:pt idx="29">
                  <c:v>1548.1882161511685</c:v>
                </c:pt>
                <c:pt idx="30">
                  <c:v>1420.3843352354343</c:v>
                </c:pt>
                <c:pt idx="31">
                  <c:v>1688.4516221550889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EBE7-4FA3-8E34-533CC44726C4}"/>
            </c:ext>
          </c:extLst>
        </c:ser>
        <c:ser>
          <c:idx val="60"/>
          <c:order val="60"/>
          <c:marker>
            <c:symbol val="none"/>
          </c:marker>
          <c:val>
            <c:numRef>
              <c:f>Brownian!$C$77:$AH$77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120.28401200199129</c:v>
                </c:pt>
                <c:pt idx="2">
                  <c:v>119.07657080640259</c:v>
                </c:pt>
                <c:pt idx="3">
                  <c:v>119.54367121603485</c:v>
                </c:pt>
                <c:pt idx="4">
                  <c:v>131.26377180684835</c:v>
                </c:pt>
                <c:pt idx="5">
                  <c:v>155.13799884509052</c:v>
                </c:pt>
                <c:pt idx="6">
                  <c:v>163.93013399899343</c:v>
                </c:pt>
                <c:pt idx="7">
                  <c:v>162.31624452799019</c:v>
                </c:pt>
                <c:pt idx="8">
                  <c:v>205.86429001238446</c:v>
                </c:pt>
                <c:pt idx="9">
                  <c:v>241.42635759448893</c:v>
                </c:pt>
                <c:pt idx="10">
                  <c:v>250.25454577267459</c:v>
                </c:pt>
                <c:pt idx="11">
                  <c:v>295.55383311776671</c:v>
                </c:pt>
                <c:pt idx="12">
                  <c:v>359.09523137490237</c:v>
                </c:pt>
                <c:pt idx="13">
                  <c:v>342.77328352377731</c:v>
                </c:pt>
                <c:pt idx="14">
                  <c:v>390.72473839622711</c:v>
                </c:pt>
                <c:pt idx="15">
                  <c:v>493.43663247285286</c:v>
                </c:pt>
                <c:pt idx="16">
                  <c:v>485.75306217809253</c:v>
                </c:pt>
                <c:pt idx="17">
                  <c:v>584.98384787120563</c:v>
                </c:pt>
                <c:pt idx="18">
                  <c:v>578.98504571851583</c:v>
                </c:pt>
                <c:pt idx="19">
                  <c:v>555.09636415616615</c:v>
                </c:pt>
                <c:pt idx="20">
                  <c:v>693.30047417289393</c:v>
                </c:pt>
                <c:pt idx="21">
                  <c:v>740.17622069888489</c:v>
                </c:pt>
                <c:pt idx="22">
                  <c:v>903.40933123289688</c:v>
                </c:pt>
                <c:pt idx="23">
                  <c:v>1056.4268968684182</c:v>
                </c:pt>
                <c:pt idx="24">
                  <c:v>980.3201172194224</c:v>
                </c:pt>
                <c:pt idx="25">
                  <c:v>1079.1707536847489</c:v>
                </c:pt>
                <c:pt idx="26">
                  <c:v>1205.1954690967066</c:v>
                </c:pt>
                <c:pt idx="27">
                  <c:v>1163.8151763182623</c:v>
                </c:pt>
                <c:pt idx="28">
                  <c:v>1224.0373012217717</c:v>
                </c:pt>
                <c:pt idx="29">
                  <c:v>1815.2339690389981</c:v>
                </c:pt>
                <c:pt idx="30">
                  <c:v>1772.1198065521569</c:v>
                </c:pt>
                <c:pt idx="31">
                  <c:v>2125.2554173757612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EBE7-4FA3-8E34-533CC44726C4}"/>
            </c:ext>
          </c:extLst>
        </c:ser>
        <c:ser>
          <c:idx val="61"/>
          <c:order val="61"/>
          <c:marker>
            <c:symbol val="none"/>
          </c:marker>
          <c:val>
            <c:numRef>
              <c:f>Brownian!$C$78:$AH$78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107.56195889381223</c:v>
                </c:pt>
                <c:pt idx="2">
                  <c:v>142.8171702468492</c:v>
                </c:pt>
                <c:pt idx="3">
                  <c:v>148.7004718451897</c:v>
                </c:pt>
                <c:pt idx="4">
                  <c:v>149.18796851915226</c:v>
                </c:pt>
                <c:pt idx="5">
                  <c:v>145.18383239755278</c:v>
                </c:pt>
                <c:pt idx="6">
                  <c:v>175.91638380035238</c:v>
                </c:pt>
                <c:pt idx="7">
                  <c:v>202.97094164502113</c:v>
                </c:pt>
                <c:pt idx="8">
                  <c:v>238.63600643947154</c:v>
                </c:pt>
                <c:pt idx="9">
                  <c:v>208.93422856553809</c:v>
                </c:pt>
                <c:pt idx="10">
                  <c:v>233.14082082766677</c:v>
                </c:pt>
                <c:pt idx="11">
                  <c:v>247.20304559451233</c:v>
                </c:pt>
                <c:pt idx="12">
                  <c:v>303.78426093138359</c:v>
                </c:pt>
                <c:pt idx="13">
                  <c:v>376.39960667034859</c:v>
                </c:pt>
                <c:pt idx="14">
                  <c:v>440.40230294264859</c:v>
                </c:pt>
                <c:pt idx="15">
                  <c:v>410.55068695958062</c:v>
                </c:pt>
                <c:pt idx="16">
                  <c:v>445.64654267077219</c:v>
                </c:pt>
                <c:pt idx="17">
                  <c:v>407.13489967267196</c:v>
                </c:pt>
                <c:pt idx="18">
                  <c:v>424.79984592834762</c:v>
                </c:pt>
                <c:pt idx="19">
                  <c:v>576.93688856764368</c:v>
                </c:pt>
                <c:pt idx="20">
                  <c:v>737.93008617946316</c:v>
                </c:pt>
                <c:pt idx="21">
                  <c:v>772.57259030609589</c:v>
                </c:pt>
                <c:pt idx="22">
                  <c:v>837.99652211889611</c:v>
                </c:pt>
                <c:pt idx="23">
                  <c:v>748.12342088439686</c:v>
                </c:pt>
                <c:pt idx="24">
                  <c:v>1066.5499752834749</c:v>
                </c:pt>
                <c:pt idx="25">
                  <c:v>1066.989258901224</c:v>
                </c:pt>
                <c:pt idx="26">
                  <c:v>1122.9497803709728</c:v>
                </c:pt>
                <c:pt idx="27">
                  <c:v>1207.6270169251434</c:v>
                </c:pt>
                <c:pt idx="28">
                  <c:v>1439.9014974674894</c:v>
                </c:pt>
                <c:pt idx="29">
                  <c:v>1639.0806085100212</c:v>
                </c:pt>
                <c:pt idx="30">
                  <c:v>1864.777286760657</c:v>
                </c:pt>
                <c:pt idx="31">
                  <c:v>2009.972261603406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EBE7-4FA3-8E34-533CC44726C4}"/>
            </c:ext>
          </c:extLst>
        </c:ser>
        <c:ser>
          <c:idx val="62"/>
          <c:order val="62"/>
          <c:marker>
            <c:symbol val="none"/>
          </c:marker>
          <c:val>
            <c:numRef>
              <c:f>Brownian!$C$79:$AH$79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115.2622358404484</c:v>
                </c:pt>
                <c:pt idx="2">
                  <c:v>119.98256944155756</c:v>
                </c:pt>
                <c:pt idx="3">
                  <c:v>132.00356598796566</c:v>
                </c:pt>
                <c:pt idx="4">
                  <c:v>130.83618842943133</c:v>
                </c:pt>
                <c:pt idx="5">
                  <c:v>164.1418935123929</c:v>
                </c:pt>
                <c:pt idx="6">
                  <c:v>154.20630727863511</c:v>
                </c:pt>
                <c:pt idx="7">
                  <c:v>174.66284268998851</c:v>
                </c:pt>
                <c:pt idx="8">
                  <c:v>224.17705210964874</c:v>
                </c:pt>
                <c:pt idx="9">
                  <c:v>239.24161700198044</c:v>
                </c:pt>
                <c:pt idx="10">
                  <c:v>303.04575255526026</c:v>
                </c:pt>
                <c:pt idx="11">
                  <c:v>344.09058494911199</c:v>
                </c:pt>
                <c:pt idx="12">
                  <c:v>381.44749044917029</c:v>
                </c:pt>
                <c:pt idx="13">
                  <c:v>356.94945677764667</c:v>
                </c:pt>
                <c:pt idx="14">
                  <c:v>282.56837749085599</c:v>
                </c:pt>
                <c:pt idx="15">
                  <c:v>386.3937932863808</c:v>
                </c:pt>
                <c:pt idx="16">
                  <c:v>531.74640036497385</c:v>
                </c:pt>
                <c:pt idx="17">
                  <c:v>540.41789402615802</c:v>
                </c:pt>
                <c:pt idx="18">
                  <c:v>615.59548346040503</c:v>
                </c:pt>
                <c:pt idx="19">
                  <c:v>645.32800452405786</c:v>
                </c:pt>
                <c:pt idx="20">
                  <c:v>661.81567432845452</c:v>
                </c:pt>
                <c:pt idx="21">
                  <c:v>695.81220988511154</c:v>
                </c:pt>
                <c:pt idx="22">
                  <c:v>762.35180881421002</c:v>
                </c:pt>
                <c:pt idx="23">
                  <c:v>672.58073322184202</c:v>
                </c:pt>
                <c:pt idx="24">
                  <c:v>911.91516747211881</c:v>
                </c:pt>
                <c:pt idx="25">
                  <c:v>1118.480162954862</c:v>
                </c:pt>
                <c:pt idx="26">
                  <c:v>1112.9022762820862</c:v>
                </c:pt>
                <c:pt idx="27">
                  <c:v>1191.4604731788354</c:v>
                </c:pt>
                <c:pt idx="28">
                  <c:v>1556.3909382527602</c:v>
                </c:pt>
                <c:pt idx="29">
                  <c:v>1704.6032199766464</c:v>
                </c:pt>
                <c:pt idx="30">
                  <c:v>1966.7789560389592</c:v>
                </c:pt>
                <c:pt idx="31">
                  <c:v>1974.3585159226268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EBE7-4FA3-8E34-533CC44726C4}"/>
            </c:ext>
          </c:extLst>
        </c:ser>
        <c:ser>
          <c:idx val="63"/>
          <c:order val="63"/>
          <c:marker>
            <c:symbol val="none"/>
          </c:marker>
          <c:val>
            <c:numRef>
              <c:f>Brownian!$C$80:$AH$80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104.08270052477162</c:v>
                </c:pt>
                <c:pt idx="2">
                  <c:v>102.53108439954559</c:v>
                </c:pt>
                <c:pt idx="3">
                  <c:v>115.91669678311735</c:v>
                </c:pt>
                <c:pt idx="4">
                  <c:v>140.60875376915931</c:v>
                </c:pt>
                <c:pt idx="5">
                  <c:v>146.52143084709144</c:v>
                </c:pt>
                <c:pt idx="6">
                  <c:v>150.86244455935733</c:v>
                </c:pt>
                <c:pt idx="7">
                  <c:v>143.72918679496615</c:v>
                </c:pt>
                <c:pt idx="8">
                  <c:v>178.10416063581499</c:v>
                </c:pt>
                <c:pt idx="9">
                  <c:v>204.18534716347438</c:v>
                </c:pt>
                <c:pt idx="10">
                  <c:v>192.398881452533</c:v>
                </c:pt>
                <c:pt idx="11">
                  <c:v>269.68038352259327</c:v>
                </c:pt>
                <c:pt idx="12">
                  <c:v>258.20107776062412</c:v>
                </c:pt>
                <c:pt idx="13">
                  <c:v>319.12620667479553</c:v>
                </c:pt>
                <c:pt idx="14">
                  <c:v>337.59715324789045</c:v>
                </c:pt>
                <c:pt idx="15">
                  <c:v>435.09432016857602</c:v>
                </c:pt>
                <c:pt idx="16">
                  <c:v>462.93967441763459</c:v>
                </c:pt>
                <c:pt idx="17">
                  <c:v>460.99081415888861</c:v>
                </c:pt>
                <c:pt idx="18">
                  <c:v>425.55705339356689</c:v>
                </c:pt>
                <c:pt idx="19">
                  <c:v>517.23839858071278</c:v>
                </c:pt>
                <c:pt idx="20">
                  <c:v>675.6012323976629</c:v>
                </c:pt>
                <c:pt idx="21">
                  <c:v>835.40558144387376</c:v>
                </c:pt>
                <c:pt idx="22">
                  <c:v>756.89781198943137</c:v>
                </c:pt>
                <c:pt idx="23">
                  <c:v>934.49155829853623</c:v>
                </c:pt>
                <c:pt idx="24">
                  <c:v>854.33711745226947</c:v>
                </c:pt>
                <c:pt idx="25">
                  <c:v>1212.2133706695779</c:v>
                </c:pt>
                <c:pt idx="26">
                  <c:v>1209.2911945849401</c:v>
                </c:pt>
                <c:pt idx="27">
                  <c:v>1341.6254602971649</c:v>
                </c:pt>
                <c:pt idx="28">
                  <c:v>1451.9536745070573</c:v>
                </c:pt>
                <c:pt idx="29">
                  <c:v>1605.7857892775714</c:v>
                </c:pt>
                <c:pt idx="30">
                  <c:v>1630.6632988905412</c:v>
                </c:pt>
                <c:pt idx="31">
                  <c:v>1900.1055130454647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EBE7-4FA3-8E34-533CC44726C4}"/>
            </c:ext>
          </c:extLst>
        </c:ser>
        <c:ser>
          <c:idx val="64"/>
          <c:order val="64"/>
          <c:marker>
            <c:symbol val="none"/>
          </c:marker>
          <c:val>
            <c:numRef>
              <c:f>Brownian!$C$81:$AH$81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119.10309030202934</c:v>
                </c:pt>
                <c:pt idx="2">
                  <c:v>122.18692093299479</c:v>
                </c:pt>
                <c:pt idx="3">
                  <c:v>140.11334817389485</c:v>
                </c:pt>
                <c:pt idx="4">
                  <c:v>172.71797959977755</c:v>
                </c:pt>
                <c:pt idx="5">
                  <c:v>173.50105704437723</c:v>
                </c:pt>
                <c:pt idx="6">
                  <c:v>169.3946119754039</c:v>
                </c:pt>
                <c:pt idx="7">
                  <c:v>214.07263203035376</c:v>
                </c:pt>
                <c:pt idx="8">
                  <c:v>245.2408697546951</c:v>
                </c:pt>
                <c:pt idx="9">
                  <c:v>249.34274321888807</c:v>
                </c:pt>
                <c:pt idx="10">
                  <c:v>282.02031897252772</c:v>
                </c:pt>
                <c:pt idx="11">
                  <c:v>292.86286491021275</c:v>
                </c:pt>
                <c:pt idx="12">
                  <c:v>295.55908879169147</c:v>
                </c:pt>
                <c:pt idx="13">
                  <c:v>360.65068760613877</c:v>
                </c:pt>
                <c:pt idx="14">
                  <c:v>359.01567530019145</c:v>
                </c:pt>
                <c:pt idx="15">
                  <c:v>457.9754098617027</c:v>
                </c:pt>
                <c:pt idx="16">
                  <c:v>428.9472060797583</c:v>
                </c:pt>
                <c:pt idx="17">
                  <c:v>374.07789444979318</c:v>
                </c:pt>
                <c:pt idx="18">
                  <c:v>490.2756251319546</c:v>
                </c:pt>
                <c:pt idx="19">
                  <c:v>594.11280428169971</c:v>
                </c:pt>
                <c:pt idx="20">
                  <c:v>616.52617255547932</c:v>
                </c:pt>
                <c:pt idx="21">
                  <c:v>747.86613555117606</c:v>
                </c:pt>
                <c:pt idx="22">
                  <c:v>845.83525536436628</c:v>
                </c:pt>
                <c:pt idx="23">
                  <c:v>733.89337959389354</c:v>
                </c:pt>
                <c:pt idx="24">
                  <c:v>895.44899346081127</c:v>
                </c:pt>
                <c:pt idx="25">
                  <c:v>927.57069371890032</c:v>
                </c:pt>
                <c:pt idx="26">
                  <c:v>1331.1880952912186</c:v>
                </c:pt>
                <c:pt idx="27">
                  <c:v>1450.1669666491978</c:v>
                </c:pt>
                <c:pt idx="28">
                  <c:v>1670.0946869933896</c:v>
                </c:pt>
                <c:pt idx="29">
                  <c:v>1932.5917626495859</c:v>
                </c:pt>
                <c:pt idx="30">
                  <c:v>1613.0201950717205</c:v>
                </c:pt>
                <c:pt idx="31">
                  <c:v>1713.4355730654588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EBE7-4FA3-8E34-533CC44726C4}"/>
            </c:ext>
          </c:extLst>
        </c:ser>
        <c:ser>
          <c:idx val="65"/>
          <c:order val="65"/>
          <c:marker>
            <c:symbol val="none"/>
          </c:marker>
          <c:val>
            <c:numRef>
              <c:f>Brownian!$C$82:$AH$82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113.25221617746355</c:v>
                </c:pt>
                <c:pt idx="2">
                  <c:v>127.607233777278</c:v>
                </c:pt>
                <c:pt idx="3">
                  <c:v>121.083090750065</c:v>
                </c:pt>
                <c:pt idx="4">
                  <c:v>123.34601524267485</c:v>
                </c:pt>
                <c:pt idx="5">
                  <c:v>155.9715254329129</c:v>
                </c:pt>
                <c:pt idx="6">
                  <c:v>164.45305148014063</c:v>
                </c:pt>
                <c:pt idx="7">
                  <c:v>181.75008580738734</c:v>
                </c:pt>
                <c:pt idx="8">
                  <c:v>201.75024586958483</c:v>
                </c:pt>
                <c:pt idx="9">
                  <c:v>240.78659275007993</c:v>
                </c:pt>
                <c:pt idx="10">
                  <c:v>258.04495381407554</c:v>
                </c:pt>
                <c:pt idx="11">
                  <c:v>301.01291204911507</c:v>
                </c:pt>
                <c:pt idx="12">
                  <c:v>327.30539077409856</c:v>
                </c:pt>
                <c:pt idx="13">
                  <c:v>323.45898334053993</c:v>
                </c:pt>
                <c:pt idx="14">
                  <c:v>332.40697660771207</c:v>
                </c:pt>
                <c:pt idx="15">
                  <c:v>316.05832385571068</c:v>
                </c:pt>
                <c:pt idx="16">
                  <c:v>392.01424387105101</c:v>
                </c:pt>
                <c:pt idx="17">
                  <c:v>411.88670901977099</c:v>
                </c:pt>
                <c:pt idx="18">
                  <c:v>499.9473521756176</c:v>
                </c:pt>
                <c:pt idx="19">
                  <c:v>610.48874516594481</c:v>
                </c:pt>
                <c:pt idx="20">
                  <c:v>740.26080275788127</c:v>
                </c:pt>
                <c:pt idx="21">
                  <c:v>773.69189310223987</c:v>
                </c:pt>
                <c:pt idx="22">
                  <c:v>840.88377238449584</c:v>
                </c:pt>
                <c:pt idx="23">
                  <c:v>878.15916630314757</c:v>
                </c:pt>
                <c:pt idx="24">
                  <c:v>1239.0695714903723</c:v>
                </c:pt>
                <c:pt idx="25">
                  <c:v>1226.5312698697892</c:v>
                </c:pt>
                <c:pt idx="26">
                  <c:v>1015.5064932812139</c:v>
                </c:pt>
                <c:pt idx="27">
                  <c:v>1129.7688874495216</c:v>
                </c:pt>
                <c:pt idx="28">
                  <c:v>1421.9159423220315</c:v>
                </c:pt>
                <c:pt idx="29">
                  <c:v>1872.275336413386</c:v>
                </c:pt>
                <c:pt idx="30">
                  <c:v>1920.5550686682989</c:v>
                </c:pt>
                <c:pt idx="31">
                  <c:v>1885.4094530003244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EBE7-4FA3-8E34-533CC44726C4}"/>
            </c:ext>
          </c:extLst>
        </c:ser>
        <c:ser>
          <c:idx val="66"/>
          <c:order val="66"/>
          <c:marker>
            <c:symbol val="none"/>
          </c:marker>
          <c:val>
            <c:numRef>
              <c:f>Brownian!$C$83:$AH$83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104.65643125401112</c:v>
                </c:pt>
                <c:pt idx="2">
                  <c:v>94.858148224871826</c:v>
                </c:pt>
                <c:pt idx="3">
                  <c:v>88.214448926030755</c:v>
                </c:pt>
                <c:pt idx="4">
                  <c:v>117.89435316172001</c:v>
                </c:pt>
                <c:pt idx="5">
                  <c:v>131.74492765243917</c:v>
                </c:pt>
                <c:pt idx="6">
                  <c:v>158.59099128576102</c:v>
                </c:pt>
                <c:pt idx="7">
                  <c:v>188.2429496236559</c:v>
                </c:pt>
                <c:pt idx="8">
                  <c:v>229.79548462682433</c:v>
                </c:pt>
                <c:pt idx="9">
                  <c:v>245.22033158015361</c:v>
                </c:pt>
                <c:pt idx="10">
                  <c:v>249.57509814663172</c:v>
                </c:pt>
                <c:pt idx="11">
                  <c:v>336.36206788835898</c:v>
                </c:pt>
                <c:pt idx="12">
                  <c:v>359.15276276908696</c:v>
                </c:pt>
                <c:pt idx="13">
                  <c:v>303.24841348516713</c:v>
                </c:pt>
                <c:pt idx="14">
                  <c:v>355.15730276200372</c:v>
                </c:pt>
                <c:pt idx="15">
                  <c:v>471.55963626865173</c:v>
                </c:pt>
                <c:pt idx="16">
                  <c:v>531.74388167954396</c:v>
                </c:pt>
                <c:pt idx="17">
                  <c:v>541.05592817757793</c:v>
                </c:pt>
                <c:pt idx="18">
                  <c:v>444.59425292990522</c:v>
                </c:pt>
                <c:pt idx="19">
                  <c:v>502.56020017779963</c:v>
                </c:pt>
                <c:pt idx="20">
                  <c:v>504.67447520823885</c:v>
                </c:pt>
                <c:pt idx="21">
                  <c:v>601.71366851793402</c:v>
                </c:pt>
                <c:pt idx="22">
                  <c:v>640.53421120804069</c:v>
                </c:pt>
                <c:pt idx="23">
                  <c:v>779.40734543396673</c:v>
                </c:pt>
                <c:pt idx="24">
                  <c:v>845.9711424138095</c:v>
                </c:pt>
                <c:pt idx="25">
                  <c:v>982.56902953547979</c:v>
                </c:pt>
                <c:pt idx="26">
                  <c:v>1235.9532681327378</c:v>
                </c:pt>
                <c:pt idx="27">
                  <c:v>1440.2959836659707</c:v>
                </c:pt>
                <c:pt idx="28">
                  <c:v>1793.3925854936037</c:v>
                </c:pt>
                <c:pt idx="29">
                  <c:v>1837.597561500751</c:v>
                </c:pt>
                <c:pt idx="30">
                  <c:v>1406.4029153329841</c:v>
                </c:pt>
                <c:pt idx="31">
                  <c:v>1576.0928008235005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EBE7-4FA3-8E34-533CC44726C4}"/>
            </c:ext>
          </c:extLst>
        </c:ser>
        <c:ser>
          <c:idx val="67"/>
          <c:order val="67"/>
          <c:marker>
            <c:symbol val="none"/>
          </c:marker>
          <c:val>
            <c:numRef>
              <c:f>Brownian!$C$84:$AH$84</c:f>
              <c:numCache>
                <c:formatCode>#,##0;\(#,##0\);\-</c:formatCode>
                <c:ptCount val="32"/>
                <c:pt idx="0">
                  <c:v>100</c:v>
                </c:pt>
                <c:pt idx="1">
                  <c:v>95.094479404848315</c:v>
                </c:pt>
                <c:pt idx="2">
                  <c:v>94.947430256326356</c:v>
                </c:pt>
                <c:pt idx="3">
                  <c:v>122.96623033275158</c:v>
                </c:pt>
                <c:pt idx="4">
                  <c:v>120.41137569114733</c:v>
                </c:pt>
                <c:pt idx="5">
                  <c:v>150.73299401405833</c:v>
                </c:pt>
                <c:pt idx="6">
                  <c:v>149.75257023620657</c:v>
                </c:pt>
                <c:pt idx="7">
                  <c:v>206.40775990087269</c:v>
                </c:pt>
                <c:pt idx="8">
                  <c:v>200.86011558128098</c:v>
                </c:pt>
                <c:pt idx="9">
                  <c:v>214.7775872607653</c:v>
                </c:pt>
                <c:pt idx="10">
                  <c:v>255.80716836019502</c:v>
                </c:pt>
                <c:pt idx="11">
                  <c:v>263.27146448305643</c:v>
                </c:pt>
                <c:pt idx="12">
                  <c:v>301.77632360768956</c:v>
                </c:pt>
                <c:pt idx="13">
                  <c:v>397.28320949940837</c:v>
                </c:pt>
                <c:pt idx="14">
                  <c:v>352.10876453365455</c:v>
                </c:pt>
                <c:pt idx="15">
                  <c:v>361.87631091008319</c:v>
                </c:pt>
                <c:pt idx="16">
                  <c:v>502.01208060801071</c:v>
                </c:pt>
                <c:pt idx="17">
                  <c:v>580.22874785433578</c:v>
                </c:pt>
                <c:pt idx="18">
                  <c:v>506.96823601472011</c:v>
                </c:pt>
                <c:pt idx="19">
                  <c:v>644.43504975074597</c:v>
                </c:pt>
                <c:pt idx="20">
                  <c:v>680.3908787178666</c:v>
                </c:pt>
                <c:pt idx="21">
                  <c:v>834.68045263507872</c:v>
                </c:pt>
                <c:pt idx="22">
                  <c:v>974.97531203309472</c:v>
                </c:pt>
                <c:pt idx="23">
                  <c:v>957.58762344342415</c:v>
                </c:pt>
                <c:pt idx="24">
                  <c:v>1045.3974638680381</c:v>
                </c:pt>
                <c:pt idx="25">
                  <c:v>1257.8263292906011</c:v>
                </c:pt>
                <c:pt idx="26">
                  <c:v>1275.8068774238427</c:v>
                </c:pt>
                <c:pt idx="27">
                  <c:v>1451.8175111038663</c:v>
                </c:pt>
                <c:pt idx="28">
                  <c:v>1437.8090782792647</c:v>
                </c:pt>
                <c:pt idx="29">
                  <c:v>1377.6338641076165</c:v>
                </c:pt>
                <c:pt idx="30">
                  <c:v>1587.3535140670756</c:v>
                </c:pt>
                <c:pt idx="31">
                  <c:v>1873.5101524847059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EBE7-4FA3-8E34-533CC44726C4}"/>
            </c:ext>
          </c:extLst>
        </c:ser>
        <c:ser>
          <c:idx val="68"/>
          <c:order val="68"/>
          <c:marker>
            <c:symbol val="none"/>
          </c:marker>
          <c:val>
            <c:numRef>
              <c:f>Brownian!$C$85:$AH$85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128.68008286709355</c:v>
                </c:pt>
                <c:pt idx="2">
                  <c:v>104.66510881020599</c:v>
                </c:pt>
                <c:pt idx="3">
                  <c:v>129.90039037309413</c:v>
                </c:pt>
                <c:pt idx="4">
                  <c:v>124.96462967408345</c:v>
                </c:pt>
                <c:pt idx="5">
                  <c:v>145.7096516342944</c:v>
                </c:pt>
                <c:pt idx="6">
                  <c:v>169.69293034975414</c:v>
                </c:pt>
                <c:pt idx="7">
                  <c:v>194.79101031386602</c:v>
                </c:pt>
                <c:pt idx="8">
                  <c:v>238.31162572193114</c:v>
                </c:pt>
                <c:pt idx="9">
                  <c:v>189.24594009168328</c:v>
                </c:pt>
                <c:pt idx="10">
                  <c:v>209.04702295230521</c:v>
                </c:pt>
                <c:pt idx="11">
                  <c:v>296.83825305069581</c:v>
                </c:pt>
                <c:pt idx="12">
                  <c:v>283.02881663057633</c:v>
                </c:pt>
                <c:pt idx="13">
                  <c:v>336.95893004791407</c:v>
                </c:pt>
                <c:pt idx="14">
                  <c:v>343.5529912494668</c:v>
                </c:pt>
                <c:pt idx="15">
                  <c:v>388.61695531032399</c:v>
                </c:pt>
                <c:pt idx="16">
                  <c:v>380.19251073448402</c:v>
                </c:pt>
                <c:pt idx="17">
                  <c:v>503.67016852995192</c:v>
                </c:pt>
                <c:pt idx="18">
                  <c:v>506.53260195533585</c:v>
                </c:pt>
                <c:pt idx="19">
                  <c:v>650.8881388013516</c:v>
                </c:pt>
                <c:pt idx="20">
                  <c:v>751.48348911834069</c:v>
                </c:pt>
                <c:pt idx="21">
                  <c:v>704.76782829096169</c:v>
                </c:pt>
                <c:pt idx="22">
                  <c:v>781.73097065055072</c:v>
                </c:pt>
                <c:pt idx="23">
                  <c:v>806.7729300300914</c:v>
                </c:pt>
                <c:pt idx="24">
                  <c:v>1056.305690237961</c:v>
                </c:pt>
                <c:pt idx="25">
                  <c:v>1162.3244236966707</c:v>
                </c:pt>
                <c:pt idx="26">
                  <c:v>1240.2588530483563</c:v>
                </c:pt>
                <c:pt idx="27">
                  <c:v>1166.2400581640827</c:v>
                </c:pt>
                <c:pt idx="28">
                  <c:v>1221.3744702225995</c:v>
                </c:pt>
                <c:pt idx="29">
                  <c:v>1562.6614322811367</c:v>
                </c:pt>
                <c:pt idx="30">
                  <c:v>1697.9124070146895</c:v>
                </c:pt>
                <c:pt idx="31">
                  <c:v>1652.261489819696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EBE7-4FA3-8E34-533CC44726C4}"/>
            </c:ext>
          </c:extLst>
        </c:ser>
        <c:ser>
          <c:idx val="69"/>
          <c:order val="69"/>
          <c:marker>
            <c:symbol val="none"/>
          </c:marker>
          <c:val>
            <c:numRef>
              <c:f>Brownian!$C$86:$AH$86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129.8060534963727</c:v>
                </c:pt>
                <c:pt idx="2">
                  <c:v>142.46402589552886</c:v>
                </c:pt>
                <c:pt idx="3">
                  <c:v>156.00075992276595</c:v>
                </c:pt>
                <c:pt idx="4">
                  <c:v>155.76456258507511</c:v>
                </c:pt>
                <c:pt idx="5">
                  <c:v>182.32671344233125</c:v>
                </c:pt>
                <c:pt idx="6">
                  <c:v>160.47152412770885</c:v>
                </c:pt>
                <c:pt idx="7">
                  <c:v>164.24388069842837</c:v>
                </c:pt>
                <c:pt idx="8">
                  <c:v>232.40790353912399</c:v>
                </c:pt>
                <c:pt idx="9">
                  <c:v>228.95776265803903</c:v>
                </c:pt>
                <c:pt idx="10">
                  <c:v>265.63823037791053</c:v>
                </c:pt>
                <c:pt idx="11">
                  <c:v>279.92361493942531</c:v>
                </c:pt>
                <c:pt idx="12">
                  <c:v>353.07608442168726</c:v>
                </c:pt>
                <c:pt idx="13">
                  <c:v>336.95673991157673</c:v>
                </c:pt>
                <c:pt idx="14">
                  <c:v>347.83491758946752</c:v>
                </c:pt>
                <c:pt idx="15">
                  <c:v>485.81822383002009</c:v>
                </c:pt>
                <c:pt idx="16">
                  <c:v>584.23567988676666</c:v>
                </c:pt>
                <c:pt idx="17">
                  <c:v>565.68108907524197</c:v>
                </c:pt>
                <c:pt idx="18">
                  <c:v>643.82848775278376</c:v>
                </c:pt>
                <c:pt idx="19">
                  <c:v>663.28188725676193</c:v>
                </c:pt>
                <c:pt idx="20">
                  <c:v>776.32708917779632</c:v>
                </c:pt>
                <c:pt idx="21">
                  <c:v>812.07179172750716</c:v>
                </c:pt>
                <c:pt idx="22">
                  <c:v>920.22371382719052</c:v>
                </c:pt>
                <c:pt idx="23">
                  <c:v>1015.6851080185613</c:v>
                </c:pt>
                <c:pt idx="24">
                  <c:v>1104.2071938142844</c:v>
                </c:pt>
                <c:pt idx="25">
                  <c:v>1118.7440509673711</c:v>
                </c:pt>
                <c:pt idx="26">
                  <c:v>1307.4165058941333</c:v>
                </c:pt>
                <c:pt idx="27">
                  <c:v>1329.2403120508086</c:v>
                </c:pt>
                <c:pt idx="28">
                  <c:v>1363.1067864930806</c:v>
                </c:pt>
                <c:pt idx="29">
                  <c:v>1402.1391165108107</c:v>
                </c:pt>
                <c:pt idx="30">
                  <c:v>1357.0709070215266</c:v>
                </c:pt>
                <c:pt idx="31">
                  <c:v>1549.8647825976213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EBE7-4FA3-8E34-533CC44726C4}"/>
            </c:ext>
          </c:extLst>
        </c:ser>
        <c:ser>
          <c:idx val="70"/>
          <c:order val="70"/>
          <c:marker>
            <c:symbol val="none"/>
          </c:marker>
          <c:val>
            <c:numRef>
              <c:f>Brownian!$C$87:$AH$87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103.24503030375539</c:v>
                </c:pt>
                <c:pt idx="2">
                  <c:v>107.94464677595735</c:v>
                </c:pt>
                <c:pt idx="3">
                  <c:v>147.50608667150149</c:v>
                </c:pt>
                <c:pt idx="4">
                  <c:v>110.04406123248718</c:v>
                </c:pt>
                <c:pt idx="5">
                  <c:v>134.98308447824436</c:v>
                </c:pt>
                <c:pt idx="6">
                  <c:v>192.20136860144709</c:v>
                </c:pt>
                <c:pt idx="7">
                  <c:v>232.72203052414733</c:v>
                </c:pt>
                <c:pt idx="8">
                  <c:v>209.4201053435512</c:v>
                </c:pt>
                <c:pt idx="9">
                  <c:v>249.11820735898931</c:v>
                </c:pt>
                <c:pt idx="10">
                  <c:v>304.73365214988104</c:v>
                </c:pt>
                <c:pt idx="11">
                  <c:v>294.07078584483457</c:v>
                </c:pt>
                <c:pt idx="12">
                  <c:v>312.18321967551492</c:v>
                </c:pt>
                <c:pt idx="13">
                  <c:v>303.56523816040465</c:v>
                </c:pt>
                <c:pt idx="14">
                  <c:v>359.76278127955362</c:v>
                </c:pt>
                <c:pt idx="15">
                  <c:v>421.19724691187196</c:v>
                </c:pt>
                <c:pt idx="16">
                  <c:v>522.95067230647874</c:v>
                </c:pt>
                <c:pt idx="17">
                  <c:v>572.51117172103</c:v>
                </c:pt>
                <c:pt idx="18">
                  <c:v>639.43332007000663</c:v>
                </c:pt>
                <c:pt idx="19">
                  <c:v>728.32466906719776</c:v>
                </c:pt>
                <c:pt idx="20">
                  <c:v>910.58576510589205</c:v>
                </c:pt>
                <c:pt idx="21">
                  <c:v>941.94829330148161</c:v>
                </c:pt>
                <c:pt idx="22">
                  <c:v>794.76186212127016</c:v>
                </c:pt>
                <c:pt idx="23">
                  <c:v>1029.6441999824369</c:v>
                </c:pt>
                <c:pt idx="24">
                  <c:v>1096.8459170443996</c:v>
                </c:pt>
                <c:pt idx="25">
                  <c:v>1249.259120892687</c:v>
                </c:pt>
                <c:pt idx="26">
                  <c:v>1175.5920744860994</c:v>
                </c:pt>
                <c:pt idx="27">
                  <c:v>1401.6663641984333</c:v>
                </c:pt>
                <c:pt idx="28">
                  <c:v>1793.4936981396027</c:v>
                </c:pt>
                <c:pt idx="29">
                  <c:v>2059.2151956272492</c:v>
                </c:pt>
                <c:pt idx="30">
                  <c:v>2143.6467725343555</c:v>
                </c:pt>
                <c:pt idx="31">
                  <c:v>2242.1592598536886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EBE7-4FA3-8E34-533CC44726C4}"/>
            </c:ext>
          </c:extLst>
        </c:ser>
        <c:ser>
          <c:idx val="71"/>
          <c:order val="71"/>
          <c:marker>
            <c:symbol val="none"/>
          </c:marker>
          <c:val>
            <c:numRef>
              <c:f>Brownian!$C$88:$AH$88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113.64289756487251</c:v>
                </c:pt>
                <c:pt idx="2">
                  <c:v>131.27481445858035</c:v>
                </c:pt>
                <c:pt idx="3">
                  <c:v>131.55217118472018</c:v>
                </c:pt>
                <c:pt idx="4">
                  <c:v>141.73494297228342</c:v>
                </c:pt>
                <c:pt idx="5">
                  <c:v>177.72459570690822</c:v>
                </c:pt>
                <c:pt idx="6">
                  <c:v>140.03070641640551</c:v>
                </c:pt>
                <c:pt idx="7">
                  <c:v>189.44240117546798</c:v>
                </c:pt>
                <c:pt idx="8">
                  <c:v>218.44167944331036</c:v>
                </c:pt>
                <c:pt idx="9">
                  <c:v>244.58381961794703</c:v>
                </c:pt>
                <c:pt idx="10">
                  <c:v>248.05889756131771</c:v>
                </c:pt>
                <c:pt idx="11">
                  <c:v>324.48447934249458</c:v>
                </c:pt>
                <c:pt idx="12">
                  <c:v>300.42028889968094</c:v>
                </c:pt>
                <c:pt idx="13">
                  <c:v>352.69077378376215</c:v>
                </c:pt>
                <c:pt idx="14">
                  <c:v>386.30971132078491</c:v>
                </c:pt>
                <c:pt idx="15">
                  <c:v>365.82696423741334</c:v>
                </c:pt>
                <c:pt idx="16">
                  <c:v>456.95739786267848</c:v>
                </c:pt>
                <c:pt idx="17">
                  <c:v>468.24894364551523</c:v>
                </c:pt>
                <c:pt idx="18">
                  <c:v>545.52111408556721</c:v>
                </c:pt>
                <c:pt idx="19">
                  <c:v>531.4933471899011</c:v>
                </c:pt>
                <c:pt idx="20">
                  <c:v>665.58285664818027</c:v>
                </c:pt>
                <c:pt idx="21">
                  <c:v>812.18010968939143</c:v>
                </c:pt>
                <c:pt idx="22">
                  <c:v>730.59999257407458</c:v>
                </c:pt>
                <c:pt idx="23">
                  <c:v>749.4573949238312</c:v>
                </c:pt>
                <c:pt idx="24">
                  <c:v>866.09209519101023</c:v>
                </c:pt>
                <c:pt idx="25">
                  <c:v>1005.0855521666392</c:v>
                </c:pt>
                <c:pt idx="26">
                  <c:v>1061.9721915620712</c:v>
                </c:pt>
                <c:pt idx="27">
                  <c:v>1383.3208173461462</c:v>
                </c:pt>
                <c:pt idx="28">
                  <c:v>1395.957296770619</c:v>
                </c:pt>
                <c:pt idx="29">
                  <c:v>1746.5768226475582</c:v>
                </c:pt>
                <c:pt idx="30">
                  <c:v>1653.1464263747539</c:v>
                </c:pt>
                <c:pt idx="31">
                  <c:v>1776.5126804223785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EBE7-4FA3-8E34-533CC44726C4}"/>
            </c:ext>
          </c:extLst>
        </c:ser>
        <c:ser>
          <c:idx val="72"/>
          <c:order val="72"/>
          <c:marker>
            <c:symbol val="none"/>
          </c:marker>
          <c:val>
            <c:numRef>
              <c:f>Brownian!$C$89:$AH$89</c:f>
              <c:numCache>
                <c:formatCode>#,##0;\(#,##0\);\-</c:formatCode>
                <c:ptCount val="32"/>
                <c:pt idx="0">
                  <c:v>100</c:v>
                </c:pt>
                <c:pt idx="1">
                  <c:v>141.24681670036679</c:v>
                </c:pt>
                <c:pt idx="2">
                  <c:v>142.86828247002936</c:v>
                </c:pt>
                <c:pt idx="3">
                  <c:v>138.20046583314024</c:v>
                </c:pt>
                <c:pt idx="4">
                  <c:v>114.47270669735236</c:v>
                </c:pt>
                <c:pt idx="5">
                  <c:v>138.52150195853906</c:v>
                </c:pt>
                <c:pt idx="6">
                  <c:v>149.84320835830692</c:v>
                </c:pt>
                <c:pt idx="7">
                  <c:v>169.97308190189477</c:v>
                </c:pt>
                <c:pt idx="8">
                  <c:v>207.1534377117635</c:v>
                </c:pt>
                <c:pt idx="9">
                  <c:v>239.59848864068266</c:v>
                </c:pt>
                <c:pt idx="10">
                  <c:v>252.28221451407333</c:v>
                </c:pt>
                <c:pt idx="11">
                  <c:v>282.33477356557478</c:v>
                </c:pt>
                <c:pt idx="12">
                  <c:v>333.9821361431691</c:v>
                </c:pt>
                <c:pt idx="13">
                  <c:v>428.77397152109103</c:v>
                </c:pt>
                <c:pt idx="14">
                  <c:v>379.74477058989009</c:v>
                </c:pt>
                <c:pt idx="15">
                  <c:v>383.35411221049617</c:v>
                </c:pt>
                <c:pt idx="16">
                  <c:v>388.67937357016024</c:v>
                </c:pt>
                <c:pt idx="17">
                  <c:v>425.19619617384518</c:v>
                </c:pt>
                <c:pt idx="18">
                  <c:v>381.22740128497429</c:v>
                </c:pt>
                <c:pt idx="19">
                  <c:v>410.56322377026618</c:v>
                </c:pt>
                <c:pt idx="20">
                  <c:v>579.24565406730005</c:v>
                </c:pt>
                <c:pt idx="21">
                  <c:v>706.9123517615858</c:v>
                </c:pt>
                <c:pt idx="22">
                  <c:v>636.84668350084144</c:v>
                </c:pt>
                <c:pt idx="23">
                  <c:v>964.53884055003107</c:v>
                </c:pt>
                <c:pt idx="24">
                  <c:v>1089.2117182053848</c:v>
                </c:pt>
                <c:pt idx="25">
                  <c:v>1059.3753227714269</c:v>
                </c:pt>
                <c:pt idx="26">
                  <c:v>1198.2476967429807</c:v>
                </c:pt>
                <c:pt idx="27">
                  <c:v>1349.8879752872808</c:v>
                </c:pt>
                <c:pt idx="28">
                  <c:v>1609.3436277811243</c:v>
                </c:pt>
                <c:pt idx="29">
                  <c:v>1377.7377056423541</c:v>
                </c:pt>
                <c:pt idx="30">
                  <c:v>1431.2371500282779</c:v>
                </c:pt>
                <c:pt idx="31">
                  <c:v>1610.2939137979567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EBE7-4FA3-8E34-533CC44726C4}"/>
            </c:ext>
          </c:extLst>
        </c:ser>
        <c:ser>
          <c:idx val="73"/>
          <c:order val="73"/>
          <c:marker>
            <c:symbol val="none"/>
          </c:marker>
          <c:val>
            <c:numRef>
              <c:f>Brownian!$C$90:$AH$90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103.84958297672455</c:v>
                </c:pt>
                <c:pt idx="2">
                  <c:v>118.98291827812986</c:v>
                </c:pt>
                <c:pt idx="3">
                  <c:v>130.5574401544994</c:v>
                </c:pt>
                <c:pt idx="4">
                  <c:v>177.74590631853459</c:v>
                </c:pt>
                <c:pt idx="5">
                  <c:v>218.83901366084388</c:v>
                </c:pt>
                <c:pt idx="6">
                  <c:v>166.81821528752837</c:v>
                </c:pt>
                <c:pt idx="7">
                  <c:v>187.40710808090617</c:v>
                </c:pt>
                <c:pt idx="8">
                  <c:v>173.78858023671432</c:v>
                </c:pt>
                <c:pt idx="9">
                  <c:v>221.55493897076968</c:v>
                </c:pt>
                <c:pt idx="10">
                  <c:v>243.04099212878251</c:v>
                </c:pt>
                <c:pt idx="11">
                  <c:v>278.52078913308105</c:v>
                </c:pt>
                <c:pt idx="12">
                  <c:v>253.96627617646948</c:v>
                </c:pt>
                <c:pt idx="13">
                  <c:v>333.77545663633583</c:v>
                </c:pt>
                <c:pt idx="14">
                  <c:v>282.0551137018349</c:v>
                </c:pt>
                <c:pt idx="15">
                  <c:v>389.21506650582967</c:v>
                </c:pt>
                <c:pt idx="16">
                  <c:v>451.64131474823137</c:v>
                </c:pt>
                <c:pt idx="17">
                  <c:v>444.91773215125033</c:v>
                </c:pt>
                <c:pt idx="18">
                  <c:v>488.44782940007701</c:v>
                </c:pt>
                <c:pt idx="19">
                  <c:v>529.08515730875251</c:v>
                </c:pt>
                <c:pt idx="20">
                  <c:v>581.55439098951456</c:v>
                </c:pt>
                <c:pt idx="21">
                  <c:v>622.21248184483829</c:v>
                </c:pt>
                <c:pt idx="22">
                  <c:v>733.07468418840426</c:v>
                </c:pt>
                <c:pt idx="23">
                  <c:v>828.34409326652042</c:v>
                </c:pt>
                <c:pt idx="24">
                  <c:v>1016.2312527581887</c:v>
                </c:pt>
                <c:pt idx="25">
                  <c:v>1164.6833333326406</c:v>
                </c:pt>
                <c:pt idx="26">
                  <c:v>1160.4465862035663</c:v>
                </c:pt>
                <c:pt idx="27">
                  <c:v>1070.7754083047962</c:v>
                </c:pt>
                <c:pt idx="28">
                  <c:v>1317.1593633017983</c:v>
                </c:pt>
                <c:pt idx="29">
                  <c:v>1468.7870892896374</c:v>
                </c:pt>
                <c:pt idx="30">
                  <c:v>1663.3528199438447</c:v>
                </c:pt>
                <c:pt idx="31">
                  <c:v>2264.2694758732869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EBE7-4FA3-8E34-533CC44726C4}"/>
            </c:ext>
          </c:extLst>
        </c:ser>
        <c:ser>
          <c:idx val="74"/>
          <c:order val="74"/>
          <c:marker>
            <c:symbol val="none"/>
          </c:marker>
          <c:val>
            <c:numRef>
              <c:f>Brownian!$C$91:$AH$91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116.1723458484756</c:v>
                </c:pt>
                <c:pt idx="2">
                  <c:v>129.67776475498874</c:v>
                </c:pt>
                <c:pt idx="3">
                  <c:v>139.10491343635721</c:v>
                </c:pt>
                <c:pt idx="4">
                  <c:v>135.48948227445567</c:v>
                </c:pt>
                <c:pt idx="5">
                  <c:v>155.92137838028145</c:v>
                </c:pt>
                <c:pt idx="6">
                  <c:v>168.00952107909131</c:v>
                </c:pt>
                <c:pt idx="7">
                  <c:v>169.33035833389772</c:v>
                </c:pt>
                <c:pt idx="8">
                  <c:v>227.46834288416909</c:v>
                </c:pt>
                <c:pt idx="9">
                  <c:v>240.44439671171398</c:v>
                </c:pt>
                <c:pt idx="10">
                  <c:v>257.45117903210678</c:v>
                </c:pt>
                <c:pt idx="11">
                  <c:v>295.5409924401298</c:v>
                </c:pt>
                <c:pt idx="12">
                  <c:v>380.09476918313885</c:v>
                </c:pt>
                <c:pt idx="13">
                  <c:v>387.54736684608514</c:v>
                </c:pt>
                <c:pt idx="14">
                  <c:v>447.44885278567313</c:v>
                </c:pt>
                <c:pt idx="15">
                  <c:v>473.22487908320556</c:v>
                </c:pt>
                <c:pt idx="16">
                  <c:v>483.47809127891958</c:v>
                </c:pt>
                <c:pt idx="17">
                  <c:v>497.78505314356028</c:v>
                </c:pt>
                <c:pt idx="18">
                  <c:v>433.01262323355672</c:v>
                </c:pt>
                <c:pt idx="19">
                  <c:v>490.23808212905448</c:v>
                </c:pt>
                <c:pt idx="20">
                  <c:v>503.141117466065</c:v>
                </c:pt>
                <c:pt idx="21">
                  <c:v>583.7788052081396</c:v>
                </c:pt>
                <c:pt idx="22">
                  <c:v>761.61628475212342</c:v>
                </c:pt>
                <c:pt idx="23">
                  <c:v>801.01584129455057</c:v>
                </c:pt>
                <c:pt idx="24">
                  <c:v>807.21241365028277</c:v>
                </c:pt>
                <c:pt idx="25">
                  <c:v>759.85633651509715</c:v>
                </c:pt>
                <c:pt idx="26">
                  <c:v>930.05826958420823</c:v>
                </c:pt>
                <c:pt idx="27">
                  <c:v>1151.0008130903868</c:v>
                </c:pt>
                <c:pt idx="28">
                  <c:v>1522.8565821734082</c:v>
                </c:pt>
                <c:pt idx="29">
                  <c:v>1789.8734090544444</c:v>
                </c:pt>
                <c:pt idx="30">
                  <c:v>1485.132718102263</c:v>
                </c:pt>
                <c:pt idx="31">
                  <c:v>1999.2065007024478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EBE7-4FA3-8E34-533CC44726C4}"/>
            </c:ext>
          </c:extLst>
        </c:ser>
        <c:ser>
          <c:idx val="75"/>
          <c:order val="75"/>
          <c:marker>
            <c:symbol val="none"/>
          </c:marker>
          <c:val>
            <c:numRef>
              <c:f>Brownian!$C$92:$AH$92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105.20403620848944</c:v>
                </c:pt>
                <c:pt idx="2">
                  <c:v>124.83040080364455</c:v>
                </c:pt>
                <c:pt idx="3">
                  <c:v>108.12015531517949</c:v>
                </c:pt>
                <c:pt idx="4">
                  <c:v>147.56942411194115</c:v>
                </c:pt>
                <c:pt idx="5">
                  <c:v>160.66560466501807</c:v>
                </c:pt>
                <c:pt idx="6">
                  <c:v>169.95466570675177</c:v>
                </c:pt>
                <c:pt idx="7">
                  <c:v>186.94168242468783</c:v>
                </c:pt>
                <c:pt idx="8">
                  <c:v>203.16953155630614</c:v>
                </c:pt>
                <c:pt idx="9">
                  <c:v>266.88037436147386</c:v>
                </c:pt>
                <c:pt idx="10">
                  <c:v>218.36226458792859</c:v>
                </c:pt>
                <c:pt idx="11">
                  <c:v>250.50565279647486</c:v>
                </c:pt>
                <c:pt idx="12">
                  <c:v>289.65075573399088</c:v>
                </c:pt>
                <c:pt idx="13">
                  <c:v>255.61319706877802</c:v>
                </c:pt>
                <c:pt idx="14">
                  <c:v>340.63263053721897</c:v>
                </c:pt>
                <c:pt idx="15">
                  <c:v>322.44562184766949</c:v>
                </c:pt>
                <c:pt idx="16">
                  <c:v>440.30904765153377</c:v>
                </c:pt>
                <c:pt idx="17">
                  <c:v>521.32442512903083</c:v>
                </c:pt>
                <c:pt idx="18">
                  <c:v>557.67445124489302</c:v>
                </c:pt>
                <c:pt idx="19">
                  <c:v>625.65161086481703</c:v>
                </c:pt>
                <c:pt idx="20">
                  <c:v>698.03104509738409</c:v>
                </c:pt>
                <c:pt idx="21">
                  <c:v>722.2974447104923</c:v>
                </c:pt>
                <c:pt idx="22">
                  <c:v>597.06524548252696</c:v>
                </c:pt>
                <c:pt idx="23">
                  <c:v>837.27760668772714</c:v>
                </c:pt>
                <c:pt idx="24">
                  <c:v>1047.5464756311831</c:v>
                </c:pt>
                <c:pt idx="25">
                  <c:v>1068.9839719954289</c:v>
                </c:pt>
                <c:pt idx="26">
                  <c:v>1024.2765218526351</c:v>
                </c:pt>
                <c:pt idx="27">
                  <c:v>1373.7545507222749</c:v>
                </c:pt>
                <c:pt idx="28">
                  <c:v>1383.771969403394</c:v>
                </c:pt>
                <c:pt idx="29">
                  <c:v>1207.3448305121622</c:v>
                </c:pt>
                <c:pt idx="30">
                  <c:v>1511.2667736256449</c:v>
                </c:pt>
                <c:pt idx="31">
                  <c:v>1599.1735025445244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EBE7-4FA3-8E34-533CC44726C4}"/>
            </c:ext>
          </c:extLst>
        </c:ser>
        <c:ser>
          <c:idx val="76"/>
          <c:order val="76"/>
          <c:marker>
            <c:symbol val="none"/>
          </c:marker>
          <c:val>
            <c:numRef>
              <c:f>Brownian!$C$93:$AH$93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107.55567693487006</c:v>
                </c:pt>
                <c:pt idx="2">
                  <c:v>116.10194160108293</c:v>
                </c:pt>
                <c:pt idx="3">
                  <c:v>123.26739697294026</c:v>
                </c:pt>
                <c:pt idx="4">
                  <c:v>131.74317743079368</c:v>
                </c:pt>
                <c:pt idx="5">
                  <c:v>179.01983049725567</c:v>
                </c:pt>
                <c:pt idx="6">
                  <c:v>195.04314368769741</c:v>
                </c:pt>
                <c:pt idx="7">
                  <c:v>208.53013821032982</c:v>
                </c:pt>
                <c:pt idx="8">
                  <c:v>200.59438762953994</c:v>
                </c:pt>
                <c:pt idx="9">
                  <c:v>204.04556655000056</c:v>
                </c:pt>
                <c:pt idx="10">
                  <c:v>234.17295948277891</c:v>
                </c:pt>
                <c:pt idx="11">
                  <c:v>331.51822046227505</c:v>
                </c:pt>
                <c:pt idx="12">
                  <c:v>336.99058293270957</c:v>
                </c:pt>
                <c:pt idx="13">
                  <c:v>294.61229285305234</c:v>
                </c:pt>
                <c:pt idx="14">
                  <c:v>374.35357802661792</c:v>
                </c:pt>
                <c:pt idx="15">
                  <c:v>369.38334521793354</c:v>
                </c:pt>
                <c:pt idx="16">
                  <c:v>446.62065795256262</c:v>
                </c:pt>
                <c:pt idx="17">
                  <c:v>478.54289861059311</c:v>
                </c:pt>
                <c:pt idx="18">
                  <c:v>609.81579637677066</c:v>
                </c:pt>
                <c:pt idx="19">
                  <c:v>610.03793225035815</c:v>
                </c:pt>
                <c:pt idx="20">
                  <c:v>630.83683228919949</c:v>
                </c:pt>
                <c:pt idx="21">
                  <c:v>790.6505251705006</c:v>
                </c:pt>
                <c:pt idx="22">
                  <c:v>755.05252399986648</c:v>
                </c:pt>
                <c:pt idx="23">
                  <c:v>808.17113987845073</c:v>
                </c:pt>
                <c:pt idx="24">
                  <c:v>1012.181746957121</c:v>
                </c:pt>
                <c:pt idx="25">
                  <c:v>1202.8050670846142</c:v>
                </c:pt>
                <c:pt idx="26">
                  <c:v>1593.4261738093835</c:v>
                </c:pt>
                <c:pt idx="27">
                  <c:v>1724.220925546615</c:v>
                </c:pt>
                <c:pt idx="28">
                  <c:v>1585.2950900094477</c:v>
                </c:pt>
                <c:pt idx="29">
                  <c:v>1559.1938025265713</c:v>
                </c:pt>
                <c:pt idx="30">
                  <c:v>1484.8357921414167</c:v>
                </c:pt>
                <c:pt idx="31">
                  <c:v>1600.3004546999896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EBE7-4FA3-8E34-533CC44726C4}"/>
            </c:ext>
          </c:extLst>
        </c:ser>
        <c:ser>
          <c:idx val="77"/>
          <c:order val="77"/>
          <c:marker>
            <c:symbol val="none"/>
          </c:marker>
          <c:val>
            <c:numRef>
              <c:f>Brownian!$C$94:$AH$94</c:f>
              <c:numCache>
                <c:formatCode>#,##0;\(#,##0\);\-</c:formatCode>
                <c:ptCount val="32"/>
                <c:pt idx="0">
                  <c:v>100</c:v>
                </c:pt>
                <c:pt idx="1">
                  <c:v>73.585302486570683</c:v>
                </c:pt>
                <c:pt idx="2">
                  <c:v>85.716736411255056</c:v>
                </c:pt>
                <c:pt idx="3">
                  <c:v>118.6117323403315</c:v>
                </c:pt>
                <c:pt idx="4">
                  <c:v>148.76812084318578</c:v>
                </c:pt>
                <c:pt idx="5">
                  <c:v>157.52134077543931</c:v>
                </c:pt>
                <c:pt idx="6">
                  <c:v>159.30630084444783</c:v>
                </c:pt>
                <c:pt idx="7">
                  <c:v>201.40345207151188</c:v>
                </c:pt>
                <c:pt idx="8">
                  <c:v>226.37570535191253</c:v>
                </c:pt>
                <c:pt idx="9">
                  <c:v>274.05421088917302</c:v>
                </c:pt>
                <c:pt idx="10">
                  <c:v>288.28318691004841</c:v>
                </c:pt>
                <c:pt idx="11">
                  <c:v>287.49051607547818</c:v>
                </c:pt>
                <c:pt idx="12">
                  <c:v>345.28439702046978</c:v>
                </c:pt>
                <c:pt idx="13">
                  <c:v>347.47819923747329</c:v>
                </c:pt>
                <c:pt idx="14">
                  <c:v>332.64867518816061</c:v>
                </c:pt>
                <c:pt idx="15">
                  <c:v>467.81645088315679</c:v>
                </c:pt>
                <c:pt idx="16">
                  <c:v>545.47610944981568</c:v>
                </c:pt>
                <c:pt idx="17">
                  <c:v>666.14604722615968</c:v>
                </c:pt>
                <c:pt idx="18">
                  <c:v>567.11342216116907</c:v>
                </c:pt>
                <c:pt idx="19">
                  <c:v>553.85545084880778</c:v>
                </c:pt>
                <c:pt idx="20">
                  <c:v>685.55574650410153</c:v>
                </c:pt>
                <c:pt idx="21">
                  <c:v>862.82645475726792</c:v>
                </c:pt>
                <c:pt idx="22">
                  <c:v>915.84170912039394</c:v>
                </c:pt>
                <c:pt idx="23">
                  <c:v>1071.6794029488333</c:v>
                </c:pt>
                <c:pt idx="24">
                  <c:v>1082.9427137120117</c:v>
                </c:pt>
                <c:pt idx="25">
                  <c:v>1046.208979078993</c:v>
                </c:pt>
                <c:pt idx="26">
                  <c:v>1187.6529566638687</c:v>
                </c:pt>
                <c:pt idx="27">
                  <c:v>1381.4806978110669</c:v>
                </c:pt>
                <c:pt idx="28">
                  <c:v>1646.7931847797879</c:v>
                </c:pt>
                <c:pt idx="29">
                  <c:v>1453.4626520427091</c:v>
                </c:pt>
                <c:pt idx="30">
                  <c:v>1642.0057408629718</c:v>
                </c:pt>
                <c:pt idx="31">
                  <c:v>1846.1647540322238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EBE7-4FA3-8E34-533CC44726C4}"/>
            </c:ext>
          </c:extLst>
        </c:ser>
        <c:ser>
          <c:idx val="78"/>
          <c:order val="78"/>
          <c:marker>
            <c:symbol val="none"/>
          </c:marker>
          <c:val>
            <c:numRef>
              <c:f>Brownian!$C$95:$AH$95</c:f>
              <c:numCache>
                <c:formatCode>#,##0;\(#,##0\);\-</c:formatCode>
                <c:ptCount val="32"/>
                <c:pt idx="0">
                  <c:v>100</c:v>
                </c:pt>
                <c:pt idx="1">
                  <c:v>127.61843649013787</c:v>
                </c:pt>
                <c:pt idx="2">
                  <c:v>89.909977748665511</c:v>
                </c:pt>
                <c:pt idx="3">
                  <c:v>122.21879226449579</c:v>
                </c:pt>
                <c:pt idx="4">
                  <c:v>135.40250748902366</c:v>
                </c:pt>
                <c:pt idx="5">
                  <c:v>136.13049509544047</c:v>
                </c:pt>
                <c:pt idx="6">
                  <c:v>139.75458161733042</c:v>
                </c:pt>
                <c:pt idx="7">
                  <c:v>194.25604316071548</c:v>
                </c:pt>
                <c:pt idx="8">
                  <c:v>238.05339002835018</c:v>
                </c:pt>
                <c:pt idx="9">
                  <c:v>332.36585994277021</c:v>
                </c:pt>
                <c:pt idx="10">
                  <c:v>334.19418245911936</c:v>
                </c:pt>
                <c:pt idx="11">
                  <c:v>347.44908239084259</c:v>
                </c:pt>
                <c:pt idx="12">
                  <c:v>277.26836892311258</c:v>
                </c:pt>
                <c:pt idx="13">
                  <c:v>304.78684406004118</c:v>
                </c:pt>
                <c:pt idx="14">
                  <c:v>351.54890913719589</c:v>
                </c:pt>
                <c:pt idx="15">
                  <c:v>406.69566806862622</c:v>
                </c:pt>
                <c:pt idx="16">
                  <c:v>382.20632248492916</c:v>
                </c:pt>
                <c:pt idx="17">
                  <c:v>464.95543589684843</c:v>
                </c:pt>
                <c:pt idx="18">
                  <c:v>556.97461482900871</c:v>
                </c:pt>
                <c:pt idx="19">
                  <c:v>595.71946847607592</c:v>
                </c:pt>
                <c:pt idx="20">
                  <c:v>666.77497852442184</c:v>
                </c:pt>
                <c:pt idx="21">
                  <c:v>824.10275320555138</c:v>
                </c:pt>
                <c:pt idx="22">
                  <c:v>853.47369519042036</c:v>
                </c:pt>
                <c:pt idx="23">
                  <c:v>1018.0880007322446</c:v>
                </c:pt>
                <c:pt idx="24">
                  <c:v>1113.5856114920762</c:v>
                </c:pt>
                <c:pt idx="25">
                  <c:v>1224.0917337360775</c:v>
                </c:pt>
                <c:pt idx="26">
                  <c:v>1510.6746108355251</c:v>
                </c:pt>
                <c:pt idx="27">
                  <c:v>1786.0692289559374</c:v>
                </c:pt>
                <c:pt idx="28">
                  <c:v>1860.7425093455101</c:v>
                </c:pt>
                <c:pt idx="29">
                  <c:v>2009.2341109039244</c:v>
                </c:pt>
                <c:pt idx="30">
                  <c:v>1833.4770905703313</c:v>
                </c:pt>
                <c:pt idx="31">
                  <c:v>2148.2799931610862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EBE7-4FA3-8E34-533CC44726C4}"/>
            </c:ext>
          </c:extLst>
        </c:ser>
        <c:ser>
          <c:idx val="79"/>
          <c:order val="79"/>
          <c:marker>
            <c:symbol val="none"/>
          </c:marker>
          <c:val>
            <c:numRef>
              <c:f>Brownian!$C$96:$AH$96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111.62072515898103</c:v>
                </c:pt>
                <c:pt idx="2">
                  <c:v>79.842884196839066</c:v>
                </c:pt>
                <c:pt idx="3">
                  <c:v>106.11923222795723</c:v>
                </c:pt>
                <c:pt idx="4">
                  <c:v>131.36279331826378</c:v>
                </c:pt>
                <c:pt idx="5">
                  <c:v>159.004587471555</c:v>
                </c:pt>
                <c:pt idx="6">
                  <c:v>179.42631563150584</c:v>
                </c:pt>
                <c:pt idx="7">
                  <c:v>190.44965101357926</c:v>
                </c:pt>
                <c:pt idx="8">
                  <c:v>193.37960234018055</c:v>
                </c:pt>
                <c:pt idx="9">
                  <c:v>220.41617382263581</c:v>
                </c:pt>
                <c:pt idx="10">
                  <c:v>226.55356700912864</c:v>
                </c:pt>
                <c:pt idx="11">
                  <c:v>247.08624622219742</c:v>
                </c:pt>
                <c:pt idx="12">
                  <c:v>294.11264020199087</c:v>
                </c:pt>
                <c:pt idx="13">
                  <c:v>306.87843312498813</c:v>
                </c:pt>
                <c:pt idx="14">
                  <c:v>325.36470289186548</c:v>
                </c:pt>
                <c:pt idx="15">
                  <c:v>385.64583291043618</c:v>
                </c:pt>
                <c:pt idx="16">
                  <c:v>478.96967473666177</c:v>
                </c:pt>
                <c:pt idx="17">
                  <c:v>537.13660929599314</c:v>
                </c:pt>
                <c:pt idx="18">
                  <c:v>535.17785528339539</c:v>
                </c:pt>
                <c:pt idx="19">
                  <c:v>539.68537494799784</c:v>
                </c:pt>
                <c:pt idx="20">
                  <c:v>659.19980005181515</c:v>
                </c:pt>
                <c:pt idx="21">
                  <c:v>891.51781434055022</c:v>
                </c:pt>
                <c:pt idx="22">
                  <c:v>870.56747350487865</c:v>
                </c:pt>
                <c:pt idx="23">
                  <c:v>939.61359935857104</c:v>
                </c:pt>
                <c:pt idx="24">
                  <c:v>1138.4654449767131</c:v>
                </c:pt>
                <c:pt idx="25">
                  <c:v>1400.8500900076492</c:v>
                </c:pt>
                <c:pt idx="26">
                  <c:v>1275.1593724320617</c:v>
                </c:pt>
                <c:pt idx="27">
                  <c:v>1257.6713353554114</c:v>
                </c:pt>
                <c:pt idx="28">
                  <c:v>1351.4284328739323</c:v>
                </c:pt>
                <c:pt idx="29">
                  <c:v>1330.3484824679624</c:v>
                </c:pt>
                <c:pt idx="30">
                  <c:v>1337.8374223848464</c:v>
                </c:pt>
                <c:pt idx="31">
                  <c:v>1969.7604745571491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EBE7-4FA3-8E34-533CC44726C4}"/>
            </c:ext>
          </c:extLst>
        </c:ser>
        <c:ser>
          <c:idx val="80"/>
          <c:order val="80"/>
          <c:marker>
            <c:symbol val="none"/>
          </c:marker>
          <c:val>
            <c:numRef>
              <c:f>Brownian!$C$97:$AH$97</c:f>
              <c:numCache>
                <c:formatCode>#,##0;\(#,##0\);\-</c:formatCode>
                <c:ptCount val="32"/>
                <c:pt idx="0">
                  <c:v>100</c:v>
                </c:pt>
                <c:pt idx="1">
                  <c:v>99.080922505874668</c:v>
                </c:pt>
                <c:pt idx="2">
                  <c:v>122.29790807856395</c:v>
                </c:pt>
                <c:pt idx="3">
                  <c:v>101.39765474044114</c:v>
                </c:pt>
                <c:pt idx="4">
                  <c:v>102.52414502987524</c:v>
                </c:pt>
                <c:pt idx="5">
                  <c:v>123.14050348935552</c:v>
                </c:pt>
                <c:pt idx="6">
                  <c:v>140.30922711827088</c:v>
                </c:pt>
                <c:pt idx="7">
                  <c:v>204.21878662722889</c:v>
                </c:pt>
                <c:pt idx="8">
                  <c:v>194.81345357494797</c:v>
                </c:pt>
                <c:pt idx="9">
                  <c:v>190.87386694063662</c:v>
                </c:pt>
                <c:pt idx="10">
                  <c:v>243.43069651392531</c:v>
                </c:pt>
                <c:pt idx="11">
                  <c:v>253.25044802201478</c:v>
                </c:pt>
                <c:pt idx="12">
                  <c:v>245.50095727929045</c:v>
                </c:pt>
                <c:pt idx="13">
                  <c:v>238.50050265050069</c:v>
                </c:pt>
                <c:pt idx="14">
                  <c:v>372.55457688810139</c:v>
                </c:pt>
                <c:pt idx="15">
                  <c:v>354.84795233348387</c:v>
                </c:pt>
                <c:pt idx="16">
                  <c:v>398.80112268208211</c:v>
                </c:pt>
                <c:pt idx="17">
                  <c:v>430.96722633245429</c:v>
                </c:pt>
                <c:pt idx="18">
                  <c:v>497.60918944493551</c:v>
                </c:pt>
                <c:pt idx="19">
                  <c:v>540.99287287500465</c:v>
                </c:pt>
                <c:pt idx="20">
                  <c:v>601.6542653575134</c:v>
                </c:pt>
                <c:pt idx="21">
                  <c:v>690.35991465055088</c:v>
                </c:pt>
                <c:pt idx="22">
                  <c:v>830.52446928217512</c:v>
                </c:pt>
                <c:pt idx="23">
                  <c:v>914.93492084561331</c:v>
                </c:pt>
                <c:pt idx="24">
                  <c:v>1046.9284614541252</c:v>
                </c:pt>
                <c:pt idx="25">
                  <c:v>1046.1282084397874</c:v>
                </c:pt>
                <c:pt idx="26">
                  <c:v>1213.0586638669461</c:v>
                </c:pt>
                <c:pt idx="27">
                  <c:v>1377.0805531184751</c:v>
                </c:pt>
                <c:pt idx="28">
                  <c:v>1296.1900960265482</c:v>
                </c:pt>
                <c:pt idx="29">
                  <c:v>1622.5286200079072</c:v>
                </c:pt>
                <c:pt idx="30">
                  <c:v>1657.6267477460308</c:v>
                </c:pt>
                <c:pt idx="31">
                  <c:v>2002.5670846206285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EBE7-4FA3-8E34-533CC44726C4}"/>
            </c:ext>
          </c:extLst>
        </c:ser>
        <c:ser>
          <c:idx val="81"/>
          <c:order val="81"/>
          <c:marker>
            <c:symbol val="none"/>
          </c:marker>
          <c:val>
            <c:numRef>
              <c:f>Brownian!$C$98:$AH$98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115.25896934771353</c:v>
                </c:pt>
                <c:pt idx="2">
                  <c:v>137.25892138753184</c:v>
                </c:pt>
                <c:pt idx="3">
                  <c:v>162.94374630608323</c:v>
                </c:pt>
                <c:pt idx="4">
                  <c:v>161.57352179578254</c:v>
                </c:pt>
                <c:pt idx="5">
                  <c:v>154.38788799169438</c:v>
                </c:pt>
                <c:pt idx="6">
                  <c:v>145.40223446581695</c:v>
                </c:pt>
                <c:pt idx="7">
                  <c:v>204.16844423850472</c:v>
                </c:pt>
                <c:pt idx="8">
                  <c:v>229.66701084848938</c:v>
                </c:pt>
                <c:pt idx="9">
                  <c:v>217.44392476418903</c:v>
                </c:pt>
                <c:pt idx="10">
                  <c:v>282.20214533670651</c:v>
                </c:pt>
                <c:pt idx="11">
                  <c:v>324.15184060701256</c:v>
                </c:pt>
                <c:pt idx="12">
                  <c:v>260.65377799075026</c:v>
                </c:pt>
                <c:pt idx="13">
                  <c:v>316.65138978328957</c:v>
                </c:pt>
                <c:pt idx="14">
                  <c:v>340.24038970346169</c:v>
                </c:pt>
                <c:pt idx="15">
                  <c:v>387.92359542380302</c:v>
                </c:pt>
                <c:pt idx="16">
                  <c:v>504.84693920151904</c:v>
                </c:pt>
                <c:pt idx="17">
                  <c:v>592.57522549968962</c:v>
                </c:pt>
                <c:pt idx="18">
                  <c:v>563.69008619147939</c:v>
                </c:pt>
                <c:pt idx="19">
                  <c:v>640.25531146257197</c:v>
                </c:pt>
                <c:pt idx="20">
                  <c:v>713.26197886563727</c:v>
                </c:pt>
                <c:pt idx="21">
                  <c:v>666.92192664554591</c:v>
                </c:pt>
                <c:pt idx="22">
                  <c:v>808.46694566440783</c:v>
                </c:pt>
                <c:pt idx="23">
                  <c:v>794.83290469009717</c:v>
                </c:pt>
                <c:pt idx="24">
                  <c:v>956.25757153619907</c:v>
                </c:pt>
                <c:pt idx="25">
                  <c:v>1018.3822296679261</c:v>
                </c:pt>
                <c:pt idx="26">
                  <c:v>1155.1055776236126</c:v>
                </c:pt>
                <c:pt idx="27">
                  <c:v>1244.4166170128706</c:v>
                </c:pt>
                <c:pt idx="28">
                  <c:v>1157.0130402014825</c:v>
                </c:pt>
                <c:pt idx="29">
                  <c:v>1584.5984724416296</c:v>
                </c:pt>
                <c:pt idx="30">
                  <c:v>1752.777429246617</c:v>
                </c:pt>
                <c:pt idx="31">
                  <c:v>2045.107458729479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EBE7-4FA3-8E34-533CC44726C4}"/>
            </c:ext>
          </c:extLst>
        </c:ser>
        <c:ser>
          <c:idx val="82"/>
          <c:order val="82"/>
          <c:marker>
            <c:symbol val="none"/>
          </c:marker>
          <c:val>
            <c:numRef>
              <c:f>Brownian!$C$99:$AH$99</c:f>
              <c:numCache>
                <c:formatCode>#,##0;\(#,##0\);\-</c:formatCode>
                <c:ptCount val="32"/>
                <c:pt idx="0">
                  <c:v>100</c:v>
                </c:pt>
                <c:pt idx="1">
                  <c:v>86.584672596833812</c:v>
                </c:pt>
                <c:pt idx="2">
                  <c:v>99.13936014142422</c:v>
                </c:pt>
                <c:pt idx="3">
                  <c:v>121.28356938234754</c:v>
                </c:pt>
                <c:pt idx="4">
                  <c:v>131.77933027118047</c:v>
                </c:pt>
                <c:pt idx="5">
                  <c:v>146.00361817031708</c:v>
                </c:pt>
                <c:pt idx="6">
                  <c:v>165.84367151960038</c:v>
                </c:pt>
                <c:pt idx="7">
                  <c:v>194.97450210196916</c:v>
                </c:pt>
                <c:pt idx="8">
                  <c:v>190.14946190662511</c:v>
                </c:pt>
                <c:pt idx="9">
                  <c:v>210.19490987053609</c:v>
                </c:pt>
                <c:pt idx="10">
                  <c:v>272.08142282072538</c:v>
                </c:pt>
                <c:pt idx="11">
                  <c:v>311.38461637002013</c:v>
                </c:pt>
                <c:pt idx="12">
                  <c:v>325.03673914356114</c:v>
                </c:pt>
                <c:pt idx="13">
                  <c:v>357.03821554101586</c:v>
                </c:pt>
                <c:pt idx="14">
                  <c:v>393.26366697053038</c:v>
                </c:pt>
                <c:pt idx="15">
                  <c:v>390.14879535243017</c:v>
                </c:pt>
                <c:pt idx="16">
                  <c:v>517.47172645645503</c:v>
                </c:pt>
                <c:pt idx="17">
                  <c:v>472.19707434404251</c:v>
                </c:pt>
                <c:pt idx="18">
                  <c:v>581.76809659648859</c:v>
                </c:pt>
                <c:pt idx="19">
                  <c:v>643.67537283841557</c:v>
                </c:pt>
                <c:pt idx="20">
                  <c:v>682.86323583398803</c:v>
                </c:pt>
                <c:pt idx="21">
                  <c:v>578.25041365869595</c:v>
                </c:pt>
                <c:pt idx="22">
                  <c:v>799.50418161772893</c:v>
                </c:pt>
                <c:pt idx="23">
                  <c:v>693.4097355572676</c:v>
                </c:pt>
                <c:pt idx="24">
                  <c:v>902.92020728218847</c:v>
                </c:pt>
                <c:pt idx="25">
                  <c:v>1042.4016194735998</c:v>
                </c:pt>
                <c:pt idx="26">
                  <c:v>1275.3385945838818</c:v>
                </c:pt>
                <c:pt idx="27">
                  <c:v>1142.1394546259667</c:v>
                </c:pt>
                <c:pt idx="28">
                  <c:v>1329.7414463620194</c:v>
                </c:pt>
                <c:pt idx="29">
                  <c:v>1654.0367036405296</c:v>
                </c:pt>
                <c:pt idx="30">
                  <c:v>2052.7113400191947</c:v>
                </c:pt>
                <c:pt idx="31">
                  <c:v>2263.6410679257888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EBE7-4FA3-8E34-533CC44726C4}"/>
            </c:ext>
          </c:extLst>
        </c:ser>
        <c:ser>
          <c:idx val="83"/>
          <c:order val="83"/>
          <c:marker>
            <c:symbol val="none"/>
          </c:marker>
          <c:val>
            <c:numRef>
              <c:f>Brownian!$C$100:$AH$100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105.85483332564493</c:v>
                </c:pt>
                <c:pt idx="2">
                  <c:v>133.18595242289507</c:v>
                </c:pt>
                <c:pt idx="3">
                  <c:v>143.11491786854253</c:v>
                </c:pt>
                <c:pt idx="4">
                  <c:v>161.14058550538635</c:v>
                </c:pt>
                <c:pt idx="5">
                  <c:v>161.16827129765247</c:v>
                </c:pt>
                <c:pt idx="6">
                  <c:v>166.52149957921881</c:v>
                </c:pt>
                <c:pt idx="7">
                  <c:v>184.65459868498391</c:v>
                </c:pt>
                <c:pt idx="8">
                  <c:v>187.02718676064114</c:v>
                </c:pt>
                <c:pt idx="9">
                  <c:v>230.34636270764003</c:v>
                </c:pt>
                <c:pt idx="10">
                  <c:v>277.07189533099574</c:v>
                </c:pt>
                <c:pt idx="11">
                  <c:v>306.67545800461551</c:v>
                </c:pt>
                <c:pt idx="12">
                  <c:v>367.74079971650525</c:v>
                </c:pt>
                <c:pt idx="13">
                  <c:v>426.76448397976583</c:v>
                </c:pt>
                <c:pt idx="14">
                  <c:v>482.08692617684528</c:v>
                </c:pt>
                <c:pt idx="15">
                  <c:v>641.79974416480297</c:v>
                </c:pt>
                <c:pt idx="16">
                  <c:v>522.53957617462038</c:v>
                </c:pt>
                <c:pt idx="17">
                  <c:v>449.04887078332467</c:v>
                </c:pt>
                <c:pt idx="18">
                  <c:v>498.3411431005037</c:v>
                </c:pt>
                <c:pt idx="19">
                  <c:v>567.90150602101767</c:v>
                </c:pt>
                <c:pt idx="20">
                  <c:v>593.06293158517781</c:v>
                </c:pt>
                <c:pt idx="21">
                  <c:v>736.91104994114562</c:v>
                </c:pt>
                <c:pt idx="22">
                  <c:v>832.13740066401715</c:v>
                </c:pt>
                <c:pt idx="23">
                  <c:v>835.80774167671177</c:v>
                </c:pt>
                <c:pt idx="24">
                  <c:v>1291.2849775802285</c:v>
                </c:pt>
                <c:pt idx="25">
                  <c:v>1314.0361178530263</c:v>
                </c:pt>
                <c:pt idx="26">
                  <c:v>1394.2252915117806</c:v>
                </c:pt>
                <c:pt idx="27">
                  <c:v>1470.3149115937013</c:v>
                </c:pt>
                <c:pt idx="28">
                  <c:v>1464.4614441267643</c:v>
                </c:pt>
                <c:pt idx="29">
                  <c:v>1290.5617982768731</c:v>
                </c:pt>
                <c:pt idx="30">
                  <c:v>1706.2071015414037</c:v>
                </c:pt>
                <c:pt idx="31">
                  <c:v>1596.9014173599471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EBE7-4FA3-8E34-533CC44726C4}"/>
            </c:ext>
          </c:extLst>
        </c:ser>
        <c:ser>
          <c:idx val="84"/>
          <c:order val="84"/>
          <c:marker>
            <c:symbol val="none"/>
          </c:marker>
          <c:val>
            <c:numRef>
              <c:f>Brownian!$C$101:$AH$101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111.67799646644943</c:v>
                </c:pt>
                <c:pt idx="2">
                  <c:v>132.71898472730277</c:v>
                </c:pt>
                <c:pt idx="3">
                  <c:v>142.16483613202462</c:v>
                </c:pt>
                <c:pt idx="4">
                  <c:v>152.00100500174079</c:v>
                </c:pt>
                <c:pt idx="5">
                  <c:v>170.33262738716024</c:v>
                </c:pt>
                <c:pt idx="6">
                  <c:v>186.0414760290399</c:v>
                </c:pt>
                <c:pt idx="7">
                  <c:v>171.45856449712056</c:v>
                </c:pt>
                <c:pt idx="8">
                  <c:v>176.325427906421</c:v>
                </c:pt>
                <c:pt idx="9">
                  <c:v>202.98412845064951</c:v>
                </c:pt>
                <c:pt idx="10">
                  <c:v>246.66213591046164</c:v>
                </c:pt>
                <c:pt idx="11">
                  <c:v>284.67464026297785</c:v>
                </c:pt>
                <c:pt idx="12">
                  <c:v>284.41019189917108</c:v>
                </c:pt>
                <c:pt idx="13">
                  <c:v>331.04189607532942</c:v>
                </c:pt>
                <c:pt idx="14">
                  <c:v>388.5468598836664</c:v>
                </c:pt>
                <c:pt idx="15">
                  <c:v>446.38236077134599</c:v>
                </c:pt>
                <c:pt idx="16">
                  <c:v>462.95597012102331</c:v>
                </c:pt>
                <c:pt idx="17">
                  <c:v>522.33101704061016</c:v>
                </c:pt>
                <c:pt idx="18">
                  <c:v>650.72261502417268</c:v>
                </c:pt>
                <c:pt idx="19">
                  <c:v>758.81514993751716</c:v>
                </c:pt>
                <c:pt idx="20">
                  <c:v>708.9505364102605</c:v>
                </c:pt>
                <c:pt idx="21">
                  <c:v>690.54238384251448</c:v>
                </c:pt>
                <c:pt idx="22">
                  <c:v>794.39495681607286</c:v>
                </c:pt>
                <c:pt idx="23">
                  <c:v>778.82518576211908</c:v>
                </c:pt>
                <c:pt idx="24">
                  <c:v>1091.0296445318161</c:v>
                </c:pt>
                <c:pt idx="25">
                  <c:v>1123.3248979302284</c:v>
                </c:pt>
                <c:pt idx="26">
                  <c:v>1410.7432196650507</c:v>
                </c:pt>
                <c:pt idx="27">
                  <c:v>1470.9935092636069</c:v>
                </c:pt>
                <c:pt idx="28">
                  <c:v>1917.459507317913</c:v>
                </c:pt>
                <c:pt idx="29">
                  <c:v>1843.2419116018884</c:v>
                </c:pt>
                <c:pt idx="30">
                  <c:v>1991.9206670459589</c:v>
                </c:pt>
                <c:pt idx="31">
                  <c:v>2132.018758002328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EBE7-4FA3-8E34-533CC44726C4}"/>
            </c:ext>
          </c:extLst>
        </c:ser>
        <c:ser>
          <c:idx val="85"/>
          <c:order val="85"/>
          <c:marker>
            <c:symbol val="none"/>
          </c:marker>
          <c:val>
            <c:numRef>
              <c:f>Brownian!$C$102:$AH$102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119.52690676049124</c:v>
                </c:pt>
                <c:pt idx="2">
                  <c:v>127.79698987316016</c:v>
                </c:pt>
                <c:pt idx="3">
                  <c:v>136.95194704198821</c:v>
                </c:pt>
                <c:pt idx="4">
                  <c:v>176.73778474624191</c:v>
                </c:pt>
                <c:pt idx="5">
                  <c:v>192.44545860481912</c:v>
                </c:pt>
                <c:pt idx="6">
                  <c:v>169.27719323927099</c:v>
                </c:pt>
                <c:pt idx="7">
                  <c:v>220.54123873458096</c:v>
                </c:pt>
                <c:pt idx="8">
                  <c:v>193.77902428056905</c:v>
                </c:pt>
                <c:pt idx="9">
                  <c:v>274.29471347707226</c:v>
                </c:pt>
                <c:pt idx="10">
                  <c:v>246.56548421075112</c:v>
                </c:pt>
                <c:pt idx="11">
                  <c:v>271.97662701074563</c:v>
                </c:pt>
                <c:pt idx="12">
                  <c:v>287.96518201468098</c:v>
                </c:pt>
                <c:pt idx="13">
                  <c:v>336.96818625580698</c:v>
                </c:pt>
                <c:pt idx="14">
                  <c:v>346.84946754370856</c:v>
                </c:pt>
                <c:pt idx="15">
                  <c:v>387.74963914209638</c:v>
                </c:pt>
                <c:pt idx="16">
                  <c:v>408.62535628706576</c:v>
                </c:pt>
                <c:pt idx="17">
                  <c:v>464.10351711197148</c:v>
                </c:pt>
                <c:pt idx="18">
                  <c:v>554.84257408686858</c:v>
                </c:pt>
                <c:pt idx="19">
                  <c:v>607.6159546484879</c:v>
                </c:pt>
                <c:pt idx="20">
                  <c:v>669.90585094999369</c:v>
                </c:pt>
                <c:pt idx="21">
                  <c:v>709.17109624419072</c:v>
                </c:pt>
                <c:pt idx="22">
                  <c:v>896.41272538754492</c:v>
                </c:pt>
                <c:pt idx="23">
                  <c:v>891.19942467893691</c:v>
                </c:pt>
                <c:pt idx="24">
                  <c:v>961.91646291177062</c:v>
                </c:pt>
                <c:pt idx="25">
                  <c:v>927.15742130518402</c:v>
                </c:pt>
                <c:pt idx="26">
                  <c:v>1168.1273792420445</c:v>
                </c:pt>
                <c:pt idx="27">
                  <c:v>1511.6360343663989</c:v>
                </c:pt>
                <c:pt idx="28">
                  <c:v>1607.9486478927615</c:v>
                </c:pt>
                <c:pt idx="29">
                  <c:v>1723.7021623085502</c:v>
                </c:pt>
                <c:pt idx="30">
                  <c:v>1912.7785625531551</c:v>
                </c:pt>
                <c:pt idx="31">
                  <c:v>2102.1498748216368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EBE7-4FA3-8E34-533CC44726C4}"/>
            </c:ext>
          </c:extLst>
        </c:ser>
        <c:ser>
          <c:idx val="86"/>
          <c:order val="86"/>
          <c:marker>
            <c:symbol val="none"/>
          </c:marker>
          <c:val>
            <c:numRef>
              <c:f>Brownian!$C$103:$AH$103</c:f>
              <c:numCache>
                <c:formatCode>#,##0;\(#,##0\);\-</c:formatCode>
                <c:ptCount val="32"/>
                <c:pt idx="0">
                  <c:v>100</c:v>
                </c:pt>
                <c:pt idx="1">
                  <c:v>95.835389788819427</c:v>
                </c:pt>
                <c:pt idx="2">
                  <c:v>108.04032380987712</c:v>
                </c:pt>
                <c:pt idx="3">
                  <c:v>130.28126987430812</c:v>
                </c:pt>
                <c:pt idx="4">
                  <c:v>108.46458718565061</c:v>
                </c:pt>
                <c:pt idx="5">
                  <c:v>119.01738799089856</c:v>
                </c:pt>
                <c:pt idx="6">
                  <c:v>152.08899727733453</c:v>
                </c:pt>
                <c:pt idx="7">
                  <c:v>155.52199547652666</c:v>
                </c:pt>
                <c:pt idx="8">
                  <c:v>177.30468681260902</c:v>
                </c:pt>
                <c:pt idx="9">
                  <c:v>228.16215593358891</c:v>
                </c:pt>
                <c:pt idx="10">
                  <c:v>261.30438956702665</c:v>
                </c:pt>
                <c:pt idx="11">
                  <c:v>270.2961732156441</c:v>
                </c:pt>
                <c:pt idx="12">
                  <c:v>322.84591608921863</c:v>
                </c:pt>
                <c:pt idx="13">
                  <c:v>385.47961911643631</c:v>
                </c:pt>
                <c:pt idx="14">
                  <c:v>372.15227284589304</c:v>
                </c:pt>
                <c:pt idx="15">
                  <c:v>368.75986248373334</c:v>
                </c:pt>
                <c:pt idx="16">
                  <c:v>390.69108501385108</c:v>
                </c:pt>
                <c:pt idx="17">
                  <c:v>513.47962871508958</c:v>
                </c:pt>
                <c:pt idx="18">
                  <c:v>548.79235747548148</c:v>
                </c:pt>
                <c:pt idx="19">
                  <c:v>648.76346436379981</c:v>
                </c:pt>
                <c:pt idx="20">
                  <c:v>751.61195815209283</c:v>
                </c:pt>
                <c:pt idx="21">
                  <c:v>722.48087532355885</c:v>
                </c:pt>
                <c:pt idx="22">
                  <c:v>880.69298125592786</c:v>
                </c:pt>
                <c:pt idx="23">
                  <c:v>940.10868655503145</c:v>
                </c:pt>
                <c:pt idx="24">
                  <c:v>1062.9823102866872</c:v>
                </c:pt>
                <c:pt idx="25">
                  <c:v>1014.2670511685246</c:v>
                </c:pt>
                <c:pt idx="26">
                  <c:v>1191.9784924347719</c:v>
                </c:pt>
                <c:pt idx="27">
                  <c:v>1616.3957516096025</c:v>
                </c:pt>
                <c:pt idx="28">
                  <c:v>1644.5697436622331</c:v>
                </c:pt>
                <c:pt idx="29">
                  <c:v>1750.270754215373</c:v>
                </c:pt>
                <c:pt idx="30">
                  <c:v>1815.1072608436389</c:v>
                </c:pt>
                <c:pt idx="31">
                  <c:v>1707.0624671019514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EBE7-4FA3-8E34-533CC44726C4}"/>
            </c:ext>
          </c:extLst>
        </c:ser>
        <c:ser>
          <c:idx val="87"/>
          <c:order val="87"/>
          <c:marker>
            <c:symbol val="none"/>
          </c:marker>
          <c:val>
            <c:numRef>
              <c:f>Brownian!$C$104:$AH$104</c:f>
              <c:numCache>
                <c:formatCode>#,##0;\(#,##0\);\-</c:formatCode>
                <c:ptCount val="32"/>
                <c:pt idx="0">
                  <c:v>100</c:v>
                </c:pt>
                <c:pt idx="1">
                  <c:v>90.413118008812347</c:v>
                </c:pt>
                <c:pt idx="2">
                  <c:v>105.2424000685786</c:v>
                </c:pt>
                <c:pt idx="3">
                  <c:v>134.71007712051301</c:v>
                </c:pt>
                <c:pt idx="4">
                  <c:v>145.31748306867809</c:v>
                </c:pt>
                <c:pt idx="5">
                  <c:v>163.62282833107929</c:v>
                </c:pt>
                <c:pt idx="6">
                  <c:v>164.21248847069774</c:v>
                </c:pt>
                <c:pt idx="7">
                  <c:v>196.9053284121689</c:v>
                </c:pt>
                <c:pt idx="8">
                  <c:v>192.24611745386733</c:v>
                </c:pt>
                <c:pt idx="9">
                  <c:v>184.06068346940657</c:v>
                </c:pt>
                <c:pt idx="10">
                  <c:v>228.00043135329076</c:v>
                </c:pt>
                <c:pt idx="11">
                  <c:v>266.31336166811889</c:v>
                </c:pt>
                <c:pt idx="12">
                  <c:v>317.24294210947329</c:v>
                </c:pt>
                <c:pt idx="13">
                  <c:v>270.39629515926981</c:v>
                </c:pt>
                <c:pt idx="14">
                  <c:v>250.1105586702368</c:v>
                </c:pt>
                <c:pt idx="15">
                  <c:v>352.40723772775181</c:v>
                </c:pt>
                <c:pt idx="16">
                  <c:v>401.63426679037059</c:v>
                </c:pt>
                <c:pt idx="17">
                  <c:v>477.03959717568779</c:v>
                </c:pt>
                <c:pt idx="18">
                  <c:v>589.38536116723583</c:v>
                </c:pt>
                <c:pt idx="19">
                  <c:v>619.73341237430736</c:v>
                </c:pt>
                <c:pt idx="20">
                  <c:v>692.21696922647004</c:v>
                </c:pt>
                <c:pt idx="21">
                  <c:v>622.80041036192415</c:v>
                </c:pt>
                <c:pt idx="22">
                  <c:v>824.57330338315137</c:v>
                </c:pt>
                <c:pt idx="23">
                  <c:v>859.40220891825129</c:v>
                </c:pt>
                <c:pt idx="24">
                  <c:v>1195.2495897097403</c:v>
                </c:pt>
                <c:pt idx="25">
                  <c:v>1165.9355986413404</c:v>
                </c:pt>
                <c:pt idx="26">
                  <c:v>1486.5393687190003</c:v>
                </c:pt>
                <c:pt idx="27">
                  <c:v>1300.4298990282628</c:v>
                </c:pt>
                <c:pt idx="28">
                  <c:v>1464.9027670251664</c:v>
                </c:pt>
                <c:pt idx="29">
                  <c:v>1348.1544275778983</c:v>
                </c:pt>
                <c:pt idx="30">
                  <c:v>1492.5246197030303</c:v>
                </c:pt>
                <c:pt idx="31">
                  <c:v>1830.9667650922224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EBE7-4FA3-8E34-533CC44726C4}"/>
            </c:ext>
          </c:extLst>
        </c:ser>
        <c:ser>
          <c:idx val="88"/>
          <c:order val="88"/>
          <c:marker>
            <c:symbol val="none"/>
          </c:marker>
          <c:val>
            <c:numRef>
              <c:f>Brownian!$C$105:$AH$105</c:f>
              <c:numCache>
                <c:formatCode>#,##0;\(#,##0\);\-</c:formatCode>
                <c:ptCount val="32"/>
                <c:pt idx="0">
                  <c:v>100</c:v>
                </c:pt>
                <c:pt idx="1">
                  <c:v>98.561957273085653</c:v>
                </c:pt>
                <c:pt idx="2">
                  <c:v>152.13481616905014</c:v>
                </c:pt>
                <c:pt idx="3">
                  <c:v>173.15556115967865</c:v>
                </c:pt>
                <c:pt idx="4">
                  <c:v>141.39940391122082</c:v>
                </c:pt>
                <c:pt idx="5">
                  <c:v>165.34904961963107</c:v>
                </c:pt>
                <c:pt idx="6">
                  <c:v>154.85607198535473</c:v>
                </c:pt>
                <c:pt idx="7">
                  <c:v>191.22891077066288</c:v>
                </c:pt>
                <c:pt idx="8">
                  <c:v>220.81303254385665</c:v>
                </c:pt>
                <c:pt idx="9">
                  <c:v>190.88681449859644</c:v>
                </c:pt>
                <c:pt idx="10">
                  <c:v>271.15585837258743</c:v>
                </c:pt>
                <c:pt idx="11">
                  <c:v>280.21903910558547</c:v>
                </c:pt>
                <c:pt idx="12">
                  <c:v>271.15868716891811</c:v>
                </c:pt>
                <c:pt idx="13">
                  <c:v>320.26598581912515</c:v>
                </c:pt>
                <c:pt idx="14">
                  <c:v>382.10895902542376</c:v>
                </c:pt>
                <c:pt idx="15">
                  <c:v>460.27252256336396</c:v>
                </c:pt>
                <c:pt idx="16">
                  <c:v>606.0258834478476</c:v>
                </c:pt>
                <c:pt idx="17">
                  <c:v>584.80334954048249</c:v>
                </c:pt>
                <c:pt idx="18">
                  <c:v>563.78171677555133</c:v>
                </c:pt>
                <c:pt idx="19">
                  <c:v>582.15249516363485</c:v>
                </c:pt>
                <c:pt idx="20">
                  <c:v>561.32218177684035</c:v>
                </c:pt>
                <c:pt idx="21">
                  <c:v>565.47525919890336</c:v>
                </c:pt>
                <c:pt idx="22">
                  <c:v>610.05505461407392</c:v>
                </c:pt>
                <c:pt idx="23">
                  <c:v>719.52886717806336</c:v>
                </c:pt>
                <c:pt idx="24">
                  <c:v>761.96904547777376</c:v>
                </c:pt>
                <c:pt idx="25">
                  <c:v>901.40895274861259</c:v>
                </c:pt>
                <c:pt idx="26">
                  <c:v>1149.9870044337665</c:v>
                </c:pt>
                <c:pt idx="27">
                  <c:v>1002.4929381027924</c:v>
                </c:pt>
                <c:pt idx="28">
                  <c:v>1289.389945508743</c:v>
                </c:pt>
                <c:pt idx="29">
                  <c:v>1267.0505773579862</c:v>
                </c:pt>
                <c:pt idx="30">
                  <c:v>1422.4515871355673</c:v>
                </c:pt>
                <c:pt idx="31">
                  <c:v>1755.7368101990091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EBE7-4FA3-8E34-533CC44726C4}"/>
            </c:ext>
          </c:extLst>
        </c:ser>
        <c:ser>
          <c:idx val="89"/>
          <c:order val="89"/>
          <c:marker>
            <c:symbol val="none"/>
          </c:marker>
          <c:val>
            <c:numRef>
              <c:f>Brownian!$C$106:$AH$106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116.40974539876505</c:v>
                </c:pt>
                <c:pt idx="2">
                  <c:v>138.5429115133152</c:v>
                </c:pt>
                <c:pt idx="3">
                  <c:v>141.04838956165952</c:v>
                </c:pt>
                <c:pt idx="4">
                  <c:v>144.9378358214243</c:v>
                </c:pt>
                <c:pt idx="5">
                  <c:v>129.30944371621999</c:v>
                </c:pt>
                <c:pt idx="6">
                  <c:v>149.65511720672617</c:v>
                </c:pt>
                <c:pt idx="7">
                  <c:v>183.15782392367373</c:v>
                </c:pt>
                <c:pt idx="8">
                  <c:v>203.3386022120107</c:v>
                </c:pt>
                <c:pt idx="9">
                  <c:v>207.0382465231674</c:v>
                </c:pt>
                <c:pt idx="10">
                  <c:v>220.28729436500436</c:v>
                </c:pt>
                <c:pt idx="11">
                  <c:v>218.27921605689016</c:v>
                </c:pt>
                <c:pt idx="12">
                  <c:v>282.24075311324941</c:v>
                </c:pt>
                <c:pt idx="13">
                  <c:v>342.63231634002693</c:v>
                </c:pt>
                <c:pt idx="14">
                  <c:v>368.42597767901509</c:v>
                </c:pt>
                <c:pt idx="15">
                  <c:v>406.24833235701772</c:v>
                </c:pt>
                <c:pt idx="16">
                  <c:v>441.44356944577271</c:v>
                </c:pt>
                <c:pt idx="17">
                  <c:v>475.46963285132597</c:v>
                </c:pt>
                <c:pt idx="18">
                  <c:v>482.47871921563683</c:v>
                </c:pt>
                <c:pt idx="19">
                  <c:v>507.10044638333909</c:v>
                </c:pt>
                <c:pt idx="20">
                  <c:v>603.57732736187791</c:v>
                </c:pt>
                <c:pt idx="21">
                  <c:v>724.55645939706778</c:v>
                </c:pt>
                <c:pt idx="22">
                  <c:v>797.88071695062808</c:v>
                </c:pt>
                <c:pt idx="23">
                  <c:v>888.46684460674396</c:v>
                </c:pt>
                <c:pt idx="24">
                  <c:v>1074.8400957604804</c:v>
                </c:pt>
                <c:pt idx="25">
                  <c:v>1169.2696461705536</c:v>
                </c:pt>
                <c:pt idx="26">
                  <c:v>1171.825329677815</c:v>
                </c:pt>
                <c:pt idx="27">
                  <c:v>1441.4216467628326</c:v>
                </c:pt>
                <c:pt idx="28">
                  <c:v>1471.1715740100321</c:v>
                </c:pt>
                <c:pt idx="29">
                  <c:v>1498.5463540560138</c:v>
                </c:pt>
                <c:pt idx="30">
                  <c:v>1603.6061831372404</c:v>
                </c:pt>
                <c:pt idx="31">
                  <c:v>1849.8257065095372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EBE7-4FA3-8E34-533CC44726C4}"/>
            </c:ext>
          </c:extLst>
        </c:ser>
        <c:ser>
          <c:idx val="90"/>
          <c:order val="90"/>
          <c:marker>
            <c:symbol val="none"/>
          </c:marker>
          <c:val>
            <c:numRef>
              <c:f>Brownian!$C$107:$AH$107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117.77262897468223</c:v>
                </c:pt>
                <c:pt idx="2">
                  <c:v>127.00514596592438</c:v>
                </c:pt>
                <c:pt idx="3">
                  <c:v>124.06665183113313</c:v>
                </c:pt>
                <c:pt idx="4">
                  <c:v>126.64523741808489</c:v>
                </c:pt>
                <c:pt idx="5">
                  <c:v>142.04729634496002</c:v>
                </c:pt>
                <c:pt idx="6">
                  <c:v>170.04070307289197</c:v>
                </c:pt>
                <c:pt idx="7">
                  <c:v>208.34948007669857</c:v>
                </c:pt>
                <c:pt idx="8">
                  <c:v>197.66677907616724</c:v>
                </c:pt>
                <c:pt idx="9">
                  <c:v>242.90169386092435</c:v>
                </c:pt>
                <c:pt idx="10">
                  <c:v>250.76819069789659</c:v>
                </c:pt>
                <c:pt idx="11">
                  <c:v>273.08514677412745</c:v>
                </c:pt>
                <c:pt idx="12">
                  <c:v>308.96789513548782</c:v>
                </c:pt>
                <c:pt idx="13">
                  <c:v>320.84792348499514</c:v>
                </c:pt>
                <c:pt idx="14">
                  <c:v>367.48137757483647</c:v>
                </c:pt>
                <c:pt idx="15">
                  <c:v>377.75228819968214</c:v>
                </c:pt>
                <c:pt idx="16">
                  <c:v>371.45934521155237</c:v>
                </c:pt>
                <c:pt idx="17">
                  <c:v>428.88716483184612</c:v>
                </c:pt>
                <c:pt idx="18">
                  <c:v>494.85812265346158</c:v>
                </c:pt>
                <c:pt idx="19">
                  <c:v>636.39477345630996</c:v>
                </c:pt>
                <c:pt idx="20">
                  <c:v>743.46939191997444</c:v>
                </c:pt>
                <c:pt idx="21">
                  <c:v>929.52144170592874</c:v>
                </c:pt>
                <c:pt idx="22">
                  <c:v>842.21788383413104</c:v>
                </c:pt>
                <c:pt idx="23">
                  <c:v>856.00585751099675</c:v>
                </c:pt>
                <c:pt idx="24">
                  <c:v>905.83013140321373</c:v>
                </c:pt>
                <c:pt idx="25">
                  <c:v>1076.1811526089391</c:v>
                </c:pt>
                <c:pt idx="26">
                  <c:v>1098.1896801784344</c:v>
                </c:pt>
                <c:pt idx="27">
                  <c:v>1163.6091819052081</c:v>
                </c:pt>
                <c:pt idx="28">
                  <c:v>1444.4228856483662</c:v>
                </c:pt>
                <c:pt idx="29">
                  <c:v>1510.0473450030136</c:v>
                </c:pt>
                <c:pt idx="30">
                  <c:v>1870.9981898409126</c:v>
                </c:pt>
                <c:pt idx="31">
                  <c:v>1960.934988458876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EBE7-4FA3-8E34-533CC44726C4}"/>
            </c:ext>
          </c:extLst>
        </c:ser>
        <c:ser>
          <c:idx val="91"/>
          <c:order val="91"/>
          <c:marker>
            <c:symbol val="none"/>
          </c:marker>
          <c:val>
            <c:numRef>
              <c:f>Brownian!$C$108:$AH$108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107.1718977875562</c:v>
                </c:pt>
                <c:pt idx="2">
                  <c:v>138.22117715595925</c:v>
                </c:pt>
                <c:pt idx="3">
                  <c:v>147.57204672933284</c:v>
                </c:pt>
                <c:pt idx="4">
                  <c:v>154.91353700026491</c:v>
                </c:pt>
                <c:pt idx="5">
                  <c:v>157.70687824876157</c:v>
                </c:pt>
                <c:pt idx="6">
                  <c:v>196.82316338218465</c:v>
                </c:pt>
                <c:pt idx="7">
                  <c:v>226.53130202841311</c:v>
                </c:pt>
                <c:pt idx="8">
                  <c:v>240.49730231367704</c:v>
                </c:pt>
                <c:pt idx="9">
                  <c:v>220.67014919758941</c:v>
                </c:pt>
                <c:pt idx="10">
                  <c:v>235.99366222785196</c:v>
                </c:pt>
                <c:pt idx="11">
                  <c:v>260.79317218930402</c:v>
                </c:pt>
                <c:pt idx="12">
                  <c:v>249.36945537190491</c:v>
                </c:pt>
                <c:pt idx="13">
                  <c:v>288.70677689958916</c:v>
                </c:pt>
                <c:pt idx="14">
                  <c:v>368.15778149547202</c:v>
                </c:pt>
                <c:pt idx="15">
                  <c:v>395.23964481609028</c:v>
                </c:pt>
                <c:pt idx="16">
                  <c:v>495.73335498410961</c:v>
                </c:pt>
                <c:pt idx="17">
                  <c:v>559.37132711121774</c:v>
                </c:pt>
                <c:pt idx="18">
                  <c:v>656.48854697508443</c:v>
                </c:pt>
                <c:pt idx="19">
                  <c:v>760.19125648331578</c:v>
                </c:pt>
                <c:pt idx="20">
                  <c:v>669.38407135522573</c:v>
                </c:pt>
                <c:pt idx="21">
                  <c:v>677.40734369302231</c:v>
                </c:pt>
                <c:pt idx="22">
                  <c:v>766.07153484969422</c:v>
                </c:pt>
                <c:pt idx="23">
                  <c:v>869.50404702373908</c:v>
                </c:pt>
                <c:pt idx="24">
                  <c:v>889.09846604493941</c:v>
                </c:pt>
                <c:pt idx="25">
                  <c:v>1044.2873547523395</c:v>
                </c:pt>
                <c:pt idx="26">
                  <c:v>1393.3336766552391</c:v>
                </c:pt>
                <c:pt idx="27">
                  <c:v>1655.6177696095174</c:v>
                </c:pt>
                <c:pt idx="28">
                  <c:v>1610.8684130974009</c:v>
                </c:pt>
                <c:pt idx="29">
                  <c:v>2008.00492403214</c:v>
                </c:pt>
                <c:pt idx="30">
                  <c:v>2026.1773456339647</c:v>
                </c:pt>
                <c:pt idx="31">
                  <c:v>2014.1625056276282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EBE7-4FA3-8E34-533CC44726C4}"/>
            </c:ext>
          </c:extLst>
        </c:ser>
        <c:ser>
          <c:idx val="92"/>
          <c:order val="92"/>
          <c:marker>
            <c:symbol val="none"/>
          </c:marker>
          <c:val>
            <c:numRef>
              <c:f>Brownian!$C$109:$AH$109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118.72792444469542</c:v>
                </c:pt>
                <c:pt idx="2">
                  <c:v>118.59951910891638</c:v>
                </c:pt>
                <c:pt idx="3">
                  <c:v>111.15296064676019</c:v>
                </c:pt>
                <c:pt idx="4">
                  <c:v>121.92469593396969</c:v>
                </c:pt>
                <c:pt idx="5">
                  <c:v>148.98112165643667</c:v>
                </c:pt>
                <c:pt idx="6">
                  <c:v>191.37883143617643</c:v>
                </c:pt>
                <c:pt idx="7">
                  <c:v>239.22470741414173</c:v>
                </c:pt>
                <c:pt idx="8">
                  <c:v>255.69584419309291</c:v>
                </c:pt>
                <c:pt idx="9">
                  <c:v>328.88184221365765</c:v>
                </c:pt>
                <c:pt idx="10">
                  <c:v>324.38654232172564</c:v>
                </c:pt>
                <c:pt idx="11">
                  <c:v>366.02914314526311</c:v>
                </c:pt>
                <c:pt idx="12">
                  <c:v>338.07455690651204</c:v>
                </c:pt>
                <c:pt idx="13">
                  <c:v>345.86556331145709</c:v>
                </c:pt>
                <c:pt idx="14">
                  <c:v>338.4161079362749</c:v>
                </c:pt>
                <c:pt idx="15">
                  <c:v>393.46456881560721</c:v>
                </c:pt>
                <c:pt idx="16">
                  <c:v>497.37363259810763</c:v>
                </c:pt>
                <c:pt idx="17">
                  <c:v>434.13066112847213</c:v>
                </c:pt>
                <c:pt idx="18">
                  <c:v>585.18018413575828</c:v>
                </c:pt>
                <c:pt idx="19">
                  <c:v>587.59739928939234</c:v>
                </c:pt>
                <c:pt idx="20">
                  <c:v>548.20808346424644</c:v>
                </c:pt>
                <c:pt idx="21">
                  <c:v>638.57447565556367</c:v>
                </c:pt>
                <c:pt idx="22">
                  <c:v>700.31534061644265</c:v>
                </c:pt>
                <c:pt idx="23">
                  <c:v>964.15690307021714</c:v>
                </c:pt>
                <c:pt idx="24">
                  <c:v>1045.4886510690799</c:v>
                </c:pt>
                <c:pt idx="25">
                  <c:v>992.16131836223258</c:v>
                </c:pt>
                <c:pt idx="26">
                  <c:v>979.23852375060801</c:v>
                </c:pt>
                <c:pt idx="27">
                  <c:v>1216.7710180828608</c:v>
                </c:pt>
                <c:pt idx="28">
                  <c:v>1501.5435761423951</c:v>
                </c:pt>
                <c:pt idx="29">
                  <c:v>1746.9799811003895</c:v>
                </c:pt>
                <c:pt idx="30">
                  <c:v>1940.033830716904</c:v>
                </c:pt>
                <c:pt idx="31">
                  <c:v>2155.418299048295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EBE7-4FA3-8E34-533CC44726C4}"/>
            </c:ext>
          </c:extLst>
        </c:ser>
        <c:ser>
          <c:idx val="93"/>
          <c:order val="93"/>
          <c:marker>
            <c:symbol val="none"/>
          </c:marker>
          <c:val>
            <c:numRef>
              <c:f>Brownian!$C$110:$AH$110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108.54667005173459</c:v>
                </c:pt>
                <c:pt idx="2">
                  <c:v>97.933253195956183</c:v>
                </c:pt>
                <c:pt idx="3">
                  <c:v>122.8068647826351</c:v>
                </c:pt>
                <c:pt idx="4">
                  <c:v>143.49637170234092</c:v>
                </c:pt>
                <c:pt idx="5">
                  <c:v>141.07657310107152</c:v>
                </c:pt>
                <c:pt idx="6">
                  <c:v>181.12804739691458</c:v>
                </c:pt>
                <c:pt idx="7">
                  <c:v>230.30248705398682</c:v>
                </c:pt>
                <c:pt idx="8">
                  <c:v>209.54546481397506</c:v>
                </c:pt>
                <c:pt idx="9">
                  <c:v>246.04066754955022</c:v>
                </c:pt>
                <c:pt idx="10">
                  <c:v>269.3053038153173</c:v>
                </c:pt>
                <c:pt idx="11">
                  <c:v>275.21626546922357</c:v>
                </c:pt>
                <c:pt idx="12">
                  <c:v>274.51937907536421</c:v>
                </c:pt>
                <c:pt idx="13">
                  <c:v>298.06761750856128</c:v>
                </c:pt>
                <c:pt idx="14">
                  <c:v>415.89880476544243</c:v>
                </c:pt>
                <c:pt idx="15">
                  <c:v>451.45409798756657</c:v>
                </c:pt>
                <c:pt idx="16">
                  <c:v>480.81315945575227</c:v>
                </c:pt>
                <c:pt idx="17">
                  <c:v>535.54955046558371</c:v>
                </c:pt>
                <c:pt idx="18">
                  <c:v>593.75319741398607</c:v>
                </c:pt>
                <c:pt idx="19">
                  <c:v>677.09514209203508</c:v>
                </c:pt>
                <c:pt idx="20">
                  <c:v>768.79663662277778</c:v>
                </c:pt>
                <c:pt idx="21">
                  <c:v>788.34682561710952</c:v>
                </c:pt>
                <c:pt idx="22">
                  <c:v>811.28009124647883</c:v>
                </c:pt>
                <c:pt idx="23">
                  <c:v>900.92068259808843</c:v>
                </c:pt>
                <c:pt idx="24">
                  <c:v>975.29167675825613</c:v>
                </c:pt>
                <c:pt idx="25">
                  <c:v>925.37870119128115</c:v>
                </c:pt>
                <c:pt idx="26">
                  <c:v>1184.5095052856263</c:v>
                </c:pt>
                <c:pt idx="27">
                  <c:v>1285.3812304428475</c:v>
                </c:pt>
                <c:pt idx="28">
                  <c:v>1415.8399279135915</c:v>
                </c:pt>
                <c:pt idx="29">
                  <c:v>1871.9331028108747</c:v>
                </c:pt>
                <c:pt idx="30">
                  <c:v>1984.0848431116674</c:v>
                </c:pt>
                <c:pt idx="31">
                  <c:v>2202.2956805374552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EBE7-4FA3-8E34-533CC44726C4}"/>
            </c:ext>
          </c:extLst>
        </c:ser>
        <c:ser>
          <c:idx val="94"/>
          <c:order val="94"/>
          <c:marker>
            <c:symbol val="none"/>
          </c:marker>
          <c:val>
            <c:numRef>
              <c:f>Brownian!$C$111:$AH$111</c:f>
              <c:numCache>
                <c:formatCode>#,##0;\(#,##0\);\-</c:formatCode>
                <c:ptCount val="32"/>
                <c:pt idx="0">
                  <c:v>100</c:v>
                </c:pt>
                <c:pt idx="1">
                  <c:v>94.451064678559419</c:v>
                </c:pt>
                <c:pt idx="2">
                  <c:v>115.10836744091679</c:v>
                </c:pt>
                <c:pt idx="3">
                  <c:v>135.11824939618899</c:v>
                </c:pt>
                <c:pt idx="4">
                  <c:v>148.46590042555462</c:v>
                </c:pt>
                <c:pt idx="5">
                  <c:v>137.574257917578</c:v>
                </c:pt>
                <c:pt idx="6">
                  <c:v>190.77993002184422</c:v>
                </c:pt>
                <c:pt idx="7">
                  <c:v>160.94255287898108</c:v>
                </c:pt>
                <c:pt idx="8">
                  <c:v>209.3383596664201</c:v>
                </c:pt>
                <c:pt idx="9">
                  <c:v>225.15339325291501</c:v>
                </c:pt>
                <c:pt idx="10">
                  <c:v>263.80826787474217</c:v>
                </c:pt>
                <c:pt idx="11">
                  <c:v>245.90801832592834</c:v>
                </c:pt>
                <c:pt idx="12">
                  <c:v>299.57964580221181</c:v>
                </c:pt>
                <c:pt idx="13">
                  <c:v>385.25317898442086</c:v>
                </c:pt>
                <c:pt idx="14">
                  <c:v>408.98643495880657</c:v>
                </c:pt>
                <c:pt idx="15">
                  <c:v>512.85438918942623</c:v>
                </c:pt>
                <c:pt idx="16">
                  <c:v>572.6761077337643</c:v>
                </c:pt>
                <c:pt idx="17">
                  <c:v>527.39438090224189</c:v>
                </c:pt>
                <c:pt idx="18">
                  <c:v>586.78909545658087</c:v>
                </c:pt>
                <c:pt idx="19">
                  <c:v>581.93689987921675</c:v>
                </c:pt>
                <c:pt idx="20">
                  <c:v>627.65633853942325</c:v>
                </c:pt>
                <c:pt idx="21">
                  <c:v>840.10860223248869</c:v>
                </c:pt>
                <c:pt idx="22">
                  <c:v>929.81303057188893</c:v>
                </c:pt>
                <c:pt idx="23">
                  <c:v>1051.6232671672096</c:v>
                </c:pt>
                <c:pt idx="24">
                  <c:v>1066.6087168993758</c:v>
                </c:pt>
                <c:pt idx="25">
                  <c:v>1200.9488957507599</c:v>
                </c:pt>
                <c:pt idx="26">
                  <c:v>1337.4820729203575</c:v>
                </c:pt>
                <c:pt idx="27">
                  <c:v>1410.4582547425607</c:v>
                </c:pt>
                <c:pt idx="28">
                  <c:v>1256.038544389545</c:v>
                </c:pt>
                <c:pt idx="29">
                  <c:v>1355.2908327516966</c:v>
                </c:pt>
                <c:pt idx="30">
                  <c:v>1589.0127778336064</c:v>
                </c:pt>
                <c:pt idx="31">
                  <c:v>1534.7466508315661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EBE7-4FA3-8E34-533CC44726C4}"/>
            </c:ext>
          </c:extLst>
        </c:ser>
        <c:ser>
          <c:idx val="95"/>
          <c:order val="95"/>
          <c:marker>
            <c:symbol val="none"/>
          </c:marker>
          <c:val>
            <c:numRef>
              <c:f>Brownian!$C$112:$AH$112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118.9762361086202</c:v>
                </c:pt>
                <c:pt idx="2">
                  <c:v>117.38396550758891</c:v>
                </c:pt>
                <c:pt idx="3">
                  <c:v>166.44739364115108</c:v>
                </c:pt>
                <c:pt idx="4">
                  <c:v>156.0779598454381</c:v>
                </c:pt>
                <c:pt idx="5">
                  <c:v>178.52711135036037</c:v>
                </c:pt>
                <c:pt idx="6">
                  <c:v>184.84253242104083</c:v>
                </c:pt>
                <c:pt idx="7">
                  <c:v>230.3320199659355</c:v>
                </c:pt>
                <c:pt idx="8">
                  <c:v>249.31503708587593</c:v>
                </c:pt>
                <c:pt idx="9">
                  <c:v>260.74498606936993</c:v>
                </c:pt>
                <c:pt idx="10">
                  <c:v>271.36262169738745</c:v>
                </c:pt>
                <c:pt idx="11">
                  <c:v>262.64023177534591</c:v>
                </c:pt>
                <c:pt idx="12">
                  <c:v>309.97918172483776</c:v>
                </c:pt>
                <c:pt idx="13">
                  <c:v>297.35856063657837</c:v>
                </c:pt>
                <c:pt idx="14">
                  <c:v>386.05768141385988</c:v>
                </c:pt>
                <c:pt idx="15">
                  <c:v>319.53810495726486</c:v>
                </c:pt>
                <c:pt idx="16">
                  <c:v>424.4202418351681</c:v>
                </c:pt>
                <c:pt idx="17">
                  <c:v>381.93016509055053</c:v>
                </c:pt>
                <c:pt idx="18">
                  <c:v>486.93405856019399</c:v>
                </c:pt>
                <c:pt idx="19">
                  <c:v>569.3219550134362</c:v>
                </c:pt>
                <c:pt idx="20">
                  <c:v>586.15499096063672</c:v>
                </c:pt>
                <c:pt idx="21">
                  <c:v>787.69962817904957</c:v>
                </c:pt>
                <c:pt idx="22">
                  <c:v>644.67408178291339</c:v>
                </c:pt>
                <c:pt idx="23">
                  <c:v>808.80822806291076</c:v>
                </c:pt>
                <c:pt idx="24">
                  <c:v>938.73841723974965</c:v>
                </c:pt>
                <c:pt idx="25">
                  <c:v>1092.4301722371824</c:v>
                </c:pt>
                <c:pt idx="26">
                  <c:v>1161.5669511981268</c:v>
                </c:pt>
                <c:pt idx="27">
                  <c:v>1688.4351559015308</c:v>
                </c:pt>
                <c:pt idx="28">
                  <c:v>1477.8645492302819</c:v>
                </c:pt>
                <c:pt idx="29">
                  <c:v>1722.7732930916404</c:v>
                </c:pt>
                <c:pt idx="30">
                  <c:v>1915.0769416109129</c:v>
                </c:pt>
                <c:pt idx="31">
                  <c:v>1856.8432573228145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EBE7-4FA3-8E34-533CC44726C4}"/>
            </c:ext>
          </c:extLst>
        </c:ser>
        <c:ser>
          <c:idx val="96"/>
          <c:order val="96"/>
          <c:marker>
            <c:symbol val="none"/>
          </c:marker>
          <c:val>
            <c:numRef>
              <c:f>Brownian!$C$113:$AH$113</c:f>
              <c:numCache>
                <c:formatCode>#,##0;\(#,##0\);\-</c:formatCode>
                <c:ptCount val="32"/>
                <c:pt idx="0">
                  <c:v>100</c:v>
                </c:pt>
                <c:pt idx="1">
                  <c:v>102.92368339252486</c:v>
                </c:pt>
                <c:pt idx="2">
                  <c:v>115.88574275835633</c:v>
                </c:pt>
                <c:pt idx="3">
                  <c:v>130.43087162697947</c:v>
                </c:pt>
                <c:pt idx="4">
                  <c:v>138.59491868513157</c:v>
                </c:pt>
                <c:pt idx="5">
                  <c:v>177.86623709566678</c:v>
                </c:pt>
                <c:pt idx="6">
                  <c:v>179.86967532286195</c:v>
                </c:pt>
                <c:pt idx="7">
                  <c:v>187.80425404032508</c:v>
                </c:pt>
                <c:pt idx="8">
                  <c:v>201.91673174057814</c:v>
                </c:pt>
                <c:pt idx="9">
                  <c:v>187.55577671124706</c:v>
                </c:pt>
                <c:pt idx="10">
                  <c:v>262.98650765892341</c:v>
                </c:pt>
                <c:pt idx="11">
                  <c:v>247.9005545585994</c:v>
                </c:pt>
                <c:pt idx="12">
                  <c:v>279.0484216983765</c:v>
                </c:pt>
                <c:pt idx="13">
                  <c:v>307.3473143226235</c:v>
                </c:pt>
                <c:pt idx="14">
                  <c:v>345.80638364544552</c:v>
                </c:pt>
                <c:pt idx="15">
                  <c:v>388.31490725156823</c:v>
                </c:pt>
                <c:pt idx="16">
                  <c:v>477.20033096117243</c:v>
                </c:pt>
                <c:pt idx="17">
                  <c:v>531.91407986054446</c:v>
                </c:pt>
                <c:pt idx="18">
                  <c:v>611.82121151926333</c:v>
                </c:pt>
                <c:pt idx="19">
                  <c:v>651.44917572675536</c:v>
                </c:pt>
                <c:pt idx="20">
                  <c:v>753.70421306379126</c:v>
                </c:pt>
                <c:pt idx="21">
                  <c:v>736.79709825747739</c:v>
                </c:pt>
                <c:pt idx="22">
                  <c:v>753.27423806266552</c:v>
                </c:pt>
                <c:pt idx="23">
                  <c:v>865.92479712291185</c:v>
                </c:pt>
                <c:pt idx="24">
                  <c:v>1036.4498957121993</c:v>
                </c:pt>
                <c:pt idx="25">
                  <c:v>1093.1315219838166</c:v>
                </c:pt>
                <c:pt idx="26">
                  <c:v>1341.5238618271731</c:v>
                </c:pt>
                <c:pt idx="27">
                  <c:v>1335.3620559642554</c:v>
                </c:pt>
                <c:pt idx="28">
                  <c:v>1709.6193886884521</c:v>
                </c:pt>
                <c:pt idx="29">
                  <c:v>1619.5876436755711</c:v>
                </c:pt>
                <c:pt idx="30">
                  <c:v>1843.7982324242787</c:v>
                </c:pt>
                <c:pt idx="31">
                  <c:v>1709.3428063367196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EBE7-4FA3-8E34-533CC44726C4}"/>
            </c:ext>
          </c:extLst>
        </c:ser>
        <c:ser>
          <c:idx val="97"/>
          <c:order val="97"/>
          <c:marker>
            <c:symbol val="none"/>
          </c:marker>
          <c:val>
            <c:numRef>
              <c:f>Brownian!$C$114:$AH$114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115.17505152861614</c:v>
                </c:pt>
                <c:pt idx="2">
                  <c:v>141.26772232282818</c:v>
                </c:pt>
                <c:pt idx="3">
                  <c:v>173.07694758584103</c:v>
                </c:pt>
                <c:pt idx="4">
                  <c:v>214.63996019708912</c:v>
                </c:pt>
                <c:pt idx="5">
                  <c:v>225.62739953369518</c:v>
                </c:pt>
                <c:pt idx="6">
                  <c:v>213.33113150921383</c:v>
                </c:pt>
                <c:pt idx="7">
                  <c:v>174.94223153555635</c:v>
                </c:pt>
                <c:pt idx="8">
                  <c:v>204.12995146178321</c:v>
                </c:pt>
                <c:pt idx="9">
                  <c:v>251.47516967077871</c:v>
                </c:pt>
                <c:pt idx="10">
                  <c:v>286.29220322563287</c:v>
                </c:pt>
                <c:pt idx="11">
                  <c:v>336.35330373704676</c:v>
                </c:pt>
                <c:pt idx="12">
                  <c:v>341.76075713314691</c:v>
                </c:pt>
                <c:pt idx="13">
                  <c:v>421.20566275302372</c:v>
                </c:pt>
                <c:pt idx="14">
                  <c:v>413.8629535205651</c:v>
                </c:pt>
                <c:pt idx="15">
                  <c:v>420.65538227332479</c:v>
                </c:pt>
                <c:pt idx="16">
                  <c:v>435.33259767834579</c:v>
                </c:pt>
                <c:pt idx="17">
                  <c:v>520.78913330500677</c:v>
                </c:pt>
                <c:pt idx="18">
                  <c:v>414.42191085724835</c:v>
                </c:pt>
                <c:pt idx="19">
                  <c:v>488.03253305315394</c:v>
                </c:pt>
                <c:pt idx="20">
                  <c:v>593.59315574303253</c:v>
                </c:pt>
                <c:pt idx="21">
                  <c:v>613.57701861410533</c:v>
                </c:pt>
                <c:pt idx="22">
                  <c:v>882.65393642844151</c:v>
                </c:pt>
                <c:pt idx="23">
                  <c:v>924.63439660254437</c:v>
                </c:pt>
                <c:pt idx="24">
                  <c:v>1136.8906062739713</c:v>
                </c:pt>
                <c:pt idx="25">
                  <c:v>1280.343432182035</c:v>
                </c:pt>
                <c:pt idx="26">
                  <c:v>1256.1105190330768</c:v>
                </c:pt>
                <c:pt idx="27">
                  <c:v>1070.7246166604391</c:v>
                </c:pt>
                <c:pt idx="28">
                  <c:v>1223.0311918222872</c:v>
                </c:pt>
                <c:pt idx="29">
                  <c:v>1444.5751362397255</c:v>
                </c:pt>
                <c:pt idx="30">
                  <c:v>1476.6462771475983</c:v>
                </c:pt>
                <c:pt idx="31">
                  <c:v>1570.5657040345809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EBE7-4FA3-8E34-533CC44726C4}"/>
            </c:ext>
          </c:extLst>
        </c:ser>
        <c:ser>
          <c:idx val="98"/>
          <c:order val="98"/>
          <c:marker>
            <c:symbol val="none"/>
          </c:marker>
          <c:val>
            <c:numRef>
              <c:f>Brownian!$C$115:$AH$115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113.72154121470244</c:v>
                </c:pt>
                <c:pt idx="2">
                  <c:v>127.72141912787001</c:v>
                </c:pt>
                <c:pt idx="3">
                  <c:v>150.35962338220347</c:v>
                </c:pt>
                <c:pt idx="4">
                  <c:v>174.99994848583088</c:v>
                </c:pt>
                <c:pt idx="5">
                  <c:v>161.92289413032861</c:v>
                </c:pt>
                <c:pt idx="6">
                  <c:v>208.15854735806977</c:v>
                </c:pt>
                <c:pt idx="7">
                  <c:v>259.02926285283485</c:v>
                </c:pt>
                <c:pt idx="8">
                  <c:v>273.71261000568819</c:v>
                </c:pt>
                <c:pt idx="9">
                  <c:v>212.9738134244721</c:v>
                </c:pt>
                <c:pt idx="10">
                  <c:v>278.12306608405203</c:v>
                </c:pt>
                <c:pt idx="11">
                  <c:v>307.53245280301388</c:v>
                </c:pt>
                <c:pt idx="12">
                  <c:v>303.63119179972739</c:v>
                </c:pt>
                <c:pt idx="13">
                  <c:v>315.95605861657111</c:v>
                </c:pt>
                <c:pt idx="14">
                  <c:v>385.19305521386423</c:v>
                </c:pt>
                <c:pt idx="15">
                  <c:v>430.6686612005218</c:v>
                </c:pt>
                <c:pt idx="16">
                  <c:v>421.03381400599835</c:v>
                </c:pt>
                <c:pt idx="17">
                  <c:v>517.86407505186924</c:v>
                </c:pt>
                <c:pt idx="18">
                  <c:v>530.74245954833646</c:v>
                </c:pt>
                <c:pt idx="19">
                  <c:v>597.58449455600885</c:v>
                </c:pt>
                <c:pt idx="20">
                  <c:v>570.30853323109704</c:v>
                </c:pt>
                <c:pt idx="21">
                  <c:v>607.79696091659571</c:v>
                </c:pt>
                <c:pt idx="22">
                  <c:v>830.90849435102086</c:v>
                </c:pt>
                <c:pt idx="23">
                  <c:v>668.35983003807394</c:v>
                </c:pt>
                <c:pt idx="24">
                  <c:v>953.54185517159499</c:v>
                </c:pt>
                <c:pt idx="25">
                  <c:v>917.88857950662259</c:v>
                </c:pt>
                <c:pt idx="26">
                  <c:v>1099.7223298509143</c:v>
                </c:pt>
                <c:pt idx="27">
                  <c:v>1223.2727474408216</c:v>
                </c:pt>
                <c:pt idx="28">
                  <c:v>1435.03959683945</c:v>
                </c:pt>
                <c:pt idx="29">
                  <c:v>1570.6653617015111</c:v>
                </c:pt>
                <c:pt idx="30">
                  <c:v>2046.4470787402934</c:v>
                </c:pt>
                <c:pt idx="31">
                  <c:v>1681.4197770861324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EBE7-4FA3-8E34-533CC44726C4}"/>
            </c:ext>
          </c:extLst>
        </c:ser>
        <c:ser>
          <c:idx val="99"/>
          <c:order val="99"/>
          <c:marker>
            <c:symbol val="none"/>
          </c:marker>
          <c:val>
            <c:numRef>
              <c:f>Brownian!$C$116:$AH$116</c:f>
              <c:numCache>
                <c:formatCode>#,##0;\(#,##0\);\-</c:formatCode>
                <c:ptCount val="32"/>
                <c:pt idx="0">
                  <c:v>100</c:v>
                </c:pt>
                <c:pt idx="1">
                  <c:v>99.365777218286667</c:v>
                </c:pt>
                <c:pt idx="2">
                  <c:v>99.919628293907266</c:v>
                </c:pt>
                <c:pt idx="3">
                  <c:v>112.30765543884785</c:v>
                </c:pt>
                <c:pt idx="4">
                  <c:v>123.45993787884464</c:v>
                </c:pt>
                <c:pt idx="5">
                  <c:v>145.27018995271655</c:v>
                </c:pt>
                <c:pt idx="6">
                  <c:v>174.43140994923345</c:v>
                </c:pt>
                <c:pt idx="7">
                  <c:v>207.91008359967151</c:v>
                </c:pt>
                <c:pt idx="8">
                  <c:v>218.57973458012469</c:v>
                </c:pt>
                <c:pt idx="9">
                  <c:v>253.66302868729036</c:v>
                </c:pt>
                <c:pt idx="10">
                  <c:v>294.69417894333475</c:v>
                </c:pt>
                <c:pt idx="11">
                  <c:v>332.84706918371222</c:v>
                </c:pt>
                <c:pt idx="12">
                  <c:v>350.50849065523846</c:v>
                </c:pt>
                <c:pt idx="13">
                  <c:v>326.14289148801055</c:v>
                </c:pt>
                <c:pt idx="14">
                  <c:v>445.45703747181767</c:v>
                </c:pt>
                <c:pt idx="15">
                  <c:v>361.34410581400732</c:v>
                </c:pt>
                <c:pt idx="16">
                  <c:v>389.41674365497454</c:v>
                </c:pt>
                <c:pt idx="17">
                  <c:v>477.95026817477429</c:v>
                </c:pt>
                <c:pt idx="18">
                  <c:v>624.87193156853027</c:v>
                </c:pt>
                <c:pt idx="19">
                  <c:v>534.01462619195422</c:v>
                </c:pt>
                <c:pt idx="20">
                  <c:v>644.96676175032383</c:v>
                </c:pt>
                <c:pt idx="21">
                  <c:v>749.42485608566994</c:v>
                </c:pt>
                <c:pt idx="22">
                  <c:v>665.72762481797304</c:v>
                </c:pt>
                <c:pt idx="23">
                  <c:v>714.12072926227029</c:v>
                </c:pt>
                <c:pt idx="24">
                  <c:v>858.23460461566992</c:v>
                </c:pt>
                <c:pt idx="25">
                  <c:v>983.91654365539011</c:v>
                </c:pt>
                <c:pt idx="26">
                  <c:v>1313.5738459734721</c:v>
                </c:pt>
                <c:pt idx="27">
                  <c:v>1677.8271476148279</c:v>
                </c:pt>
                <c:pt idx="28">
                  <c:v>1495.027621930547</c:v>
                </c:pt>
                <c:pt idx="29">
                  <c:v>1621.8546805009419</c:v>
                </c:pt>
                <c:pt idx="30">
                  <c:v>1783.6965291147224</c:v>
                </c:pt>
                <c:pt idx="31">
                  <c:v>2110.9020591938456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EBE7-4FA3-8E34-533CC4472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numFmt formatCode="d\ mmm\ yy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 val="autoZero"/>
        <c:auto val="0"/>
        <c:lblAlgn val="ctr"/>
        <c:lblOffset val="100"/>
        <c:noMultiLvlLbl val="0"/>
      </c:catAx>
      <c:valAx>
        <c:axId val="310507392"/>
        <c:scaling>
          <c:logBase val="10"/>
          <c:orientation val="minMax"/>
          <c:min val="1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8755204243019989E-2"/>
          <c:y val="2.51344070061125E-2"/>
          <c:w val="0.93227483803436306"/>
          <c:h val="0.9462048124922860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Brownian!$C$16:$AH$16</c:f>
              <c:numCache>
                <c:formatCode>#,##0;\(#,##0\);\-</c:formatCode>
                <c:ptCount val="32"/>
                <c:pt idx="0">
                  <c:v>100</c:v>
                </c:pt>
                <c:pt idx="1">
                  <c:v>119.37539937098094</c:v>
                </c:pt>
                <c:pt idx="2">
                  <c:v>122.28090212148379</c:v>
                </c:pt>
                <c:pt idx="3">
                  <c:v>128.55403682615969</c:v>
                </c:pt>
                <c:pt idx="4">
                  <c:v>147.2740955383436</c:v>
                </c:pt>
                <c:pt idx="5">
                  <c:v>117.67544279283921</c:v>
                </c:pt>
                <c:pt idx="6">
                  <c:v>128.71155952235449</c:v>
                </c:pt>
                <c:pt idx="7">
                  <c:v>176.44642529943349</c:v>
                </c:pt>
                <c:pt idx="8">
                  <c:v>204.62107415189985</c:v>
                </c:pt>
                <c:pt idx="9">
                  <c:v>204.2804022085507</c:v>
                </c:pt>
                <c:pt idx="10">
                  <c:v>241.37237727832317</c:v>
                </c:pt>
                <c:pt idx="11">
                  <c:v>355.84083756898542</c:v>
                </c:pt>
                <c:pt idx="12">
                  <c:v>328.19159460907593</c:v>
                </c:pt>
                <c:pt idx="13">
                  <c:v>303.33241679829541</c:v>
                </c:pt>
                <c:pt idx="14">
                  <c:v>320.42081733596848</c:v>
                </c:pt>
                <c:pt idx="15">
                  <c:v>446.50229027665159</c:v>
                </c:pt>
                <c:pt idx="16">
                  <c:v>442.9109731464722</c:v>
                </c:pt>
                <c:pt idx="17">
                  <c:v>467.42056411177219</c:v>
                </c:pt>
                <c:pt idx="18">
                  <c:v>515.80446925382034</c:v>
                </c:pt>
                <c:pt idx="19">
                  <c:v>538.61378686452701</c:v>
                </c:pt>
                <c:pt idx="20">
                  <c:v>588.33032418006428</c:v>
                </c:pt>
                <c:pt idx="21">
                  <c:v>612.73225237625502</c:v>
                </c:pt>
                <c:pt idx="22">
                  <c:v>572.0050373508119</c:v>
                </c:pt>
                <c:pt idx="23">
                  <c:v>872.74883933893443</c:v>
                </c:pt>
                <c:pt idx="24">
                  <c:v>911.99100364497895</c:v>
                </c:pt>
                <c:pt idx="25">
                  <c:v>946.72028034530877</c:v>
                </c:pt>
                <c:pt idx="26">
                  <c:v>1263.6898445386414</c:v>
                </c:pt>
                <c:pt idx="27">
                  <c:v>1046.801633002694</c:v>
                </c:pt>
                <c:pt idx="28">
                  <c:v>1131.891124851079</c:v>
                </c:pt>
                <c:pt idx="29">
                  <c:v>1466.8051701347179</c:v>
                </c:pt>
                <c:pt idx="30">
                  <c:v>1489.0556969372096</c:v>
                </c:pt>
                <c:pt idx="31">
                  <c:v>1843.2465610067047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D8A-A055-DE639DD2F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numFmt formatCode="d\ mmm\ yy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 val="autoZero"/>
        <c:auto val="0"/>
        <c:lblAlgn val="ctr"/>
        <c:lblOffset val="100"/>
        <c:noMultiLvlLbl val="0"/>
      </c:catAx>
      <c:valAx>
        <c:axId val="310507392"/>
        <c:scaling>
          <c:logBase val="10"/>
          <c:orientation val="minMax"/>
          <c:min val="1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390526</xdr:colOff>
      <xdr:row>1</xdr:row>
      <xdr:rowOff>9526</xdr:rowOff>
    </xdr:from>
    <xdr:to>
      <xdr:col>3</xdr:col>
      <xdr:colOff>600076</xdr:colOff>
      <xdr:row>3</xdr:row>
      <xdr:rowOff>57150</xdr:rowOff>
    </xdr:to>
    <xdr:sp macro="[0]!ThisWorkbook.CalculateCopy" textlink="">
      <xdr:nvSpPr>
        <xdr:cNvPr id="2" name="Rectangle 1">
          <a:extLst>
            <a:ext uri="{FF2B5EF4-FFF2-40B4-BE49-F238E27FC236}">
              <a16:creationId xmlns:a16="http://schemas.microsoft.com/office/drawing/2014/main" id="{33045283-901E-DB16-6CBB-2F185ED0A320}"/>
            </a:ext>
          </a:extLst>
        </xdr:cNvPr>
        <xdr:cNvSpPr/>
      </xdr:nvSpPr>
      <xdr:spPr>
        <a:xfrm>
          <a:off x="2257426" y="200026"/>
          <a:ext cx="990600" cy="428624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429559</xdr:colOff>
      <xdr:row>4</xdr:row>
      <xdr:rowOff>22411</xdr:rowOff>
    </xdr:from>
    <xdr:to>
      <xdr:col>50</xdr:col>
      <xdr:colOff>56029</xdr:colOff>
      <xdr:row>36</xdr:row>
      <xdr:rowOff>56029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C8063D-1F88-4AA7-D17F-BE7B28408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78442</xdr:colOff>
      <xdr:row>37</xdr:row>
      <xdr:rowOff>11206</xdr:rowOff>
    </xdr:from>
    <xdr:to>
      <xdr:col>50</xdr:col>
      <xdr:colOff>310030</xdr:colOff>
      <xdr:row>66</xdr:row>
      <xdr:rowOff>44824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6A448E3-55DC-4E0D-9E4C-EFD4469F7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78441</xdr:colOff>
      <xdr:row>1</xdr:row>
      <xdr:rowOff>145677</xdr:rowOff>
    </xdr:from>
    <xdr:to>
      <xdr:col>6</xdr:col>
      <xdr:colOff>452717</xdr:colOff>
      <xdr:row>4</xdr:row>
      <xdr:rowOff>2801</xdr:rowOff>
    </xdr:to>
    <xdr:sp macro="[0]!ThisWorkbook.CalculateCopy2" textlink="">
      <xdr:nvSpPr>
        <xdr:cNvPr id="3" name="Rectangle 2">
          <a:extLst>
            <a:ext uri="{FF2B5EF4-FFF2-40B4-BE49-F238E27FC236}">
              <a16:creationId xmlns:a16="http://schemas.microsoft.com/office/drawing/2014/main" id="{79D50302-AB39-4E06-A9FF-3659427A3588}"/>
            </a:ext>
          </a:extLst>
        </xdr:cNvPr>
        <xdr:cNvSpPr/>
      </xdr:nvSpPr>
      <xdr:spPr>
        <a:xfrm>
          <a:off x="3787588" y="336177"/>
          <a:ext cx="990600" cy="428624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Run macro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Custom 1">
      <a:dk1>
        <a:srgbClr val="000000"/>
      </a:dk1>
      <a:lt1>
        <a:srgbClr val="FFFFFF"/>
      </a:lt1>
      <a:dk2>
        <a:srgbClr val="7F7F7F"/>
      </a:dk2>
      <a:lt2>
        <a:srgbClr val="FFFFFF"/>
      </a:lt2>
      <a:accent1>
        <a:srgbClr val="3B9CA6"/>
      </a:accent1>
      <a:accent2>
        <a:srgbClr val="A9D1D3"/>
      </a:accent2>
      <a:accent3>
        <a:srgbClr val="D7E5E6"/>
      </a:accent3>
      <a:accent4>
        <a:srgbClr val="DDB88A"/>
      </a:accent4>
      <a:accent5>
        <a:srgbClr val="333333"/>
      </a:accent5>
      <a:accent6>
        <a:srgbClr val="999999"/>
      </a:accent6>
      <a:hlink>
        <a:srgbClr val="3B9CA6"/>
      </a:hlink>
      <a:folHlink>
        <a:srgbClr val="3B9CA6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D6437-6897-4295-B534-EFAE37D09052}">
  <sheetPr codeName="Sheet3"/>
  <dimension ref="B2:AI147"/>
  <sheetViews>
    <sheetView showGridLines="0" zoomScale="71" zoomScaleNormal="71" workbookViewId="0">
      <pane xSplit="2" ySplit="24" topLeftCell="C94" activePane="bottomRight" state="frozen"/>
      <selection pane="topRight" activeCell="C1" sqref="C1"/>
      <selection pane="bottomLeft" activeCell="A17" sqref="A17"/>
      <selection pane="bottomRight" activeCell="F10" sqref="F10"/>
    </sheetView>
  </sheetViews>
  <sheetFormatPr defaultRowHeight="14.25" x14ac:dyDescent="0.45"/>
  <cols>
    <col min="2" max="2" width="40.59765625" customWidth="1"/>
    <col min="3" max="3" width="10.3984375" customWidth="1"/>
    <col min="4" max="14" width="9.265625" bestFit="1" customWidth="1"/>
    <col min="15" max="15" width="10.59765625" bestFit="1" customWidth="1"/>
    <col min="16" max="16" width="10.1328125" bestFit="1" customWidth="1"/>
    <col min="17" max="19" width="9.265625" bestFit="1" customWidth="1"/>
    <col min="20" max="20" width="11.3984375" customWidth="1"/>
    <col min="21" max="22" width="9.265625" bestFit="1" customWidth="1"/>
    <col min="23" max="33" width="10.59765625" bestFit="1" customWidth="1"/>
  </cols>
  <sheetData>
    <row r="2" spans="2:35" x14ac:dyDescent="0.45">
      <c r="B2" s="6" t="s">
        <v>39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2:35" x14ac:dyDescent="0.45">
      <c r="B3" s="7" t="s">
        <v>40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</row>
    <row r="4" spans="2:35" x14ac:dyDescent="0.4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</row>
    <row r="5" spans="2:35" x14ac:dyDescent="0.45">
      <c r="B5" s="9" t="s">
        <v>41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</row>
    <row r="6" spans="2:35" x14ac:dyDescent="0.45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</row>
    <row r="7" spans="2:35" x14ac:dyDescent="0.45">
      <c r="B7" s="11" t="s">
        <v>0</v>
      </c>
      <c r="C7" s="8"/>
      <c r="D7" s="8"/>
      <c r="E7" s="8"/>
      <c r="F7" s="8"/>
      <c r="G7" s="8"/>
      <c r="H7" s="11" t="s">
        <v>1</v>
      </c>
      <c r="I7" s="8"/>
      <c r="J7" s="8"/>
      <c r="K7" s="8"/>
      <c r="L7" s="8"/>
      <c r="Q7" s="2"/>
      <c r="T7" s="4"/>
      <c r="V7" s="11" t="s">
        <v>2</v>
      </c>
      <c r="X7" s="8"/>
      <c r="Y7" s="8"/>
      <c r="Z7" s="8"/>
      <c r="AA7" s="8"/>
      <c r="AB7" s="8"/>
      <c r="AC7" s="8"/>
      <c r="AD7" s="8"/>
      <c r="AE7" s="8"/>
      <c r="AF7" s="8"/>
      <c r="AG7" s="8"/>
    </row>
    <row r="8" spans="2:35" x14ac:dyDescent="0.45">
      <c r="B8" s="8"/>
      <c r="C8" s="8"/>
      <c r="D8" s="8"/>
      <c r="E8" s="8"/>
      <c r="F8" s="8"/>
      <c r="G8" s="8"/>
      <c r="K8" s="15">
        <v>2</v>
      </c>
      <c r="L8">
        <v>1</v>
      </c>
      <c r="M8">
        <v>2</v>
      </c>
      <c r="S8" s="61"/>
      <c r="V8" s="8" t="s">
        <v>3</v>
      </c>
      <c r="X8" s="8"/>
      <c r="Y8" s="12">
        <f ca="1">W88</f>
        <v>-467162.76465966459</v>
      </c>
      <c r="Z8" s="8"/>
      <c r="AA8" s="8"/>
      <c r="AB8" s="8"/>
      <c r="AC8" s="8"/>
      <c r="AD8" s="8"/>
      <c r="AE8" s="8"/>
      <c r="AF8" s="8"/>
      <c r="AG8" s="8"/>
    </row>
    <row r="9" spans="2:35" x14ac:dyDescent="0.45">
      <c r="B9" s="8" t="s">
        <v>4</v>
      </c>
      <c r="C9" s="8"/>
      <c r="D9" s="42">
        <v>2000000</v>
      </c>
      <c r="E9" s="8"/>
      <c r="F9" s="8"/>
      <c r="G9" s="8"/>
      <c r="H9" s="8"/>
      <c r="I9" s="8"/>
      <c r="J9" s="8"/>
      <c r="K9" s="44" t="str">
        <f ca="1">OFFSET($K$9,0,K8)</f>
        <v>Stochastic</v>
      </c>
      <c r="L9" s="31" t="s">
        <v>61</v>
      </c>
      <c r="M9" s="31" t="s">
        <v>63</v>
      </c>
      <c r="S9" s="53"/>
      <c r="V9" s="8" t="s">
        <v>6</v>
      </c>
      <c r="X9" s="8"/>
      <c r="Y9" s="39">
        <f ca="1">AG88</f>
        <v>-177296.88873813953</v>
      </c>
      <c r="Z9" s="8"/>
      <c r="AA9" s="8"/>
      <c r="AB9" s="8"/>
      <c r="AC9" s="8"/>
      <c r="AD9" s="8"/>
      <c r="AE9" s="8"/>
      <c r="AF9" s="8"/>
      <c r="AG9" s="8"/>
    </row>
    <row r="10" spans="2:35" x14ac:dyDescent="0.45">
      <c r="B10" s="8"/>
      <c r="C10" s="8"/>
      <c r="D10" s="8"/>
      <c r="E10" s="8"/>
      <c r="F10" s="8"/>
      <c r="G10" s="8"/>
      <c r="H10" s="8" t="s">
        <v>5</v>
      </c>
      <c r="I10" s="8"/>
      <c r="J10" s="8"/>
      <c r="L10" s="43">
        <v>3.5999999999999997E-2</v>
      </c>
      <c r="M10" s="13">
        <v>4.3999999999999997E-2</v>
      </c>
      <c r="S10" s="59"/>
      <c r="V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I10" t="s">
        <v>42</v>
      </c>
    </row>
    <row r="11" spans="2:35" x14ac:dyDescent="0.45">
      <c r="B11" s="8" t="s">
        <v>8</v>
      </c>
      <c r="C11" s="8"/>
      <c r="D11" s="43">
        <v>0.8</v>
      </c>
      <c r="E11" s="8"/>
      <c r="F11" s="8"/>
      <c r="G11" s="8"/>
      <c r="M11" t="s">
        <v>75</v>
      </c>
      <c r="S11" s="53"/>
      <c r="Z11" s="8"/>
      <c r="AA11" s="8"/>
      <c r="AB11" s="8"/>
      <c r="AC11" s="8"/>
      <c r="AD11" s="8"/>
      <c r="AE11" s="8"/>
      <c r="AF11" s="8"/>
      <c r="AG11" s="8"/>
    </row>
    <row r="12" spans="2:35" x14ac:dyDescent="0.45">
      <c r="B12" s="8" t="s">
        <v>10</v>
      </c>
      <c r="C12" s="8"/>
      <c r="D12" s="12">
        <f>D9*D11</f>
        <v>1600000</v>
      </c>
      <c r="E12" s="8"/>
      <c r="F12" s="8"/>
      <c r="G12" s="8"/>
      <c r="H12" s="8" t="s">
        <v>7</v>
      </c>
      <c r="I12" s="8"/>
      <c r="J12" s="8"/>
      <c r="K12" s="43">
        <v>0.03</v>
      </c>
      <c r="L12" s="8"/>
      <c r="P12" s="8"/>
      <c r="S12" s="53"/>
      <c r="V12" s="8" t="s">
        <v>96</v>
      </c>
      <c r="Y12" s="1">
        <f ca="1">-SUM(D77:AG77)</f>
        <v>105613.79170749002</v>
      </c>
      <c r="Z12" s="8"/>
      <c r="AA12" s="8"/>
      <c r="AB12" s="8"/>
      <c r="AC12" s="8"/>
      <c r="AD12" s="8"/>
      <c r="AE12" s="8"/>
      <c r="AF12" s="8"/>
      <c r="AG12" s="8"/>
    </row>
    <row r="13" spans="2:35" x14ac:dyDescent="0.45">
      <c r="B13" s="8"/>
      <c r="C13" s="8"/>
      <c r="D13" s="12"/>
      <c r="E13" s="8"/>
      <c r="F13" s="8"/>
      <c r="G13" s="8"/>
      <c r="H13" s="8" t="s">
        <v>9</v>
      </c>
      <c r="I13" s="8"/>
      <c r="J13" s="8"/>
      <c r="K13" s="13">
        <v>7.4999999999999997E-3</v>
      </c>
      <c r="L13" s="8"/>
      <c r="M13" s="8"/>
      <c r="P13" s="8"/>
      <c r="S13" s="53"/>
      <c r="V13" s="8" t="s">
        <v>132</v>
      </c>
      <c r="X13" s="8"/>
      <c r="Y13" s="14">
        <f ca="1">C145</f>
        <v>6.0795123632330528E-2</v>
      </c>
      <c r="Z13" s="8"/>
      <c r="AA13" s="8"/>
      <c r="AB13" s="8"/>
      <c r="AC13" s="8"/>
      <c r="AD13" s="8"/>
      <c r="AE13" s="8"/>
      <c r="AF13" s="8"/>
      <c r="AG13" s="8"/>
    </row>
    <row r="14" spans="2:35" x14ac:dyDescent="0.45">
      <c r="B14" s="8"/>
      <c r="C14" s="8"/>
      <c r="D14" s="15">
        <v>2</v>
      </c>
      <c r="E14" s="8">
        <v>1</v>
      </c>
      <c r="F14" s="8">
        <v>2</v>
      </c>
      <c r="G14" s="8"/>
      <c r="H14" s="8" t="s">
        <v>11</v>
      </c>
      <c r="I14" s="8"/>
      <c r="J14" s="8"/>
      <c r="K14" s="43">
        <v>5.0000000000000001E-3</v>
      </c>
      <c r="L14" s="8"/>
      <c r="P14" s="8"/>
      <c r="S14" s="53"/>
      <c r="V14" s="8"/>
      <c r="X14" s="8"/>
      <c r="Y14" s="8"/>
      <c r="Z14" s="8"/>
      <c r="AA14" s="8"/>
      <c r="AB14" s="8"/>
      <c r="AC14" s="8"/>
      <c r="AD14" s="8"/>
      <c r="AE14" s="8"/>
      <c r="AF14" s="8"/>
      <c r="AG14" s="8"/>
    </row>
    <row r="15" spans="2:35" x14ac:dyDescent="0.45">
      <c r="B15" s="8" t="s">
        <v>14</v>
      </c>
      <c r="C15" s="8"/>
      <c r="D15" s="44">
        <f ca="1">OFFSET($D$15,0,D14)</f>
        <v>1300000</v>
      </c>
      <c r="E15" s="12">
        <f>D12</f>
        <v>1600000</v>
      </c>
      <c r="F15" s="12">
        <f>D12-D18*D19</f>
        <v>1300000</v>
      </c>
      <c r="G15" s="8"/>
      <c r="H15" s="8" t="s">
        <v>12</v>
      </c>
      <c r="I15" s="8"/>
      <c r="J15" s="8"/>
      <c r="K15" s="13">
        <v>2.5000000000000001E-3</v>
      </c>
      <c r="L15" s="8"/>
      <c r="P15" s="8"/>
      <c r="V15" s="8" t="s">
        <v>81</v>
      </c>
      <c r="Y15" s="14">
        <f ca="1">AH55</f>
        <v>9.5524984448970951E-2</v>
      </c>
      <c r="Z15" s="8"/>
      <c r="AA15" s="8"/>
      <c r="AB15" s="8"/>
      <c r="AC15" s="8"/>
      <c r="AD15" s="8"/>
      <c r="AE15" s="8"/>
      <c r="AF15" s="8"/>
      <c r="AG15" s="8"/>
    </row>
    <row r="16" spans="2:35" x14ac:dyDescent="0.45">
      <c r="B16" s="8"/>
      <c r="C16" s="8"/>
      <c r="D16" s="8"/>
      <c r="E16" s="8"/>
      <c r="F16" s="8"/>
      <c r="G16" s="8"/>
      <c r="H16" s="11" t="s">
        <v>13</v>
      </c>
      <c r="I16" s="11"/>
      <c r="J16" s="8"/>
      <c r="K16" s="62">
        <f>SUM(K10:K15)</f>
        <v>4.4999999999999998E-2</v>
      </c>
      <c r="L16" s="8"/>
      <c r="P16" s="8"/>
      <c r="V16" s="8" t="s">
        <v>82</v>
      </c>
      <c r="Y16" s="14">
        <f ca="1">AH56</f>
        <v>9.0552516700804109E-2</v>
      </c>
      <c r="Z16" s="8"/>
      <c r="AA16" s="8"/>
      <c r="AB16" s="8"/>
      <c r="AC16" s="8"/>
      <c r="AD16" s="8"/>
      <c r="AE16" s="8"/>
      <c r="AF16" s="8"/>
      <c r="AG16" s="8"/>
    </row>
    <row r="17" spans="2:33" x14ac:dyDescent="0.45">
      <c r="B17" s="8" t="s">
        <v>15</v>
      </c>
      <c r="C17" s="8"/>
      <c r="D17" s="39">
        <v>30</v>
      </c>
      <c r="E17" s="8" t="s">
        <v>16</v>
      </c>
      <c r="F17" s="8"/>
      <c r="G17" s="8"/>
      <c r="H17" s="8" t="s">
        <v>43</v>
      </c>
      <c r="I17" s="8"/>
      <c r="J17" s="8"/>
      <c r="K17" s="16">
        <v>2.5000000000000001E-3</v>
      </c>
      <c r="L17" s="8"/>
      <c r="M17" s="8"/>
      <c r="N17" s="8"/>
      <c r="O17" s="8"/>
      <c r="P17" s="8"/>
      <c r="V17" s="8" t="s">
        <v>83</v>
      </c>
      <c r="W17" s="8"/>
      <c r="X17" s="8"/>
      <c r="Y17" s="14">
        <f ca="1">Y16-K14</f>
        <v>8.5552516700804104E-2</v>
      </c>
      <c r="Z17" s="8"/>
      <c r="AA17" s="8"/>
      <c r="AB17" s="8"/>
      <c r="AC17" s="8"/>
      <c r="AD17" s="8"/>
      <c r="AE17" s="8"/>
      <c r="AF17" s="8"/>
      <c r="AG17" s="8"/>
    </row>
    <row r="18" spans="2:33" x14ac:dyDescent="0.45">
      <c r="B18" s="8" t="s">
        <v>17</v>
      </c>
      <c r="C18" s="8"/>
      <c r="D18" s="39">
        <v>30000</v>
      </c>
      <c r="E18" s="14">
        <f>D18/D9</f>
        <v>1.4999999999999999E-2</v>
      </c>
      <c r="F18" s="8"/>
      <c r="G18" s="8"/>
      <c r="L18" s="8"/>
      <c r="M18" s="8"/>
      <c r="N18" s="8"/>
      <c r="O18" s="8"/>
      <c r="P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</row>
    <row r="19" spans="2:33" x14ac:dyDescent="0.45">
      <c r="B19" s="8" t="s">
        <v>18</v>
      </c>
      <c r="C19" s="8"/>
      <c r="D19" s="40">
        <v>10</v>
      </c>
      <c r="E19" s="8" t="s">
        <v>16</v>
      </c>
      <c r="F19" s="8"/>
      <c r="G19" s="8"/>
      <c r="H19" s="8"/>
      <c r="I19" s="8"/>
      <c r="J19" s="8"/>
      <c r="K19" s="15">
        <v>4</v>
      </c>
      <c r="L19">
        <v>1</v>
      </c>
      <c r="M19">
        <v>2</v>
      </c>
      <c r="N19">
        <v>3</v>
      </c>
      <c r="O19" s="8">
        <v>4</v>
      </c>
      <c r="P19" s="8"/>
      <c r="V19" s="11" t="s">
        <v>69</v>
      </c>
      <c r="Y19" s="8"/>
      <c r="Z19" s="8"/>
      <c r="AA19" s="8"/>
      <c r="AB19" s="8"/>
      <c r="AC19" s="8"/>
      <c r="AD19" s="8"/>
      <c r="AE19" s="8"/>
      <c r="AF19" s="8"/>
      <c r="AG19" s="8"/>
    </row>
    <row r="20" spans="2:33" x14ac:dyDescent="0.45">
      <c r="B20" s="8"/>
      <c r="C20" s="8"/>
      <c r="D20" s="8"/>
      <c r="E20" s="8"/>
      <c r="F20" s="8"/>
      <c r="G20" s="8"/>
      <c r="H20" s="8" t="s">
        <v>91</v>
      </c>
      <c r="I20" s="8"/>
      <c r="J20" s="8"/>
      <c r="K20" s="44" t="str">
        <f ca="1">OFFSET($K$20,0,K19)</f>
        <v>Brownian</v>
      </c>
      <c r="L20" s="31" t="s">
        <v>61</v>
      </c>
      <c r="M20" s="31" t="s">
        <v>62</v>
      </c>
      <c r="N20" s="31" t="s">
        <v>63</v>
      </c>
      <c r="O20" s="8" t="s">
        <v>103</v>
      </c>
      <c r="P20" s="8"/>
      <c r="V20" s="8" t="s">
        <v>70</v>
      </c>
      <c r="X20" s="46">
        <v>1.4</v>
      </c>
      <c r="Y20" s="8"/>
      <c r="Z20" s="8"/>
      <c r="AA20" s="8"/>
      <c r="AB20" s="8"/>
      <c r="AC20" s="8"/>
      <c r="AD20" s="8"/>
      <c r="AE20" s="8"/>
      <c r="AF20" s="8"/>
      <c r="AG20" s="8"/>
    </row>
    <row r="21" spans="2:33" x14ac:dyDescent="0.45">
      <c r="B21" s="8"/>
      <c r="C21" s="8"/>
      <c r="D21" s="8"/>
      <c r="E21" s="8"/>
      <c r="F21" s="8"/>
      <c r="G21" s="8"/>
      <c r="H21" s="41" t="s">
        <v>97</v>
      </c>
      <c r="I21" s="8"/>
      <c r="J21" s="8"/>
      <c r="K21" s="8"/>
      <c r="L21" s="43">
        <v>0.1</v>
      </c>
      <c r="M21" s="8"/>
      <c r="N21" s="43">
        <v>0.12</v>
      </c>
      <c r="O21" s="3">
        <v>0.12</v>
      </c>
      <c r="P21" s="8"/>
      <c r="V21" s="8" t="s">
        <v>71</v>
      </c>
      <c r="X21" s="46">
        <v>0.8</v>
      </c>
      <c r="Y21" s="8"/>
      <c r="Z21" s="8"/>
      <c r="AA21" s="8"/>
      <c r="AB21" s="8"/>
      <c r="AC21" s="8"/>
      <c r="AD21" s="8"/>
      <c r="AE21" s="8"/>
      <c r="AF21" s="8"/>
      <c r="AG21" s="8"/>
    </row>
    <row r="22" spans="2:33" x14ac:dyDescent="0.45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 t="s">
        <v>64</v>
      </c>
      <c r="O22" s="8" t="s">
        <v>64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</row>
    <row r="23" spans="2:33" x14ac:dyDescent="0.45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</row>
    <row r="24" spans="2:33" x14ac:dyDescent="0.45">
      <c r="B24" s="11" t="s">
        <v>19</v>
      </c>
      <c r="C24" s="11">
        <v>0</v>
      </c>
      <c r="D24" s="11">
        <v>1</v>
      </c>
      <c r="E24" s="11">
        <v>2</v>
      </c>
      <c r="F24" s="11">
        <v>3</v>
      </c>
      <c r="G24" s="11">
        <v>4</v>
      </c>
      <c r="H24" s="11">
        <v>5</v>
      </c>
      <c r="I24" s="11">
        <v>6</v>
      </c>
      <c r="J24" s="11">
        <v>7</v>
      </c>
      <c r="K24" s="11">
        <v>8</v>
      </c>
      <c r="L24" s="11">
        <v>9</v>
      </c>
      <c r="M24" s="11">
        <v>10</v>
      </c>
      <c r="N24" s="11">
        <v>11</v>
      </c>
      <c r="O24" s="11">
        <v>12</v>
      </c>
      <c r="P24" s="11">
        <v>13</v>
      </c>
      <c r="Q24" s="11">
        <v>14</v>
      </c>
      <c r="R24" s="11">
        <v>15</v>
      </c>
      <c r="S24" s="11">
        <v>16</v>
      </c>
      <c r="T24" s="11">
        <v>17</v>
      </c>
      <c r="U24" s="11">
        <v>18</v>
      </c>
      <c r="V24" s="11">
        <v>19</v>
      </c>
      <c r="W24" s="11">
        <v>20</v>
      </c>
      <c r="X24" s="11">
        <v>21</v>
      </c>
      <c r="Y24" s="11">
        <v>22</v>
      </c>
      <c r="Z24" s="11">
        <v>23</v>
      </c>
      <c r="AA24" s="11">
        <v>24</v>
      </c>
      <c r="AB24" s="11">
        <v>25</v>
      </c>
      <c r="AC24" s="11">
        <v>26</v>
      </c>
      <c r="AD24" s="11">
        <v>27</v>
      </c>
      <c r="AE24" s="11">
        <v>28</v>
      </c>
      <c r="AF24" s="11">
        <v>29</v>
      </c>
      <c r="AG24" s="11">
        <v>30</v>
      </c>
    </row>
    <row r="25" spans="2:33" x14ac:dyDescent="0.45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</row>
    <row r="26" spans="2:33" x14ac:dyDescent="0.45">
      <c r="B26" s="18" t="s">
        <v>127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</row>
    <row r="27" spans="2:33" x14ac:dyDescent="0.45">
      <c r="B27" s="19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</row>
    <row r="28" spans="2:33" x14ac:dyDescent="0.45">
      <c r="B28" s="8" t="s">
        <v>20</v>
      </c>
      <c r="C28" s="50">
        <v>0</v>
      </c>
      <c r="D28" s="12">
        <f ca="1">C32</f>
        <v>1300000</v>
      </c>
      <c r="E28" s="12">
        <f t="shared" ref="E28:AG28" ca="1" si="0">D32</f>
        <v>1330000</v>
      </c>
      <c r="F28" s="12">
        <f t="shared" ca="1" si="0"/>
        <v>1360000</v>
      </c>
      <c r="G28" s="12">
        <f t="shared" ca="1" si="0"/>
        <v>1390000</v>
      </c>
      <c r="H28" s="12">
        <f t="shared" ca="1" si="0"/>
        <v>1420000</v>
      </c>
      <c r="I28" s="12">
        <f t="shared" ca="1" si="0"/>
        <v>1450000</v>
      </c>
      <c r="J28" s="12">
        <f t="shared" ca="1" si="0"/>
        <v>1480000</v>
      </c>
      <c r="K28" s="12">
        <f ca="1">J32</f>
        <v>1510000</v>
      </c>
      <c r="L28" s="12">
        <f ca="1">K32</f>
        <v>1540000</v>
      </c>
      <c r="M28" s="12">
        <f t="shared" ca="1" si="0"/>
        <v>1570000</v>
      </c>
      <c r="N28" s="12">
        <f t="shared" ca="1" si="0"/>
        <v>1600000</v>
      </c>
      <c r="O28" s="12">
        <f t="shared" ca="1" si="0"/>
        <v>1600000</v>
      </c>
      <c r="P28" s="12">
        <f t="shared" ca="1" si="0"/>
        <v>1600000</v>
      </c>
      <c r="Q28" s="12">
        <f t="shared" ca="1" si="0"/>
        <v>1600000</v>
      </c>
      <c r="R28" s="12">
        <f t="shared" ca="1" si="0"/>
        <v>1600000</v>
      </c>
      <c r="S28" s="12">
        <f t="shared" ca="1" si="0"/>
        <v>1600000</v>
      </c>
      <c r="T28" s="12">
        <f t="shared" ca="1" si="0"/>
        <v>1600000</v>
      </c>
      <c r="U28" s="12">
        <f t="shared" ca="1" si="0"/>
        <v>1600000</v>
      </c>
      <c r="V28" s="12">
        <f t="shared" ca="1" si="0"/>
        <v>1600000</v>
      </c>
      <c r="W28" s="12">
        <f t="shared" ca="1" si="0"/>
        <v>1600000</v>
      </c>
      <c r="X28" s="12">
        <f t="shared" ca="1" si="0"/>
        <v>1600000</v>
      </c>
      <c r="Y28" s="12">
        <f t="shared" ca="1" si="0"/>
        <v>1600000</v>
      </c>
      <c r="Z28" s="12">
        <f t="shared" ca="1" si="0"/>
        <v>1600000</v>
      </c>
      <c r="AA28" s="12">
        <f t="shared" ca="1" si="0"/>
        <v>1600000</v>
      </c>
      <c r="AB28" s="12">
        <f t="shared" ca="1" si="0"/>
        <v>1600000</v>
      </c>
      <c r="AC28" s="12">
        <f t="shared" ca="1" si="0"/>
        <v>1600000</v>
      </c>
      <c r="AD28" s="12">
        <f t="shared" ca="1" si="0"/>
        <v>1600000</v>
      </c>
      <c r="AE28" s="12">
        <f t="shared" ca="1" si="0"/>
        <v>1600000</v>
      </c>
      <c r="AF28" s="12">
        <f t="shared" ca="1" si="0"/>
        <v>1600000</v>
      </c>
      <c r="AG28" s="12">
        <f t="shared" ca="1" si="0"/>
        <v>1600000</v>
      </c>
    </row>
    <row r="29" spans="2:33" x14ac:dyDescent="0.45">
      <c r="B29" s="8" t="s">
        <v>21</v>
      </c>
      <c r="C29" s="22">
        <f ca="1">D15</f>
        <v>1300000</v>
      </c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</row>
    <row r="30" spans="2:33" x14ac:dyDescent="0.45">
      <c r="B30" s="8" t="s">
        <v>22</v>
      </c>
      <c r="C30" s="48"/>
      <c r="D30" s="12">
        <f t="shared" ref="D30:AG30" ca="1" si="1">IF(D28&lt;$D$12,MIN($D$18,$D$12-D28))*(D24&lt;=$D$19)</f>
        <v>30000</v>
      </c>
      <c r="E30" s="12">
        <f t="shared" ca="1" si="1"/>
        <v>30000</v>
      </c>
      <c r="F30" s="12">
        <f t="shared" ca="1" si="1"/>
        <v>30000</v>
      </c>
      <c r="G30" s="12">
        <f t="shared" ca="1" si="1"/>
        <v>30000</v>
      </c>
      <c r="H30" s="12">
        <f t="shared" ca="1" si="1"/>
        <v>30000</v>
      </c>
      <c r="I30" s="12">
        <f t="shared" ca="1" si="1"/>
        <v>30000</v>
      </c>
      <c r="J30" s="12">
        <f t="shared" ca="1" si="1"/>
        <v>30000</v>
      </c>
      <c r="K30" s="12">
        <f t="shared" ca="1" si="1"/>
        <v>30000</v>
      </c>
      <c r="L30" s="12">
        <f t="shared" ca="1" si="1"/>
        <v>30000</v>
      </c>
      <c r="M30" s="12">
        <f t="shared" ca="1" si="1"/>
        <v>30000</v>
      </c>
      <c r="N30" s="12">
        <f t="shared" ca="1" si="1"/>
        <v>0</v>
      </c>
      <c r="O30" s="12">
        <f t="shared" ca="1" si="1"/>
        <v>0</v>
      </c>
      <c r="P30" s="12">
        <f t="shared" ca="1" si="1"/>
        <v>0</v>
      </c>
      <c r="Q30" s="12">
        <f t="shared" ca="1" si="1"/>
        <v>0</v>
      </c>
      <c r="R30" s="12">
        <f t="shared" ca="1" si="1"/>
        <v>0</v>
      </c>
      <c r="S30" s="12">
        <f t="shared" ca="1" si="1"/>
        <v>0</v>
      </c>
      <c r="T30" s="12">
        <f t="shared" ca="1" si="1"/>
        <v>0</v>
      </c>
      <c r="U30" s="12">
        <f t="shared" ca="1" si="1"/>
        <v>0</v>
      </c>
      <c r="V30" s="12">
        <f t="shared" ca="1" si="1"/>
        <v>0</v>
      </c>
      <c r="W30" s="12">
        <f t="shared" ca="1" si="1"/>
        <v>0</v>
      </c>
      <c r="X30" s="12">
        <f t="shared" ca="1" si="1"/>
        <v>0</v>
      </c>
      <c r="Y30" s="12">
        <f t="shared" ca="1" si="1"/>
        <v>0</v>
      </c>
      <c r="Z30" s="12">
        <f t="shared" ca="1" si="1"/>
        <v>0</v>
      </c>
      <c r="AA30" s="12">
        <f t="shared" ca="1" si="1"/>
        <v>0</v>
      </c>
      <c r="AB30" s="12">
        <f t="shared" ca="1" si="1"/>
        <v>0</v>
      </c>
      <c r="AC30" s="12">
        <f t="shared" ca="1" si="1"/>
        <v>0</v>
      </c>
      <c r="AD30" s="12">
        <f t="shared" ca="1" si="1"/>
        <v>0</v>
      </c>
      <c r="AE30" s="12">
        <f t="shared" ca="1" si="1"/>
        <v>0</v>
      </c>
      <c r="AF30" s="12">
        <f t="shared" ca="1" si="1"/>
        <v>0</v>
      </c>
      <c r="AG30" s="12">
        <f t="shared" ca="1" si="1"/>
        <v>0</v>
      </c>
    </row>
    <row r="31" spans="2:33" x14ac:dyDescent="0.45">
      <c r="B31" s="8" t="s">
        <v>35</v>
      </c>
      <c r="C31" s="12">
        <f ca="1">(C24=$D$17)*-SUM(C28:C30)</f>
        <v>0</v>
      </c>
      <c r="D31" s="12">
        <f t="shared" ref="D31:AG31" ca="1" si="2">(D24=$D$17)*-SUM(D28:D30)</f>
        <v>0</v>
      </c>
      <c r="E31" s="12">
        <f t="shared" ca="1" si="2"/>
        <v>0</v>
      </c>
      <c r="F31" s="12">
        <f t="shared" ca="1" si="2"/>
        <v>0</v>
      </c>
      <c r="G31" s="12">
        <f t="shared" ca="1" si="2"/>
        <v>0</v>
      </c>
      <c r="H31" s="12">
        <f t="shared" ca="1" si="2"/>
        <v>0</v>
      </c>
      <c r="I31" s="12">
        <f t="shared" ca="1" si="2"/>
        <v>0</v>
      </c>
      <c r="J31" s="12">
        <f t="shared" ca="1" si="2"/>
        <v>0</v>
      </c>
      <c r="K31" s="12">
        <f t="shared" ca="1" si="2"/>
        <v>0</v>
      </c>
      <c r="L31" s="12">
        <f t="shared" ca="1" si="2"/>
        <v>0</v>
      </c>
      <c r="M31" s="12">
        <f t="shared" ca="1" si="2"/>
        <v>0</v>
      </c>
      <c r="N31" s="12">
        <f t="shared" ca="1" si="2"/>
        <v>0</v>
      </c>
      <c r="O31" s="12">
        <f t="shared" ca="1" si="2"/>
        <v>0</v>
      </c>
      <c r="P31" s="12">
        <f t="shared" ca="1" si="2"/>
        <v>0</v>
      </c>
      <c r="Q31" s="12">
        <f t="shared" ca="1" si="2"/>
        <v>0</v>
      </c>
      <c r="R31" s="12">
        <f t="shared" ca="1" si="2"/>
        <v>0</v>
      </c>
      <c r="S31" s="12">
        <f t="shared" ca="1" si="2"/>
        <v>0</v>
      </c>
      <c r="T31" s="12">
        <f t="shared" ca="1" si="2"/>
        <v>0</v>
      </c>
      <c r="U31" s="12">
        <f t="shared" ca="1" si="2"/>
        <v>0</v>
      </c>
      <c r="V31" s="12">
        <f t="shared" ca="1" si="2"/>
        <v>0</v>
      </c>
      <c r="W31" s="12">
        <f t="shared" ca="1" si="2"/>
        <v>0</v>
      </c>
      <c r="X31" s="12">
        <f t="shared" ca="1" si="2"/>
        <v>0</v>
      </c>
      <c r="Y31" s="12">
        <f t="shared" ca="1" si="2"/>
        <v>0</v>
      </c>
      <c r="Z31" s="12">
        <f t="shared" ca="1" si="2"/>
        <v>0</v>
      </c>
      <c r="AA31" s="12">
        <f t="shared" ca="1" si="2"/>
        <v>0</v>
      </c>
      <c r="AB31" s="12">
        <f t="shared" ca="1" si="2"/>
        <v>0</v>
      </c>
      <c r="AC31" s="12">
        <f t="shared" ca="1" si="2"/>
        <v>0</v>
      </c>
      <c r="AD31" s="12">
        <f t="shared" ca="1" si="2"/>
        <v>0</v>
      </c>
      <c r="AE31" s="12">
        <f t="shared" ca="1" si="2"/>
        <v>0</v>
      </c>
      <c r="AF31" s="12">
        <f t="shared" ca="1" si="2"/>
        <v>0</v>
      </c>
      <c r="AG31" s="12">
        <f t="shared" ca="1" si="2"/>
        <v>-1600000</v>
      </c>
    </row>
    <row r="32" spans="2:33" x14ac:dyDescent="0.45">
      <c r="B32" s="20" t="s">
        <v>23</v>
      </c>
      <c r="C32" s="21">
        <f ca="1">SUM(C28:C31)</f>
        <v>1300000</v>
      </c>
      <c r="D32" s="21">
        <f t="shared" ref="D32:AG32" ca="1" si="3">SUM(D28:D31)</f>
        <v>1330000</v>
      </c>
      <c r="E32" s="21">
        <f t="shared" ca="1" si="3"/>
        <v>1360000</v>
      </c>
      <c r="F32" s="21">
        <f t="shared" ca="1" si="3"/>
        <v>1390000</v>
      </c>
      <c r="G32" s="21">
        <f t="shared" ca="1" si="3"/>
        <v>1420000</v>
      </c>
      <c r="H32" s="21">
        <f t="shared" ca="1" si="3"/>
        <v>1450000</v>
      </c>
      <c r="I32" s="21">
        <f t="shared" ca="1" si="3"/>
        <v>1480000</v>
      </c>
      <c r="J32" s="21">
        <f t="shared" ca="1" si="3"/>
        <v>1510000</v>
      </c>
      <c r="K32" s="21">
        <f t="shared" ca="1" si="3"/>
        <v>1540000</v>
      </c>
      <c r="L32" s="21">
        <f t="shared" ca="1" si="3"/>
        <v>1570000</v>
      </c>
      <c r="M32" s="21">
        <f t="shared" ca="1" si="3"/>
        <v>1600000</v>
      </c>
      <c r="N32" s="21">
        <f t="shared" ca="1" si="3"/>
        <v>1600000</v>
      </c>
      <c r="O32" s="21">
        <f t="shared" ca="1" si="3"/>
        <v>1600000</v>
      </c>
      <c r="P32" s="21">
        <f t="shared" ca="1" si="3"/>
        <v>1600000</v>
      </c>
      <c r="Q32" s="21">
        <f t="shared" ca="1" si="3"/>
        <v>1600000</v>
      </c>
      <c r="R32" s="21">
        <f t="shared" ca="1" si="3"/>
        <v>1600000</v>
      </c>
      <c r="S32" s="21">
        <f t="shared" ca="1" si="3"/>
        <v>1600000</v>
      </c>
      <c r="T32" s="21">
        <f t="shared" ca="1" si="3"/>
        <v>1600000</v>
      </c>
      <c r="U32" s="21">
        <f t="shared" ca="1" si="3"/>
        <v>1600000</v>
      </c>
      <c r="V32" s="21">
        <f t="shared" ca="1" si="3"/>
        <v>1600000</v>
      </c>
      <c r="W32" s="21">
        <f t="shared" ca="1" si="3"/>
        <v>1600000</v>
      </c>
      <c r="X32" s="21">
        <f t="shared" ca="1" si="3"/>
        <v>1600000</v>
      </c>
      <c r="Y32" s="21">
        <f t="shared" ca="1" si="3"/>
        <v>1600000</v>
      </c>
      <c r="Z32" s="21">
        <f t="shared" ca="1" si="3"/>
        <v>1600000</v>
      </c>
      <c r="AA32" s="21">
        <f t="shared" ca="1" si="3"/>
        <v>1600000</v>
      </c>
      <c r="AB32" s="21">
        <f t="shared" ca="1" si="3"/>
        <v>1600000</v>
      </c>
      <c r="AC32" s="21">
        <f t="shared" ca="1" si="3"/>
        <v>1600000</v>
      </c>
      <c r="AD32" s="21">
        <f t="shared" ca="1" si="3"/>
        <v>1600000</v>
      </c>
      <c r="AE32" s="21">
        <f t="shared" ca="1" si="3"/>
        <v>1600000</v>
      </c>
      <c r="AF32" s="21">
        <f t="shared" ca="1" si="3"/>
        <v>1600000</v>
      </c>
      <c r="AG32" s="21">
        <f t="shared" ca="1" si="3"/>
        <v>0</v>
      </c>
    </row>
    <row r="33" spans="2:33" x14ac:dyDescent="0.45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</row>
    <row r="34" spans="2:33" x14ac:dyDescent="0.45">
      <c r="B34" s="18" t="s">
        <v>24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</row>
    <row r="35" spans="2:33" x14ac:dyDescent="0.45">
      <c r="B35" s="19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</row>
    <row r="36" spans="2:33" x14ac:dyDescent="0.45">
      <c r="B36" s="8" t="s">
        <v>20</v>
      </c>
      <c r="C36" s="22">
        <v>0</v>
      </c>
      <c r="D36" s="12">
        <f>C39</f>
        <v>0</v>
      </c>
      <c r="E36" s="12">
        <f t="shared" ref="E36:AG36" si="4">D39</f>
        <v>30000</v>
      </c>
      <c r="F36" s="12">
        <f t="shared" si="4"/>
        <v>60000</v>
      </c>
      <c r="G36" s="12">
        <f t="shared" si="4"/>
        <v>90000</v>
      </c>
      <c r="H36" s="12">
        <f t="shared" si="4"/>
        <v>120000</v>
      </c>
      <c r="I36" s="12">
        <f t="shared" si="4"/>
        <v>150000</v>
      </c>
      <c r="J36" s="12">
        <f t="shared" si="4"/>
        <v>180000</v>
      </c>
      <c r="K36" s="12">
        <f>J39</f>
        <v>210000</v>
      </c>
      <c r="L36" s="12">
        <f>K39</f>
        <v>240000</v>
      </c>
      <c r="M36" s="12">
        <f t="shared" si="4"/>
        <v>270000</v>
      </c>
      <c r="N36" s="12">
        <f t="shared" si="4"/>
        <v>300000</v>
      </c>
      <c r="O36" s="12">
        <f t="shared" si="4"/>
        <v>300000</v>
      </c>
      <c r="P36" s="12">
        <f t="shared" si="4"/>
        <v>300000</v>
      </c>
      <c r="Q36" s="12">
        <f t="shared" si="4"/>
        <v>300000</v>
      </c>
      <c r="R36" s="12">
        <f t="shared" si="4"/>
        <v>300000</v>
      </c>
      <c r="S36" s="12">
        <f t="shared" si="4"/>
        <v>300000</v>
      </c>
      <c r="T36" s="12">
        <f t="shared" si="4"/>
        <v>300000</v>
      </c>
      <c r="U36" s="12">
        <f t="shared" si="4"/>
        <v>300000</v>
      </c>
      <c r="V36" s="12">
        <f t="shared" si="4"/>
        <v>300000</v>
      </c>
      <c r="W36" s="12">
        <f t="shared" si="4"/>
        <v>300000</v>
      </c>
      <c r="X36" s="12">
        <f t="shared" si="4"/>
        <v>300000</v>
      </c>
      <c r="Y36" s="12">
        <f t="shared" si="4"/>
        <v>300000</v>
      </c>
      <c r="Z36" s="12">
        <f t="shared" si="4"/>
        <v>300000</v>
      </c>
      <c r="AA36" s="12">
        <f t="shared" si="4"/>
        <v>300000</v>
      </c>
      <c r="AB36" s="12">
        <f t="shared" si="4"/>
        <v>300000</v>
      </c>
      <c r="AC36" s="12">
        <f t="shared" si="4"/>
        <v>300000</v>
      </c>
      <c r="AD36" s="12">
        <f t="shared" si="4"/>
        <v>300000</v>
      </c>
      <c r="AE36" s="12">
        <f t="shared" si="4"/>
        <v>300000</v>
      </c>
      <c r="AF36" s="12">
        <f t="shared" si="4"/>
        <v>300000</v>
      </c>
      <c r="AG36" s="12">
        <f t="shared" si="4"/>
        <v>300000</v>
      </c>
    </row>
    <row r="37" spans="2:33" x14ac:dyDescent="0.45">
      <c r="B37" s="8" t="s">
        <v>25</v>
      </c>
      <c r="C37" s="48"/>
      <c r="D37" s="12">
        <f t="shared" ref="D37:AG37" si="5">$D$18*(D24&lt;=$D$19)</f>
        <v>30000</v>
      </c>
      <c r="E37" s="12">
        <f t="shared" si="5"/>
        <v>30000</v>
      </c>
      <c r="F37" s="12">
        <f t="shared" si="5"/>
        <v>30000</v>
      </c>
      <c r="G37" s="12">
        <f t="shared" si="5"/>
        <v>30000</v>
      </c>
      <c r="H37" s="12">
        <f t="shared" si="5"/>
        <v>30000</v>
      </c>
      <c r="I37" s="12">
        <f t="shared" si="5"/>
        <v>30000</v>
      </c>
      <c r="J37" s="12">
        <f t="shared" si="5"/>
        <v>30000</v>
      </c>
      <c r="K37" s="12">
        <f t="shared" si="5"/>
        <v>30000</v>
      </c>
      <c r="L37" s="12">
        <f t="shared" si="5"/>
        <v>30000</v>
      </c>
      <c r="M37" s="12">
        <f t="shared" si="5"/>
        <v>30000</v>
      </c>
      <c r="N37" s="12">
        <f t="shared" si="5"/>
        <v>0</v>
      </c>
      <c r="O37" s="12">
        <f t="shared" si="5"/>
        <v>0</v>
      </c>
      <c r="P37" s="12">
        <f t="shared" si="5"/>
        <v>0</v>
      </c>
      <c r="Q37" s="12">
        <f t="shared" si="5"/>
        <v>0</v>
      </c>
      <c r="R37" s="12">
        <f t="shared" si="5"/>
        <v>0</v>
      </c>
      <c r="S37" s="12">
        <f t="shared" si="5"/>
        <v>0</v>
      </c>
      <c r="T37" s="12">
        <f t="shared" si="5"/>
        <v>0</v>
      </c>
      <c r="U37" s="12">
        <f t="shared" si="5"/>
        <v>0</v>
      </c>
      <c r="V37" s="12">
        <f t="shared" si="5"/>
        <v>0</v>
      </c>
      <c r="W37" s="12">
        <f t="shared" si="5"/>
        <v>0</v>
      </c>
      <c r="X37" s="12">
        <f t="shared" si="5"/>
        <v>0</v>
      </c>
      <c r="Y37" s="12">
        <f t="shared" si="5"/>
        <v>0</v>
      </c>
      <c r="Z37" s="12">
        <f t="shared" si="5"/>
        <v>0</v>
      </c>
      <c r="AA37" s="12">
        <f t="shared" si="5"/>
        <v>0</v>
      </c>
      <c r="AB37" s="12">
        <f t="shared" si="5"/>
        <v>0</v>
      </c>
      <c r="AC37" s="12">
        <f t="shared" si="5"/>
        <v>0</v>
      </c>
      <c r="AD37" s="12">
        <f t="shared" si="5"/>
        <v>0</v>
      </c>
      <c r="AE37" s="12">
        <f t="shared" si="5"/>
        <v>0</v>
      </c>
      <c r="AF37" s="12">
        <f t="shared" si="5"/>
        <v>0</v>
      </c>
      <c r="AG37" s="12">
        <f t="shared" si="5"/>
        <v>0</v>
      </c>
    </row>
    <row r="38" spans="2:33" x14ac:dyDescent="0.45">
      <c r="B38" s="8" t="s">
        <v>35</v>
      </c>
      <c r="C38" s="12">
        <f>(C24=$D$17)*-SUM(C36:C37)</f>
        <v>0</v>
      </c>
      <c r="D38" s="12">
        <f t="shared" ref="D38:AG38" si="6">(D24=$D$17)*-SUM(D36:D37)</f>
        <v>0</v>
      </c>
      <c r="E38" s="12">
        <f t="shared" si="6"/>
        <v>0</v>
      </c>
      <c r="F38" s="12">
        <f t="shared" si="6"/>
        <v>0</v>
      </c>
      <c r="G38" s="12">
        <f t="shared" si="6"/>
        <v>0</v>
      </c>
      <c r="H38" s="12">
        <f t="shared" si="6"/>
        <v>0</v>
      </c>
      <c r="I38" s="12">
        <f t="shared" si="6"/>
        <v>0</v>
      </c>
      <c r="J38" s="12">
        <f t="shared" si="6"/>
        <v>0</v>
      </c>
      <c r="K38" s="12">
        <f t="shared" si="6"/>
        <v>0</v>
      </c>
      <c r="L38" s="12">
        <f t="shared" si="6"/>
        <v>0</v>
      </c>
      <c r="M38" s="12">
        <f t="shared" si="6"/>
        <v>0</v>
      </c>
      <c r="N38" s="12">
        <f t="shared" si="6"/>
        <v>0</v>
      </c>
      <c r="O38" s="12">
        <f t="shared" si="6"/>
        <v>0</v>
      </c>
      <c r="P38" s="12">
        <f t="shared" si="6"/>
        <v>0</v>
      </c>
      <c r="Q38" s="12">
        <f t="shared" si="6"/>
        <v>0</v>
      </c>
      <c r="R38" s="12">
        <f t="shared" si="6"/>
        <v>0</v>
      </c>
      <c r="S38" s="12">
        <f t="shared" si="6"/>
        <v>0</v>
      </c>
      <c r="T38" s="12">
        <f t="shared" si="6"/>
        <v>0</v>
      </c>
      <c r="U38" s="12">
        <f t="shared" si="6"/>
        <v>0</v>
      </c>
      <c r="V38" s="12">
        <f t="shared" si="6"/>
        <v>0</v>
      </c>
      <c r="W38" s="12">
        <f t="shared" si="6"/>
        <v>0</v>
      </c>
      <c r="X38" s="12">
        <f t="shared" si="6"/>
        <v>0</v>
      </c>
      <c r="Y38" s="12">
        <f t="shared" si="6"/>
        <v>0</v>
      </c>
      <c r="Z38" s="12">
        <f t="shared" si="6"/>
        <v>0</v>
      </c>
      <c r="AA38" s="12">
        <f t="shared" si="6"/>
        <v>0</v>
      </c>
      <c r="AB38" s="12">
        <f t="shared" si="6"/>
        <v>0</v>
      </c>
      <c r="AC38" s="12">
        <f t="shared" si="6"/>
        <v>0</v>
      </c>
      <c r="AD38" s="12">
        <f t="shared" si="6"/>
        <v>0</v>
      </c>
      <c r="AE38" s="12">
        <f t="shared" si="6"/>
        <v>0</v>
      </c>
      <c r="AF38" s="12">
        <f t="shared" si="6"/>
        <v>0</v>
      </c>
      <c r="AG38" s="12">
        <f t="shared" si="6"/>
        <v>-300000</v>
      </c>
    </row>
    <row r="39" spans="2:33" x14ac:dyDescent="0.45">
      <c r="B39" s="20" t="s">
        <v>23</v>
      </c>
      <c r="C39" s="21">
        <f>SUM(C36:C38)</f>
        <v>0</v>
      </c>
      <c r="D39" s="21">
        <f t="shared" ref="D39:AG39" si="7">SUM(D36:D38)</f>
        <v>30000</v>
      </c>
      <c r="E39" s="21">
        <f t="shared" si="7"/>
        <v>60000</v>
      </c>
      <c r="F39" s="21">
        <f t="shared" si="7"/>
        <v>90000</v>
      </c>
      <c r="G39" s="21">
        <f t="shared" si="7"/>
        <v>120000</v>
      </c>
      <c r="H39" s="21">
        <f t="shared" si="7"/>
        <v>150000</v>
      </c>
      <c r="I39" s="21">
        <f t="shared" si="7"/>
        <v>180000</v>
      </c>
      <c r="J39" s="21">
        <f t="shared" si="7"/>
        <v>210000</v>
      </c>
      <c r="K39" s="21">
        <f t="shared" si="7"/>
        <v>240000</v>
      </c>
      <c r="L39" s="21">
        <f t="shared" si="7"/>
        <v>270000</v>
      </c>
      <c r="M39" s="21">
        <f t="shared" si="7"/>
        <v>300000</v>
      </c>
      <c r="N39" s="21">
        <f t="shared" si="7"/>
        <v>300000</v>
      </c>
      <c r="O39" s="21">
        <f t="shared" si="7"/>
        <v>300000</v>
      </c>
      <c r="P39" s="21">
        <f t="shared" si="7"/>
        <v>300000</v>
      </c>
      <c r="Q39" s="21">
        <f t="shared" si="7"/>
        <v>300000</v>
      </c>
      <c r="R39" s="21">
        <f t="shared" si="7"/>
        <v>300000</v>
      </c>
      <c r="S39" s="21">
        <f t="shared" si="7"/>
        <v>300000</v>
      </c>
      <c r="T39" s="21">
        <f t="shared" si="7"/>
        <v>300000</v>
      </c>
      <c r="U39" s="21">
        <f t="shared" si="7"/>
        <v>300000</v>
      </c>
      <c r="V39" s="21">
        <f t="shared" si="7"/>
        <v>300000</v>
      </c>
      <c r="W39" s="21">
        <f t="shared" si="7"/>
        <v>300000</v>
      </c>
      <c r="X39" s="21">
        <f t="shared" si="7"/>
        <v>300000</v>
      </c>
      <c r="Y39" s="21">
        <f t="shared" si="7"/>
        <v>300000</v>
      </c>
      <c r="Z39" s="21">
        <f t="shared" si="7"/>
        <v>300000</v>
      </c>
      <c r="AA39" s="21">
        <f t="shared" si="7"/>
        <v>300000</v>
      </c>
      <c r="AB39" s="21">
        <f t="shared" si="7"/>
        <v>300000</v>
      </c>
      <c r="AC39" s="21">
        <f t="shared" si="7"/>
        <v>300000</v>
      </c>
      <c r="AD39" s="21">
        <f t="shared" si="7"/>
        <v>300000</v>
      </c>
      <c r="AE39" s="21">
        <f t="shared" si="7"/>
        <v>300000</v>
      </c>
      <c r="AF39" s="21">
        <f t="shared" si="7"/>
        <v>300000</v>
      </c>
      <c r="AG39" s="21">
        <f t="shared" si="7"/>
        <v>0</v>
      </c>
    </row>
    <row r="40" spans="2:33" x14ac:dyDescent="0.4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</row>
    <row r="41" spans="2:33" x14ac:dyDescent="0.45">
      <c r="B41" s="54" t="s">
        <v>44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</row>
    <row r="42" spans="2:33" x14ac:dyDescent="0.4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</row>
    <row r="43" spans="2:33" x14ac:dyDescent="0.45">
      <c r="B43" s="8" t="s">
        <v>65</v>
      </c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</row>
    <row r="44" spans="2:33" x14ac:dyDescent="0.45">
      <c r="B44" s="33" t="s">
        <v>61</v>
      </c>
      <c r="C44" s="34">
        <f t="shared" ref="C44:AG44" si="8">$L$21</f>
        <v>0.1</v>
      </c>
      <c r="D44" s="34">
        <f t="shared" si="8"/>
        <v>0.1</v>
      </c>
      <c r="E44" s="34">
        <f t="shared" si="8"/>
        <v>0.1</v>
      </c>
      <c r="F44" s="34">
        <f t="shared" si="8"/>
        <v>0.1</v>
      </c>
      <c r="G44" s="34">
        <f t="shared" si="8"/>
        <v>0.1</v>
      </c>
      <c r="H44" s="34">
        <f t="shared" si="8"/>
        <v>0.1</v>
      </c>
      <c r="I44" s="34">
        <f t="shared" si="8"/>
        <v>0.1</v>
      </c>
      <c r="J44" s="34">
        <f t="shared" si="8"/>
        <v>0.1</v>
      </c>
      <c r="K44" s="34">
        <f t="shared" si="8"/>
        <v>0.1</v>
      </c>
      <c r="L44" s="34">
        <f t="shared" si="8"/>
        <v>0.1</v>
      </c>
      <c r="M44" s="34">
        <f t="shared" si="8"/>
        <v>0.1</v>
      </c>
      <c r="N44" s="34">
        <f t="shared" si="8"/>
        <v>0.1</v>
      </c>
      <c r="O44" s="34">
        <f t="shared" si="8"/>
        <v>0.1</v>
      </c>
      <c r="P44" s="34">
        <f t="shared" si="8"/>
        <v>0.1</v>
      </c>
      <c r="Q44" s="34">
        <f t="shared" si="8"/>
        <v>0.1</v>
      </c>
      <c r="R44" s="34">
        <f t="shared" si="8"/>
        <v>0.1</v>
      </c>
      <c r="S44" s="34">
        <f t="shared" si="8"/>
        <v>0.1</v>
      </c>
      <c r="T44" s="34">
        <f t="shared" si="8"/>
        <v>0.1</v>
      </c>
      <c r="U44" s="34">
        <f t="shared" si="8"/>
        <v>0.1</v>
      </c>
      <c r="V44" s="34">
        <f t="shared" si="8"/>
        <v>0.1</v>
      </c>
      <c r="W44" s="34">
        <f t="shared" si="8"/>
        <v>0.1</v>
      </c>
      <c r="X44" s="34">
        <f t="shared" si="8"/>
        <v>0.1</v>
      </c>
      <c r="Y44" s="34">
        <f t="shared" si="8"/>
        <v>0.1</v>
      </c>
      <c r="Z44" s="34">
        <f t="shared" si="8"/>
        <v>0.1</v>
      </c>
      <c r="AA44" s="34">
        <f t="shared" si="8"/>
        <v>0.1</v>
      </c>
      <c r="AB44" s="34">
        <f t="shared" si="8"/>
        <v>0.1</v>
      </c>
      <c r="AC44" s="34">
        <f t="shared" si="8"/>
        <v>0.1</v>
      </c>
      <c r="AD44" s="34">
        <f t="shared" si="8"/>
        <v>0.1</v>
      </c>
      <c r="AE44" s="34">
        <f t="shared" si="8"/>
        <v>0.1</v>
      </c>
      <c r="AF44" s="34">
        <f t="shared" si="8"/>
        <v>0.1</v>
      </c>
      <c r="AG44" s="35">
        <f t="shared" si="8"/>
        <v>0.1</v>
      </c>
    </row>
    <row r="45" spans="2:33" x14ac:dyDescent="0.45">
      <c r="B45" s="36" t="s">
        <v>66</v>
      </c>
      <c r="C45" s="13">
        <v>0.1</v>
      </c>
      <c r="D45" s="43">
        <v>0.1</v>
      </c>
      <c r="E45" s="43">
        <v>-0.15</v>
      </c>
      <c r="F45" s="43">
        <v>-0.15</v>
      </c>
      <c r="G45" s="43">
        <v>0.1</v>
      </c>
      <c r="H45" s="43">
        <v>0.1</v>
      </c>
      <c r="I45" s="43">
        <v>0.1</v>
      </c>
      <c r="J45" s="43">
        <v>0.1</v>
      </c>
      <c r="K45" s="43">
        <v>0.1</v>
      </c>
      <c r="L45" s="43">
        <v>0.1</v>
      </c>
      <c r="M45" s="43">
        <v>0.1</v>
      </c>
      <c r="N45" s="43">
        <v>0.1</v>
      </c>
      <c r="O45" s="43">
        <v>0.1</v>
      </c>
      <c r="P45" s="43">
        <v>0.1</v>
      </c>
      <c r="Q45" s="43">
        <v>0.1</v>
      </c>
      <c r="R45" s="43">
        <v>0.1</v>
      </c>
      <c r="S45" s="43">
        <v>0.1</v>
      </c>
      <c r="T45" s="43">
        <v>0.1</v>
      </c>
      <c r="U45" s="43">
        <v>0.1</v>
      </c>
      <c r="V45" s="43">
        <v>0.1</v>
      </c>
      <c r="W45" s="43">
        <v>0.1</v>
      </c>
      <c r="X45" s="43">
        <v>0.1</v>
      </c>
      <c r="Y45" s="43">
        <v>0.1</v>
      </c>
      <c r="Z45" s="43">
        <v>0.1</v>
      </c>
      <c r="AA45" s="43">
        <v>0.1</v>
      </c>
      <c r="AB45" s="43">
        <v>0.1</v>
      </c>
      <c r="AC45" s="43">
        <v>0.1</v>
      </c>
      <c r="AD45" s="43">
        <v>0.1</v>
      </c>
      <c r="AE45" s="43">
        <v>0.1</v>
      </c>
      <c r="AF45" s="43">
        <v>0.1</v>
      </c>
      <c r="AG45" s="43">
        <v>0.1</v>
      </c>
    </row>
    <row r="46" spans="2:33" x14ac:dyDescent="0.45">
      <c r="B46" s="36" t="s">
        <v>63</v>
      </c>
      <c r="C46" s="17">
        <f t="shared" ref="C46:AG46" ca="1" si="9">EXP($L$21 + $N$21*NORMSINV(RAND())) - 1</f>
        <v>0.18428090995511015</v>
      </c>
      <c r="D46" s="17">
        <f t="shared" ca="1" si="9"/>
        <v>7.6727199865936679E-2</v>
      </c>
      <c r="E46" s="17">
        <f t="shared" ca="1" si="9"/>
        <v>-0.12686379338154652</v>
      </c>
      <c r="F46" s="17">
        <f t="shared" ca="1" si="9"/>
        <v>6.8542962901854132E-3</v>
      </c>
      <c r="G46" s="17">
        <f t="shared" ca="1" si="9"/>
        <v>0.15203236684530652</v>
      </c>
      <c r="H46" s="17">
        <f t="shared" ca="1" si="9"/>
        <v>0.13454678477188553</v>
      </c>
      <c r="I46" s="17">
        <f t="shared" ca="1" si="9"/>
        <v>5.2918417732132239E-2</v>
      </c>
      <c r="J46" s="17">
        <f t="shared" ca="1" si="9"/>
        <v>0.35782004518854249</v>
      </c>
      <c r="K46" s="17">
        <f t="shared" ca="1" si="9"/>
        <v>0.2325848075812087</v>
      </c>
      <c r="L46" s="17">
        <f t="shared" ca="1" si="9"/>
        <v>0.16649918873967273</v>
      </c>
      <c r="M46" s="17">
        <f t="shared" ca="1" si="9"/>
        <v>0.25180537318080676</v>
      </c>
      <c r="N46" s="17">
        <f t="shared" ca="1" si="9"/>
        <v>-0.1110094732882172</v>
      </c>
      <c r="O46" s="17">
        <f t="shared" ca="1" si="9"/>
        <v>0.17944373454707785</v>
      </c>
      <c r="P46" s="17">
        <f t="shared" ca="1" si="9"/>
        <v>0.12089426372477607</v>
      </c>
      <c r="Q46" s="17">
        <f t="shared" ca="1" si="9"/>
        <v>4.3800380767105018E-2</v>
      </c>
      <c r="R46" s="17">
        <f t="shared" ca="1" si="9"/>
        <v>0.14469782882213611</v>
      </c>
      <c r="S46" s="17">
        <f t="shared" ca="1" si="9"/>
        <v>0.30013262127737739</v>
      </c>
      <c r="T46" s="17">
        <f t="shared" ca="1" si="9"/>
        <v>9.6363976602243273E-2</v>
      </c>
      <c r="U46" s="17">
        <f t="shared" ca="1" si="9"/>
        <v>5.4127032162932576E-2</v>
      </c>
      <c r="V46" s="17">
        <f t="shared" ca="1" si="9"/>
        <v>8.9620804626082684E-2</v>
      </c>
      <c r="W46" s="17">
        <f t="shared" ca="1" si="9"/>
        <v>8.9467280604604849E-3</v>
      </c>
      <c r="X46" s="17">
        <f t="shared" ca="1" si="9"/>
        <v>0.27393504811146041</v>
      </c>
      <c r="Y46" s="17">
        <f t="shared" ca="1" si="9"/>
        <v>0.30237812162967437</v>
      </c>
      <c r="Z46" s="17">
        <f t="shared" ca="1" si="9"/>
        <v>2.4618070362821154E-2</v>
      </c>
      <c r="AA46" s="17">
        <f t="shared" ca="1" si="9"/>
        <v>0.16927444210763087</v>
      </c>
      <c r="AB46" s="17">
        <f t="shared" ca="1" si="9"/>
        <v>0.41699449379573972</v>
      </c>
      <c r="AC46" s="17">
        <f t="shared" ca="1" si="9"/>
        <v>0.13534150693268221</v>
      </c>
      <c r="AD46" s="17">
        <f t="shared" ca="1" si="9"/>
        <v>1.5021433971538434E-2</v>
      </c>
      <c r="AE46" s="17">
        <f t="shared" ca="1" si="9"/>
        <v>0.16125146014593827</v>
      </c>
      <c r="AF46" s="17">
        <f t="shared" ca="1" si="9"/>
        <v>0.11197346973718036</v>
      </c>
      <c r="AG46" s="67">
        <f t="shared" ca="1" si="9"/>
        <v>-0.19633060040560057</v>
      </c>
    </row>
    <row r="47" spans="2:33" x14ac:dyDescent="0.45">
      <c r="B47" s="8" t="s">
        <v>103</v>
      </c>
      <c r="C47" s="17">
        <f ca="1">Brownian!D15</f>
        <v>0.19375399370980939</v>
      </c>
      <c r="D47" s="17">
        <f ca="1">Brownian!E15</f>
        <v>2.4339208629354792E-2</v>
      </c>
      <c r="E47" s="17">
        <f ca="1">Brownian!F15</f>
        <v>5.1301017541101057E-2</v>
      </c>
      <c r="F47" s="17">
        <f ca="1">Brownian!G15</f>
        <v>0.14562015456191824</v>
      </c>
      <c r="G47" s="17">
        <f ca="1">Brownian!H15</f>
        <v>-0.20097663908449015</v>
      </c>
      <c r="H47" s="17">
        <f ca="1">Brownian!I15</f>
        <v>9.3784365434202988E-2</v>
      </c>
      <c r="I47" s="17">
        <f ca="1">Brownian!J15</f>
        <v>0.37086696761520055</v>
      </c>
      <c r="J47" s="17">
        <f ca="1">Brownian!K15</f>
        <v>0.15967820716488501</v>
      </c>
      <c r="K47" s="17">
        <f ca="1">Brownian!L15</f>
        <v>-1.6648917750097247E-3</v>
      </c>
      <c r="L47" s="17">
        <f ca="1">Brownian!M15</f>
        <v>0.18157383022922158</v>
      </c>
      <c r="M47" s="17">
        <f ca="1">Brownian!N15</f>
        <v>0.47424009980508353</v>
      </c>
      <c r="N47" s="17">
        <f ca="1">Brownian!O15</f>
        <v>-7.7701151865542273E-2</v>
      </c>
      <c r="O47" s="17">
        <f ca="1">Brownian!P15</f>
        <v>-7.5745930788969296E-2</v>
      </c>
      <c r="P47" s="17">
        <f ca="1">Brownian!Q15</f>
        <v>5.6335556608300807E-2</v>
      </c>
      <c r="Q47" s="17">
        <f ca="1">Brownian!R15</f>
        <v>0.39348714602548385</v>
      </c>
      <c r="R47" s="17">
        <f ca="1">Brownian!S15</f>
        <v>-8.0432221925540448E-3</v>
      </c>
      <c r="S47" s="17">
        <f ca="1">Brownian!T15</f>
        <v>5.533751126367914E-2</v>
      </c>
      <c r="T47" s="17">
        <f ca="1">Brownian!U15</f>
        <v>0.10351257273840941</v>
      </c>
      <c r="U47" s="17">
        <f ca="1">Brownian!V15</f>
        <v>4.4220860753113156E-2</v>
      </c>
      <c r="V47" s="17">
        <f ca="1">Brownian!W15</f>
        <v>9.2304613301779526E-2</v>
      </c>
      <c r="W47" s="17">
        <f ca="1">Brownian!X15</f>
        <v>4.1476577346576393E-2</v>
      </c>
      <c r="X47" s="17">
        <f ca="1">Brownian!Y15</f>
        <v>-6.6468208369149351E-2</v>
      </c>
      <c r="Y47" s="17">
        <f ca="1">Brownian!Z15</f>
        <v>0.5257712473669629</v>
      </c>
      <c r="Z47" s="17">
        <f ca="1">Brownian!AA15</f>
        <v>4.4963868798460593E-2</v>
      </c>
      <c r="AA47" s="17">
        <f ca="1">Brownian!AB15</f>
        <v>3.8080722903544473E-2</v>
      </c>
      <c r="AB47" s="17">
        <f ca="1">Brownian!AC15</f>
        <v>0.33480804285477062</v>
      </c>
      <c r="AC47" s="17">
        <f ca="1">Brownian!AD15</f>
        <v>-0.17163088907716184</v>
      </c>
      <c r="AD47" s="17">
        <f ca="1">Brownian!AE15</f>
        <v>8.1285211224126908E-2</v>
      </c>
      <c r="AE47" s="17">
        <f ca="1">Brownian!AF15</f>
        <v>0.29588892246831855</v>
      </c>
      <c r="AF47" s="17">
        <f ca="1">Brownian!AG15</f>
        <v>1.5169381220853095E-2</v>
      </c>
      <c r="AG47" s="17">
        <f ca="1">Brownian!AH15</f>
        <v>0.23786273730258634</v>
      </c>
    </row>
    <row r="48" spans="2:33" x14ac:dyDescent="0.45">
      <c r="B48" s="37" t="s">
        <v>67</v>
      </c>
      <c r="C48" s="32">
        <f ca="1">CHOOSE($K$19,C44,C45,C46,C47)</f>
        <v>0.19375399370980939</v>
      </c>
      <c r="D48" s="32">
        <f t="shared" ref="D48:AG48" ca="1" si="10">CHOOSE($K$19,D44,D45,D46,D47)</f>
        <v>2.4339208629354792E-2</v>
      </c>
      <c r="E48" s="32">
        <f t="shared" ca="1" si="10"/>
        <v>5.1301017541101057E-2</v>
      </c>
      <c r="F48" s="32">
        <f t="shared" ca="1" si="10"/>
        <v>0.14562015456191824</v>
      </c>
      <c r="G48" s="32">
        <f t="shared" ca="1" si="10"/>
        <v>-0.20097663908449015</v>
      </c>
      <c r="H48" s="32">
        <f t="shared" ca="1" si="10"/>
        <v>9.3784365434202988E-2</v>
      </c>
      <c r="I48" s="32">
        <f t="shared" ca="1" si="10"/>
        <v>0.37086696761520055</v>
      </c>
      <c r="J48" s="32">
        <f t="shared" ca="1" si="10"/>
        <v>0.15967820716488501</v>
      </c>
      <c r="K48" s="32">
        <f t="shared" ca="1" si="10"/>
        <v>-1.6648917750097247E-3</v>
      </c>
      <c r="L48" s="32">
        <f t="shared" ca="1" si="10"/>
        <v>0.18157383022922158</v>
      </c>
      <c r="M48" s="32">
        <f t="shared" ca="1" si="10"/>
        <v>0.47424009980508353</v>
      </c>
      <c r="N48" s="32">
        <f t="shared" ca="1" si="10"/>
        <v>-7.7701151865542273E-2</v>
      </c>
      <c r="O48" s="32">
        <f t="shared" ca="1" si="10"/>
        <v>-7.5745930788969296E-2</v>
      </c>
      <c r="P48" s="32">
        <f t="shared" ca="1" si="10"/>
        <v>5.6335556608300807E-2</v>
      </c>
      <c r="Q48" s="32">
        <f t="shared" ca="1" si="10"/>
        <v>0.39348714602548385</v>
      </c>
      <c r="R48" s="32">
        <f t="shared" ca="1" si="10"/>
        <v>-8.0432221925540448E-3</v>
      </c>
      <c r="S48" s="32">
        <f t="shared" ca="1" si="10"/>
        <v>5.533751126367914E-2</v>
      </c>
      <c r="T48" s="32">
        <f t="shared" ca="1" si="10"/>
        <v>0.10351257273840941</v>
      </c>
      <c r="U48" s="32">
        <f t="shared" ca="1" si="10"/>
        <v>4.4220860753113156E-2</v>
      </c>
      <c r="V48" s="32">
        <f t="shared" ca="1" si="10"/>
        <v>9.2304613301779526E-2</v>
      </c>
      <c r="W48" s="32">
        <f t="shared" ca="1" si="10"/>
        <v>4.1476577346576393E-2</v>
      </c>
      <c r="X48" s="32">
        <f t="shared" ca="1" si="10"/>
        <v>-6.6468208369149351E-2</v>
      </c>
      <c r="Y48" s="32">
        <f t="shared" ca="1" si="10"/>
        <v>0.5257712473669629</v>
      </c>
      <c r="Z48" s="32">
        <f t="shared" ca="1" si="10"/>
        <v>4.4963868798460593E-2</v>
      </c>
      <c r="AA48" s="32">
        <f t="shared" ca="1" si="10"/>
        <v>3.8080722903544473E-2</v>
      </c>
      <c r="AB48" s="32">
        <f t="shared" ca="1" si="10"/>
        <v>0.33480804285477062</v>
      </c>
      <c r="AC48" s="32">
        <f t="shared" ca="1" si="10"/>
        <v>-0.17163088907716184</v>
      </c>
      <c r="AD48" s="32">
        <f t="shared" ca="1" si="10"/>
        <v>8.1285211224126908E-2</v>
      </c>
      <c r="AE48" s="32">
        <f t="shared" ca="1" si="10"/>
        <v>0.29588892246831855</v>
      </c>
      <c r="AF48" s="32">
        <f t="shared" ca="1" si="10"/>
        <v>1.5169381220853095E-2</v>
      </c>
      <c r="AG48" s="32">
        <f t="shared" ca="1" si="10"/>
        <v>0.23786273730258634</v>
      </c>
    </row>
    <row r="49" spans="2:34" x14ac:dyDescent="0.45">
      <c r="B49" s="8" t="s">
        <v>68</v>
      </c>
      <c r="C49" s="17">
        <f t="shared" ref="C49:AG49" ca="1" si="11">MIN(MAX($X$21-1,C48),$X$20-1)</f>
        <v>0.19375399370980939</v>
      </c>
      <c r="D49" s="17">
        <f t="shared" ca="1" si="11"/>
        <v>2.4339208629354792E-2</v>
      </c>
      <c r="E49" s="17">
        <f t="shared" ca="1" si="11"/>
        <v>5.1301017541101057E-2</v>
      </c>
      <c r="F49" s="17">
        <f t="shared" ca="1" si="11"/>
        <v>0.14562015456191824</v>
      </c>
      <c r="G49" s="17">
        <f t="shared" ca="1" si="11"/>
        <v>-0.19999999999999996</v>
      </c>
      <c r="H49" s="17">
        <f t="shared" ca="1" si="11"/>
        <v>9.3784365434202988E-2</v>
      </c>
      <c r="I49" s="17">
        <f t="shared" ca="1" si="11"/>
        <v>0.37086696761520055</v>
      </c>
      <c r="J49" s="17">
        <f t="shared" ca="1" si="11"/>
        <v>0.15967820716488501</v>
      </c>
      <c r="K49" s="17">
        <f t="shared" ca="1" si="11"/>
        <v>-1.6648917750097247E-3</v>
      </c>
      <c r="L49" s="17">
        <f t="shared" ca="1" si="11"/>
        <v>0.18157383022922158</v>
      </c>
      <c r="M49" s="17">
        <f t="shared" ca="1" si="11"/>
        <v>0.39999999999999991</v>
      </c>
      <c r="N49" s="17">
        <f t="shared" ca="1" si="11"/>
        <v>-7.7701151865542273E-2</v>
      </c>
      <c r="O49" s="17">
        <f t="shared" ca="1" si="11"/>
        <v>-7.5745930788969296E-2</v>
      </c>
      <c r="P49" s="17">
        <f t="shared" ca="1" si="11"/>
        <v>5.6335556608300807E-2</v>
      </c>
      <c r="Q49" s="17">
        <f t="shared" ca="1" si="11"/>
        <v>0.39348714602548385</v>
      </c>
      <c r="R49" s="17">
        <f t="shared" ca="1" si="11"/>
        <v>-8.0432221925540448E-3</v>
      </c>
      <c r="S49" s="17">
        <f t="shared" ca="1" si="11"/>
        <v>5.533751126367914E-2</v>
      </c>
      <c r="T49" s="17">
        <f t="shared" ca="1" si="11"/>
        <v>0.10351257273840941</v>
      </c>
      <c r="U49" s="17">
        <f t="shared" ca="1" si="11"/>
        <v>4.4220860753113156E-2</v>
      </c>
      <c r="V49" s="17">
        <f t="shared" ca="1" si="11"/>
        <v>9.2304613301779526E-2</v>
      </c>
      <c r="W49" s="17">
        <f t="shared" ca="1" si="11"/>
        <v>4.1476577346576393E-2</v>
      </c>
      <c r="X49" s="17">
        <f t="shared" ca="1" si="11"/>
        <v>-6.6468208369149351E-2</v>
      </c>
      <c r="Y49" s="17">
        <f t="shared" ca="1" si="11"/>
        <v>0.39999999999999991</v>
      </c>
      <c r="Z49" s="17">
        <f t="shared" ca="1" si="11"/>
        <v>4.4963868798460593E-2</v>
      </c>
      <c r="AA49" s="17">
        <f t="shared" ca="1" si="11"/>
        <v>3.8080722903544473E-2</v>
      </c>
      <c r="AB49" s="17">
        <f t="shared" ca="1" si="11"/>
        <v>0.33480804285477062</v>
      </c>
      <c r="AC49" s="17">
        <f t="shared" ca="1" si="11"/>
        <v>-0.17163088907716184</v>
      </c>
      <c r="AD49" s="17">
        <f t="shared" ca="1" si="11"/>
        <v>8.1285211224126908E-2</v>
      </c>
      <c r="AE49" s="17">
        <f t="shared" ca="1" si="11"/>
        <v>0.29588892246831855</v>
      </c>
      <c r="AF49" s="17">
        <f t="shared" ca="1" si="11"/>
        <v>1.5169381220853095E-2</v>
      </c>
      <c r="AG49" s="17">
        <f t="shared" ca="1" si="11"/>
        <v>0.23786273730258634</v>
      </c>
    </row>
    <row r="50" spans="2:34" x14ac:dyDescent="0.45">
      <c r="B50" s="8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</row>
    <row r="51" spans="2:34" x14ac:dyDescent="0.45">
      <c r="B51" s="70" t="s">
        <v>76</v>
      </c>
      <c r="C51" s="71">
        <v>1</v>
      </c>
      <c r="D51" s="72">
        <f t="shared" ref="D51:AG51" si="12">C51*(1+D44)</f>
        <v>1.1000000000000001</v>
      </c>
      <c r="E51" s="72">
        <f t="shared" si="12"/>
        <v>1.2100000000000002</v>
      </c>
      <c r="F51" s="72">
        <f t="shared" si="12"/>
        <v>1.3310000000000004</v>
      </c>
      <c r="G51" s="72">
        <f t="shared" si="12"/>
        <v>1.4641000000000006</v>
      </c>
      <c r="H51" s="72">
        <f t="shared" si="12"/>
        <v>1.6105100000000008</v>
      </c>
      <c r="I51" s="72">
        <f t="shared" si="12"/>
        <v>1.7715610000000011</v>
      </c>
      <c r="J51" s="72">
        <f t="shared" si="12"/>
        <v>1.9487171000000014</v>
      </c>
      <c r="K51" s="72">
        <f t="shared" si="12"/>
        <v>2.1435888100000016</v>
      </c>
      <c r="L51" s="72">
        <f t="shared" si="12"/>
        <v>2.3579476910000019</v>
      </c>
      <c r="M51" s="72">
        <f t="shared" si="12"/>
        <v>2.5937424601000023</v>
      </c>
      <c r="N51" s="72">
        <f t="shared" si="12"/>
        <v>2.8531167061100029</v>
      </c>
      <c r="O51" s="72">
        <f t="shared" si="12"/>
        <v>3.1384283767210035</v>
      </c>
      <c r="P51" s="72">
        <f t="shared" si="12"/>
        <v>3.4522712143931042</v>
      </c>
      <c r="Q51" s="72">
        <f t="shared" si="12"/>
        <v>3.7974983358324148</v>
      </c>
      <c r="R51" s="72">
        <f t="shared" si="12"/>
        <v>4.1772481694156562</v>
      </c>
      <c r="S51" s="72">
        <f t="shared" si="12"/>
        <v>4.594972986357222</v>
      </c>
      <c r="T51" s="72">
        <f t="shared" si="12"/>
        <v>5.0544702849929442</v>
      </c>
      <c r="U51" s="72">
        <f t="shared" si="12"/>
        <v>5.5599173134922388</v>
      </c>
      <c r="V51" s="72">
        <f t="shared" si="12"/>
        <v>6.1159090448414632</v>
      </c>
      <c r="W51" s="72">
        <f t="shared" si="12"/>
        <v>6.72749994932561</v>
      </c>
      <c r="X51" s="72">
        <f t="shared" si="12"/>
        <v>7.4002499442581717</v>
      </c>
      <c r="Y51" s="72">
        <f t="shared" si="12"/>
        <v>8.140274938683989</v>
      </c>
      <c r="Z51" s="72">
        <f t="shared" si="12"/>
        <v>8.9543024325523888</v>
      </c>
      <c r="AA51" s="72">
        <f t="shared" si="12"/>
        <v>9.849732675807628</v>
      </c>
      <c r="AB51" s="72">
        <f t="shared" si="12"/>
        <v>10.834705943388391</v>
      </c>
      <c r="AC51" s="72">
        <f t="shared" si="12"/>
        <v>11.918176537727231</v>
      </c>
      <c r="AD51" s="72">
        <f t="shared" si="12"/>
        <v>13.109994191499954</v>
      </c>
      <c r="AE51" s="72">
        <f t="shared" si="12"/>
        <v>14.420993610649951</v>
      </c>
      <c r="AF51" s="72">
        <f t="shared" si="12"/>
        <v>15.863092971714948</v>
      </c>
      <c r="AG51" s="68">
        <f t="shared" si="12"/>
        <v>17.449402268886445</v>
      </c>
      <c r="AH51" s="14">
        <f t="shared" ref="AH51:AH56" si="13">(AG51/C51)^(1/30)-1</f>
        <v>0.10000000000000009</v>
      </c>
    </row>
    <row r="52" spans="2:34" x14ac:dyDescent="0.45">
      <c r="B52" s="73" t="s">
        <v>77</v>
      </c>
      <c r="C52" s="22">
        <v>1</v>
      </c>
      <c r="D52" s="65">
        <f t="shared" ref="D52:AG52" si="14">C52*(1+D45)</f>
        <v>1.1000000000000001</v>
      </c>
      <c r="E52" s="65">
        <f t="shared" si="14"/>
        <v>0.93500000000000005</v>
      </c>
      <c r="F52" s="65">
        <f t="shared" si="14"/>
        <v>0.79475000000000007</v>
      </c>
      <c r="G52" s="65">
        <f t="shared" si="14"/>
        <v>0.87422500000000014</v>
      </c>
      <c r="H52" s="65">
        <f t="shared" si="14"/>
        <v>0.96164750000000021</v>
      </c>
      <c r="I52" s="65">
        <f t="shared" si="14"/>
        <v>1.0578122500000002</v>
      </c>
      <c r="J52" s="65">
        <f t="shared" si="14"/>
        <v>1.1635934750000003</v>
      </c>
      <c r="K52" s="65">
        <f t="shared" si="14"/>
        <v>1.2799528225000005</v>
      </c>
      <c r="L52" s="65">
        <f t="shared" si="14"/>
        <v>1.4079481047500007</v>
      </c>
      <c r="M52" s="65">
        <f t="shared" si="14"/>
        <v>1.5487429152250007</v>
      </c>
      <c r="N52" s="65">
        <f t="shared" si="14"/>
        <v>1.7036172067475011</v>
      </c>
      <c r="O52" s="65">
        <f t="shared" si="14"/>
        <v>1.8739789274222514</v>
      </c>
      <c r="P52" s="65">
        <f t="shared" si="14"/>
        <v>2.0613768201644769</v>
      </c>
      <c r="Q52" s="65">
        <f t="shared" si="14"/>
        <v>2.2675145021809247</v>
      </c>
      <c r="R52" s="65">
        <f t="shared" si="14"/>
        <v>2.4942659523990174</v>
      </c>
      <c r="S52" s="65">
        <f t="shared" si="14"/>
        <v>2.7436925476389193</v>
      </c>
      <c r="T52" s="65">
        <f t="shared" si="14"/>
        <v>3.0180618024028116</v>
      </c>
      <c r="U52" s="65">
        <f t="shared" si="14"/>
        <v>3.319867982643093</v>
      </c>
      <c r="V52" s="65">
        <f t="shared" si="14"/>
        <v>3.6518547809074025</v>
      </c>
      <c r="W52" s="65">
        <f t="shared" si="14"/>
        <v>4.0170402589981427</v>
      </c>
      <c r="X52" s="65">
        <f t="shared" si="14"/>
        <v>4.418744284897957</v>
      </c>
      <c r="Y52" s="65">
        <f t="shared" si="14"/>
        <v>4.860618713387753</v>
      </c>
      <c r="Z52" s="65">
        <f t="shared" si="14"/>
        <v>5.3466805847265286</v>
      </c>
      <c r="AA52" s="65">
        <f t="shared" si="14"/>
        <v>5.8813486431991819</v>
      </c>
      <c r="AB52" s="65">
        <f t="shared" si="14"/>
        <v>6.4694835075191008</v>
      </c>
      <c r="AC52" s="65">
        <f t="shared" si="14"/>
        <v>7.1164318582710111</v>
      </c>
      <c r="AD52" s="65">
        <f t="shared" si="14"/>
        <v>7.8280750440981128</v>
      </c>
      <c r="AE52" s="65">
        <f t="shared" si="14"/>
        <v>8.6108825485079254</v>
      </c>
      <c r="AF52" s="65">
        <f t="shared" si="14"/>
        <v>9.4719708033587189</v>
      </c>
      <c r="AG52" s="66">
        <f t="shared" si="14"/>
        <v>10.419167883694591</v>
      </c>
      <c r="AH52" s="14">
        <f t="shared" si="13"/>
        <v>8.1254101463197337E-2</v>
      </c>
    </row>
    <row r="53" spans="2:34" x14ac:dyDescent="0.45">
      <c r="B53" s="73" t="s">
        <v>78</v>
      </c>
      <c r="C53" s="22">
        <v>1</v>
      </c>
      <c r="D53" s="65">
        <f t="shared" ref="D53:AG53" ca="1" si="15">C53*(1+D46)</f>
        <v>1.0767271998659367</v>
      </c>
      <c r="E53" s="65">
        <f t="shared" ca="1" si="15"/>
        <v>0.94012950285385333</v>
      </c>
      <c r="F53" s="65">
        <f t="shared" ca="1" si="15"/>
        <v>0.94657342901755837</v>
      </c>
      <c r="G53" s="65">
        <f t="shared" ca="1" si="15"/>
        <v>1.0904832278239756</v>
      </c>
      <c r="H53" s="65">
        <f t="shared" ca="1" si="15"/>
        <v>1.2372042399753591</v>
      </c>
      <c r="I53" s="65">
        <f t="shared" ca="1" si="15"/>
        <v>1.3026751307663404</v>
      </c>
      <c r="J53" s="65">
        <f t="shared" ca="1" si="15"/>
        <v>1.7687984049231429</v>
      </c>
      <c r="K53" s="65">
        <f t="shared" ca="1" si="15"/>
        <v>2.180194041582141</v>
      </c>
      <c r="L53" s="65">
        <f t="shared" ca="1" si="15"/>
        <v>2.5431945808006358</v>
      </c>
      <c r="M53" s="65">
        <f t="shared" ca="1" si="15"/>
        <v>3.1835846412905453</v>
      </c>
      <c r="N53" s="65">
        <f t="shared" ca="1" si="15"/>
        <v>2.8301765870924238</v>
      </c>
      <c r="O53" s="65">
        <f t="shared" ca="1" si="15"/>
        <v>3.3380340433079914</v>
      </c>
      <c r="P53" s="65">
        <f t="shared" ca="1" si="15"/>
        <v>3.7415832112619483</v>
      </c>
      <c r="Q53" s="65">
        <f t="shared" ca="1" si="15"/>
        <v>3.9054659805870293</v>
      </c>
      <c r="R53" s="65">
        <f t="shared" ca="1" si="15"/>
        <v>4.4705784285166876</v>
      </c>
      <c r="S53" s="65">
        <f t="shared" ca="1" si="15"/>
        <v>5.8123448508934992</v>
      </c>
      <c r="T53" s="65">
        <f t="shared" ca="1" si="15"/>
        <v>6.3724455141091694</v>
      </c>
      <c r="U53" s="65">
        <f t="shared" ca="1" si="15"/>
        <v>6.717367077407892</v>
      </c>
      <c r="V53" s="65">
        <f t="shared" ca="1" si="15"/>
        <v>7.3193829198539451</v>
      </c>
      <c r="W53" s="65">
        <f t="shared" ca="1" si="15"/>
        <v>7.3848674484082579</v>
      </c>
      <c r="X53" s="65">
        <f t="shared" ca="1" si="15"/>
        <v>9.4078414681847313</v>
      </c>
      <c r="Y53" s="65">
        <f t="shared" ca="1" si="15"/>
        <v>12.252566899924188</v>
      </c>
      <c r="Z53" s="65">
        <f t="shared" ca="1" si="15"/>
        <v>12.554201453991695</v>
      </c>
      <c r="AA53" s="65">
        <f t="shared" ca="1" si="15"/>
        <v>14.679306901222947</v>
      </c>
      <c r="AB53" s="65">
        <f t="shared" ca="1" si="15"/>
        <v>20.800497051770719</v>
      </c>
      <c r="AC53" s="65">
        <f t="shared" ca="1" si="15"/>
        <v>23.61566766770618</v>
      </c>
      <c r="AD53" s="65">
        <f t="shared" ca="1" si="15"/>
        <v>23.970408860270425</v>
      </c>
      <c r="AE53" s="65">
        <f t="shared" ca="1" si="15"/>
        <v>27.835672289284165</v>
      </c>
      <c r="AF53" s="65">
        <f t="shared" ca="1" si="15"/>
        <v>30.952529097982396</v>
      </c>
      <c r="AG53" s="66">
        <f t="shared" ca="1" si="15"/>
        <v>24.875600476103688</v>
      </c>
      <c r="AH53" s="14">
        <f t="shared" ca="1" si="13"/>
        <v>0.11307847867871734</v>
      </c>
    </row>
    <row r="54" spans="2:34" x14ac:dyDescent="0.45">
      <c r="B54" s="73" t="s">
        <v>120</v>
      </c>
      <c r="C54" s="22">
        <v>1</v>
      </c>
      <c r="D54" s="65">
        <f t="shared" ref="D54:AG54" ca="1" si="16">C54*(1+D47)</f>
        <v>1.0243392086293548</v>
      </c>
      <c r="E54" s="65">
        <f t="shared" ca="1" si="16"/>
        <v>1.076888852339287</v>
      </c>
      <c r="F54" s="65">
        <f t="shared" ca="1" si="16"/>
        <v>1.2337055734629407</v>
      </c>
      <c r="G54" s="65">
        <f t="shared" ca="1" si="16"/>
        <v>0.98575957368855538</v>
      </c>
      <c r="H54" s="65">
        <f t="shared" ca="1" si="16"/>
        <v>1.078208409777627</v>
      </c>
      <c r="I54" s="65">
        <f t="shared" ca="1" si="16"/>
        <v>1.4780802931690631</v>
      </c>
      <c r="J54" s="65">
        <f t="shared" ca="1" si="16"/>
        <v>1.7140975044280466</v>
      </c>
      <c r="K54" s="65">
        <f t="shared" ca="1" si="16"/>
        <v>1.7112437175913597</v>
      </c>
      <c r="L54" s="65">
        <f t="shared" ca="1" si="16"/>
        <v>2.0219607938501154</v>
      </c>
      <c r="M54" s="65">
        <f t="shared" ca="1" si="16"/>
        <v>2.9808556825275598</v>
      </c>
      <c r="N54" s="65">
        <f t="shared" ca="1" si="16"/>
        <v>2.7492397624502214</v>
      </c>
      <c r="O54" s="65">
        <f t="shared" ca="1" si="16"/>
        <v>2.5409960376813845</v>
      </c>
      <c r="P54" s="65">
        <f t="shared" ca="1" si="16"/>
        <v>2.6841444638036522</v>
      </c>
      <c r="Q54" s="65">
        <f t="shared" ca="1" si="16"/>
        <v>3.7403208083858539</v>
      </c>
      <c r="R54" s="65">
        <f t="shared" ca="1" si="16"/>
        <v>3.7102365770525729</v>
      </c>
      <c r="S54" s="65">
        <f t="shared" ca="1" si="16"/>
        <v>3.9155518354261338</v>
      </c>
      <c r="T54" s="65">
        <f t="shared" ca="1" si="16"/>
        <v>4.3208606796016937</v>
      </c>
      <c r="U54" s="65">
        <f t="shared" ca="1" si="16"/>
        <v>4.5119328580479623</v>
      </c>
      <c r="V54" s="65">
        <f t="shared" ca="1" si="16"/>
        <v>4.9284050757536724</v>
      </c>
      <c r="W54" s="65">
        <f t="shared" ca="1" si="16"/>
        <v>5.1328184500734295</v>
      </c>
      <c r="X54" s="65">
        <f t="shared" ca="1" si="16"/>
        <v>4.791649203812935</v>
      </c>
      <c r="Y54" s="65">
        <f t="shared" ca="1" si="16"/>
        <v>7.3109605826465769</v>
      </c>
      <c r="Z54" s="65">
        <f t="shared" ca="1" si="16"/>
        <v>7.639689655075415</v>
      </c>
      <c r="AA54" s="65">
        <f t="shared" ca="1" si="16"/>
        <v>7.9306145598994169</v>
      </c>
      <c r="AB54" s="65">
        <f t="shared" ca="1" si="16"/>
        <v>10.585848099334889</v>
      </c>
      <c r="AC54" s="65">
        <f t="shared" ca="1" si="16"/>
        <v>8.7689895784102578</v>
      </c>
      <c r="AD54" s="65">
        <f t="shared" ca="1" si="16"/>
        <v>9.4817787485135039</v>
      </c>
      <c r="AE54" s="65">
        <f t="shared" ca="1" si="16"/>
        <v>12.287332045494166</v>
      </c>
      <c r="AF54" s="65">
        <f t="shared" ca="1" si="16"/>
        <v>12.473723269479471</v>
      </c>
      <c r="AG54" s="66">
        <f t="shared" ca="1" si="16"/>
        <v>15.440757230712824</v>
      </c>
      <c r="AH54" s="14">
        <f t="shared" ca="1" si="13"/>
        <v>9.5524984448970951E-2</v>
      </c>
    </row>
    <row r="55" spans="2:34" x14ac:dyDescent="0.45">
      <c r="B55" s="74" t="s">
        <v>79</v>
      </c>
      <c r="C55" s="75">
        <v>1</v>
      </c>
      <c r="D55" s="76">
        <f t="shared" ref="D55:AG55" ca="1" si="17">C55*(1+D48)</f>
        <v>1.0243392086293548</v>
      </c>
      <c r="E55" s="76">
        <f t="shared" ca="1" si="17"/>
        <v>1.076888852339287</v>
      </c>
      <c r="F55" s="76">
        <f t="shared" ca="1" si="17"/>
        <v>1.2337055734629407</v>
      </c>
      <c r="G55" s="76">
        <f t="shared" ca="1" si="17"/>
        <v>0.98575957368855538</v>
      </c>
      <c r="H55" s="76">
        <f t="shared" ca="1" si="17"/>
        <v>1.078208409777627</v>
      </c>
      <c r="I55" s="76">
        <f t="shared" ca="1" si="17"/>
        <v>1.4780802931690631</v>
      </c>
      <c r="J55" s="76">
        <f t="shared" ca="1" si="17"/>
        <v>1.7140975044280466</v>
      </c>
      <c r="K55" s="76">
        <f t="shared" ca="1" si="17"/>
        <v>1.7112437175913597</v>
      </c>
      <c r="L55" s="76">
        <f t="shared" ca="1" si="17"/>
        <v>2.0219607938501154</v>
      </c>
      <c r="M55" s="76">
        <f t="shared" ca="1" si="17"/>
        <v>2.9808556825275598</v>
      </c>
      <c r="N55" s="76">
        <f t="shared" ca="1" si="17"/>
        <v>2.7492397624502214</v>
      </c>
      <c r="O55" s="76">
        <f t="shared" ca="1" si="17"/>
        <v>2.5409960376813845</v>
      </c>
      <c r="P55" s="76">
        <f t="shared" ca="1" si="17"/>
        <v>2.6841444638036522</v>
      </c>
      <c r="Q55" s="76">
        <f t="shared" ca="1" si="17"/>
        <v>3.7403208083858539</v>
      </c>
      <c r="R55" s="76">
        <f t="shared" ca="1" si="17"/>
        <v>3.7102365770525729</v>
      </c>
      <c r="S55" s="76">
        <f t="shared" ca="1" si="17"/>
        <v>3.9155518354261338</v>
      </c>
      <c r="T55" s="76">
        <f t="shared" ca="1" si="17"/>
        <v>4.3208606796016937</v>
      </c>
      <c r="U55" s="76">
        <f t="shared" ca="1" si="17"/>
        <v>4.5119328580479623</v>
      </c>
      <c r="V55" s="76">
        <f t="shared" ca="1" si="17"/>
        <v>4.9284050757536724</v>
      </c>
      <c r="W55" s="76">
        <f t="shared" ca="1" si="17"/>
        <v>5.1328184500734295</v>
      </c>
      <c r="X55" s="76">
        <f t="shared" ca="1" si="17"/>
        <v>4.791649203812935</v>
      </c>
      <c r="Y55" s="76">
        <f t="shared" ca="1" si="17"/>
        <v>7.3109605826465769</v>
      </c>
      <c r="Z55" s="76">
        <f t="shared" ca="1" si="17"/>
        <v>7.639689655075415</v>
      </c>
      <c r="AA55" s="76">
        <f t="shared" ca="1" si="17"/>
        <v>7.9306145598994169</v>
      </c>
      <c r="AB55" s="76">
        <f t="shared" ca="1" si="17"/>
        <v>10.585848099334889</v>
      </c>
      <c r="AC55" s="76">
        <f t="shared" ca="1" si="17"/>
        <v>8.7689895784102578</v>
      </c>
      <c r="AD55" s="76">
        <f t="shared" ca="1" si="17"/>
        <v>9.4817787485135039</v>
      </c>
      <c r="AE55" s="76">
        <f t="shared" ca="1" si="17"/>
        <v>12.287332045494166</v>
      </c>
      <c r="AF55" s="76">
        <f t="shared" ca="1" si="17"/>
        <v>12.473723269479471</v>
      </c>
      <c r="AG55" s="77">
        <f t="shared" ca="1" si="17"/>
        <v>15.440757230712824</v>
      </c>
      <c r="AH55" s="14">
        <f t="shared" ca="1" si="13"/>
        <v>9.5524984448970951E-2</v>
      </c>
    </row>
    <row r="56" spans="2:34" x14ac:dyDescent="0.45">
      <c r="B56" s="78" t="s">
        <v>80</v>
      </c>
      <c r="C56" s="79">
        <v>1</v>
      </c>
      <c r="D56" s="80">
        <f t="shared" ref="D56:AG56" ca="1" si="18">C56*(1+D49)</f>
        <v>1.0243392086293548</v>
      </c>
      <c r="E56" s="80">
        <f t="shared" ca="1" si="18"/>
        <v>1.076888852339287</v>
      </c>
      <c r="F56" s="80">
        <f t="shared" ca="1" si="18"/>
        <v>1.2337055734629407</v>
      </c>
      <c r="G56" s="80">
        <f t="shared" ca="1" si="18"/>
        <v>0.98696445877035266</v>
      </c>
      <c r="H56" s="80">
        <f t="shared" ca="1" si="18"/>
        <v>1.0795262942422419</v>
      </c>
      <c r="I56" s="80">
        <f t="shared" ca="1" si="18"/>
        <v>1.4798869374487369</v>
      </c>
      <c r="J56" s="80">
        <f t="shared" ca="1" si="18"/>
        <v>1.7161926304272834</v>
      </c>
      <c r="K56" s="80">
        <f t="shared" ca="1" si="18"/>
        <v>1.7133353554325528</v>
      </c>
      <c r="L56" s="80">
        <f t="shared" ca="1" si="18"/>
        <v>2.0244322183855861</v>
      </c>
      <c r="M56" s="80">
        <f t="shared" ca="1" si="18"/>
        <v>2.8342051057398203</v>
      </c>
      <c r="N56" s="80">
        <f t="shared" ca="1" si="18"/>
        <v>2.6139841044006351</v>
      </c>
      <c r="O56" s="80">
        <f t="shared" ca="1" si="18"/>
        <v>2.4159854453452385</v>
      </c>
      <c r="P56" s="80">
        <f t="shared" ca="1" si="18"/>
        <v>2.552091330166316</v>
      </c>
      <c r="Q56" s="80">
        <f t="shared" ca="1" si="18"/>
        <v>3.5563064640698405</v>
      </c>
      <c r="R56" s="80">
        <f t="shared" ca="1" si="18"/>
        <v>3.5277023009945108</v>
      </c>
      <c r="S56" s="80">
        <f t="shared" ca="1" si="18"/>
        <v>3.7229165668107012</v>
      </c>
      <c r="T56" s="80">
        <f t="shared" ca="1" si="18"/>
        <v>4.1082852387317237</v>
      </c>
      <c r="U56" s="80">
        <f t="shared" ca="1" si="18"/>
        <v>4.2899571482077494</v>
      </c>
      <c r="V56" s="80">
        <f t="shared" ca="1" si="18"/>
        <v>4.6859399838542704</v>
      </c>
      <c r="W56" s="80">
        <f t="shared" ca="1" si="18"/>
        <v>4.8802967360360165</v>
      </c>
      <c r="X56" s="80">
        <f t="shared" ca="1" si="18"/>
        <v>4.5559121556818951</v>
      </c>
      <c r="Y56" s="80">
        <f t="shared" ca="1" si="18"/>
        <v>6.3782770179546526</v>
      </c>
      <c r="Z56" s="80">
        <f t="shared" ca="1" si="18"/>
        <v>6.6650690289502021</v>
      </c>
      <c r="AA56" s="80">
        <f t="shared" ca="1" si="18"/>
        <v>6.9188796757746509</v>
      </c>
      <c r="AB56" s="80">
        <f t="shared" ca="1" si="18"/>
        <v>9.2353762387684117</v>
      </c>
      <c r="AC56" s="80">
        <f t="shared" ca="1" si="18"/>
        <v>7.6503004039464946</v>
      </c>
      <c r="AD56" s="80">
        <f t="shared" ca="1" si="18"/>
        <v>8.2721566882093089</v>
      </c>
      <c r="AE56" s="80">
        <f t="shared" ca="1" si="18"/>
        <v>10.719796217172656</v>
      </c>
      <c r="AF56" s="80">
        <f t="shared" ca="1" si="18"/>
        <v>10.882408892600806</v>
      </c>
      <c r="AG56" s="69">
        <f t="shared" ca="1" si="18"/>
        <v>13.47092846024084</v>
      </c>
      <c r="AH56" s="14">
        <f t="shared" ca="1" si="13"/>
        <v>9.0552516700804109E-2</v>
      </c>
    </row>
    <row r="57" spans="2:34" x14ac:dyDescent="0.45">
      <c r="B57" s="8"/>
      <c r="C57" s="25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</row>
    <row r="58" spans="2:34" x14ac:dyDescent="0.45">
      <c r="B58" s="33" t="s">
        <v>72</v>
      </c>
      <c r="C58" s="51">
        <f>L10</f>
        <v>3.5999999999999997E-2</v>
      </c>
      <c r="D58" s="34">
        <f>C58</f>
        <v>3.5999999999999997E-2</v>
      </c>
      <c r="E58" s="34">
        <f t="shared" ref="E58:AG58" si="19">D58</f>
        <v>3.5999999999999997E-2</v>
      </c>
      <c r="F58" s="34">
        <f t="shared" si="19"/>
        <v>3.5999999999999997E-2</v>
      </c>
      <c r="G58" s="34">
        <f t="shared" si="19"/>
        <v>3.5999999999999997E-2</v>
      </c>
      <c r="H58" s="34">
        <f t="shared" si="19"/>
        <v>3.5999999999999997E-2</v>
      </c>
      <c r="I58" s="34">
        <f t="shared" si="19"/>
        <v>3.5999999999999997E-2</v>
      </c>
      <c r="J58" s="34">
        <f t="shared" si="19"/>
        <v>3.5999999999999997E-2</v>
      </c>
      <c r="K58" s="34">
        <f t="shared" si="19"/>
        <v>3.5999999999999997E-2</v>
      </c>
      <c r="L58" s="34">
        <f t="shared" si="19"/>
        <v>3.5999999999999997E-2</v>
      </c>
      <c r="M58" s="34">
        <f t="shared" si="19"/>
        <v>3.5999999999999997E-2</v>
      </c>
      <c r="N58" s="34">
        <f t="shared" si="19"/>
        <v>3.5999999999999997E-2</v>
      </c>
      <c r="O58" s="34">
        <f t="shared" si="19"/>
        <v>3.5999999999999997E-2</v>
      </c>
      <c r="P58" s="34">
        <f t="shared" si="19"/>
        <v>3.5999999999999997E-2</v>
      </c>
      <c r="Q58" s="34">
        <f t="shared" si="19"/>
        <v>3.5999999999999997E-2</v>
      </c>
      <c r="R58" s="34">
        <f t="shared" si="19"/>
        <v>3.5999999999999997E-2</v>
      </c>
      <c r="S58" s="34">
        <f t="shared" si="19"/>
        <v>3.5999999999999997E-2</v>
      </c>
      <c r="T58" s="34">
        <f t="shared" si="19"/>
        <v>3.5999999999999997E-2</v>
      </c>
      <c r="U58" s="34">
        <f t="shared" si="19"/>
        <v>3.5999999999999997E-2</v>
      </c>
      <c r="V58" s="34">
        <f t="shared" si="19"/>
        <v>3.5999999999999997E-2</v>
      </c>
      <c r="W58" s="34">
        <f t="shared" si="19"/>
        <v>3.5999999999999997E-2</v>
      </c>
      <c r="X58" s="34">
        <f t="shared" si="19"/>
        <v>3.5999999999999997E-2</v>
      </c>
      <c r="Y58" s="34">
        <f t="shared" si="19"/>
        <v>3.5999999999999997E-2</v>
      </c>
      <c r="Z58" s="34">
        <f t="shared" si="19"/>
        <v>3.5999999999999997E-2</v>
      </c>
      <c r="AA58" s="34">
        <f t="shared" si="19"/>
        <v>3.5999999999999997E-2</v>
      </c>
      <c r="AB58" s="34">
        <f t="shared" si="19"/>
        <v>3.5999999999999997E-2</v>
      </c>
      <c r="AC58" s="34">
        <f t="shared" si="19"/>
        <v>3.5999999999999997E-2</v>
      </c>
      <c r="AD58" s="34">
        <f t="shared" si="19"/>
        <v>3.5999999999999997E-2</v>
      </c>
      <c r="AE58" s="34">
        <f t="shared" si="19"/>
        <v>3.5999999999999997E-2</v>
      </c>
      <c r="AF58" s="34">
        <f t="shared" si="19"/>
        <v>3.5999999999999997E-2</v>
      </c>
      <c r="AG58" s="35">
        <f t="shared" si="19"/>
        <v>3.5999999999999997E-2</v>
      </c>
      <c r="AH58" s="3">
        <f>AVERAGE(C58:AG58)</f>
        <v>3.6000000000000011E-2</v>
      </c>
    </row>
    <row r="59" spans="2:34" x14ac:dyDescent="0.45">
      <c r="B59" s="37" t="s">
        <v>73</v>
      </c>
      <c r="C59" s="38">
        <f>C58</f>
        <v>3.5999999999999997E-2</v>
      </c>
      <c r="D59" s="32">
        <f ca="1">MAX(C59*EXP(-0.8*1)+$M$10*(1-EXP(-0.8*1))+0.015*SQRT(1)*_xlfn.NORM.INV(RAND(),0,1),0)</f>
        <v>4.2639904736849192E-2</v>
      </c>
      <c r="E59" s="32">
        <f t="shared" ref="E59:AG59" ca="1" si="20">MAX(D59*EXP(-0.8*1)+$M$10*(1-EXP(-0.8*1))+0.015*SQRT(1)*_xlfn.NORM.INV(RAND(),0,1),0)</f>
        <v>3.1799188719166989E-2</v>
      </c>
      <c r="F59" s="32">
        <f t="shared" ca="1" si="20"/>
        <v>5.8100655433604598E-2</v>
      </c>
      <c r="G59" s="32">
        <f t="shared" ca="1" si="20"/>
        <v>4.3132210004674966E-2</v>
      </c>
      <c r="H59" s="32">
        <f t="shared" ca="1" si="20"/>
        <v>5.2421358229895076E-2</v>
      </c>
      <c r="I59" s="32">
        <f t="shared" ca="1" si="20"/>
        <v>5.8088050666338265E-2</v>
      </c>
      <c r="J59" s="32">
        <f t="shared" ca="1" si="20"/>
        <v>6.4651646753455194E-2</v>
      </c>
      <c r="K59" s="32">
        <f t="shared" ca="1" si="20"/>
        <v>5.8337881729041988E-2</v>
      </c>
      <c r="L59" s="32">
        <f t="shared" ca="1" si="20"/>
        <v>2.6416274064291138E-2</v>
      </c>
      <c r="M59" s="32">
        <f t="shared" ca="1" si="20"/>
        <v>1.2877646566999797E-2</v>
      </c>
      <c r="N59" s="32">
        <f t="shared" ca="1" si="20"/>
        <v>1.8732765363529261E-2</v>
      </c>
      <c r="O59" s="32">
        <f t="shared" ca="1" si="20"/>
        <v>3.9182391285442764E-2</v>
      </c>
      <c r="P59" s="32">
        <f t="shared" ca="1" si="20"/>
        <v>3.0397604899864136E-2</v>
      </c>
      <c r="Q59" s="32">
        <f t="shared" ca="1" si="20"/>
        <v>4.7506679462371575E-2</v>
      </c>
      <c r="R59" s="32">
        <f t="shared" ca="1" si="20"/>
        <v>6.715435308701026E-2</v>
      </c>
      <c r="S59" s="32">
        <f t="shared" ca="1" si="20"/>
        <v>3.6902522127060675E-2</v>
      </c>
      <c r="T59" s="32">
        <f t="shared" ca="1" si="20"/>
        <v>4.034004734227728E-2</v>
      </c>
      <c r="U59" s="32">
        <f t="shared" ca="1" si="20"/>
        <v>3.6524673036729426E-2</v>
      </c>
      <c r="V59" s="32">
        <f t="shared" ca="1" si="20"/>
        <v>4.7280938238188935E-2</v>
      </c>
      <c r="W59" s="32">
        <f t="shared" ca="1" si="20"/>
        <v>3.4717853101102092E-2</v>
      </c>
      <c r="X59" s="32">
        <f t="shared" ca="1" si="20"/>
        <v>2.5563786468545902E-2</v>
      </c>
      <c r="Y59" s="32">
        <f t="shared" ca="1" si="20"/>
        <v>1.5692337126319612E-2</v>
      </c>
      <c r="Z59" s="32">
        <f t="shared" ca="1" si="20"/>
        <v>5.7285686949318973E-2</v>
      </c>
      <c r="AA59" s="32">
        <f t="shared" ca="1" si="20"/>
        <v>6.8161507893688203E-2</v>
      </c>
      <c r="AB59" s="32">
        <f t="shared" ca="1" si="20"/>
        <v>5.7762185880878281E-2</v>
      </c>
      <c r="AC59" s="32">
        <f t="shared" ca="1" si="20"/>
        <v>4.4669293944735837E-2</v>
      </c>
      <c r="AD59" s="32">
        <f t="shared" ca="1" si="20"/>
        <v>2.1492062551308894E-2</v>
      </c>
      <c r="AE59" s="32">
        <f t="shared" ca="1" si="20"/>
        <v>3.814549443995726E-2</v>
      </c>
      <c r="AF59" s="32">
        <f t="shared" ca="1" si="20"/>
        <v>5.9347355118500048E-2</v>
      </c>
      <c r="AG59" s="32">
        <f t="shared" ca="1" si="20"/>
        <v>6.6983129935368077E-2</v>
      </c>
      <c r="AH59" s="3">
        <f t="shared" ref="AH59:AH60" ca="1" si="21">AVERAGE(C59:AG59)</f>
        <v>4.3171209198597238E-2</v>
      </c>
    </row>
    <row r="60" spans="2:34" x14ac:dyDescent="0.45">
      <c r="B60" s="37" t="s">
        <v>74</v>
      </c>
      <c r="C60" s="56">
        <f>CHOOSE($K$8,C58,C59)</f>
        <v>3.5999999999999997E-2</v>
      </c>
      <c r="D60" s="32">
        <f t="shared" ref="D60:AG60" ca="1" si="22">CHOOSE($K$8,D58,D59)</f>
        <v>4.2639904736849192E-2</v>
      </c>
      <c r="E60" s="32">
        <f t="shared" ca="1" si="22"/>
        <v>3.1799188719166989E-2</v>
      </c>
      <c r="F60" s="32">
        <f t="shared" ca="1" si="22"/>
        <v>5.8100655433604598E-2</v>
      </c>
      <c r="G60" s="32">
        <f t="shared" ca="1" si="22"/>
        <v>4.3132210004674966E-2</v>
      </c>
      <c r="H60" s="32">
        <f t="shared" ca="1" si="22"/>
        <v>5.2421358229895076E-2</v>
      </c>
      <c r="I60" s="32">
        <f t="shared" ca="1" si="22"/>
        <v>5.8088050666338265E-2</v>
      </c>
      <c r="J60" s="32">
        <f t="shared" ca="1" si="22"/>
        <v>6.4651646753455194E-2</v>
      </c>
      <c r="K60" s="32">
        <f t="shared" ca="1" si="22"/>
        <v>5.8337881729041988E-2</v>
      </c>
      <c r="L60" s="32">
        <f t="shared" ca="1" si="22"/>
        <v>2.6416274064291138E-2</v>
      </c>
      <c r="M60" s="32">
        <f t="shared" ca="1" si="22"/>
        <v>1.2877646566999797E-2</v>
      </c>
      <c r="N60" s="32">
        <f t="shared" ca="1" si="22"/>
        <v>1.8732765363529261E-2</v>
      </c>
      <c r="O60" s="32">
        <f t="shared" ca="1" si="22"/>
        <v>3.9182391285442764E-2</v>
      </c>
      <c r="P60" s="32">
        <f t="shared" ca="1" si="22"/>
        <v>3.0397604899864136E-2</v>
      </c>
      <c r="Q60" s="32">
        <f t="shared" ca="1" si="22"/>
        <v>4.7506679462371575E-2</v>
      </c>
      <c r="R60" s="32">
        <f t="shared" ca="1" si="22"/>
        <v>6.715435308701026E-2</v>
      </c>
      <c r="S60" s="32">
        <f t="shared" ca="1" si="22"/>
        <v>3.6902522127060675E-2</v>
      </c>
      <c r="T60" s="32">
        <f t="shared" ca="1" si="22"/>
        <v>4.034004734227728E-2</v>
      </c>
      <c r="U60" s="32">
        <f t="shared" ca="1" si="22"/>
        <v>3.6524673036729426E-2</v>
      </c>
      <c r="V60" s="32">
        <f t="shared" ca="1" si="22"/>
        <v>4.7280938238188935E-2</v>
      </c>
      <c r="W60" s="32">
        <f t="shared" ca="1" si="22"/>
        <v>3.4717853101102092E-2</v>
      </c>
      <c r="X60" s="32">
        <f t="shared" ca="1" si="22"/>
        <v>2.5563786468545902E-2</v>
      </c>
      <c r="Y60" s="32">
        <f t="shared" ca="1" si="22"/>
        <v>1.5692337126319612E-2</v>
      </c>
      <c r="Z60" s="32">
        <f t="shared" ca="1" si="22"/>
        <v>5.7285686949318973E-2</v>
      </c>
      <c r="AA60" s="32">
        <f t="shared" ca="1" si="22"/>
        <v>6.8161507893688203E-2</v>
      </c>
      <c r="AB60" s="32">
        <f t="shared" ca="1" si="22"/>
        <v>5.7762185880878281E-2</v>
      </c>
      <c r="AC60" s="32">
        <f t="shared" ca="1" si="22"/>
        <v>4.4669293944735837E-2</v>
      </c>
      <c r="AD60" s="32">
        <f t="shared" ca="1" si="22"/>
        <v>2.1492062551308894E-2</v>
      </c>
      <c r="AE60" s="32">
        <f t="shared" ca="1" si="22"/>
        <v>3.814549443995726E-2</v>
      </c>
      <c r="AF60" s="32">
        <f t="shared" ca="1" si="22"/>
        <v>5.9347355118500048E-2</v>
      </c>
      <c r="AG60" s="57">
        <f t="shared" ca="1" si="22"/>
        <v>6.6983129935368077E-2</v>
      </c>
      <c r="AH60" s="3">
        <f t="shared" ca="1" si="21"/>
        <v>4.3171209198597238E-2</v>
      </c>
    </row>
    <row r="61" spans="2:34" x14ac:dyDescent="0.45">
      <c r="B61" s="8"/>
      <c r="C61" s="25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</row>
    <row r="62" spans="2:34" x14ac:dyDescent="0.45">
      <c r="B62" s="8" t="s">
        <v>7</v>
      </c>
      <c r="C62" s="25">
        <f>K12</f>
        <v>0.03</v>
      </c>
      <c r="D62" s="17">
        <f>C62</f>
        <v>0.03</v>
      </c>
      <c r="E62" s="17">
        <f t="shared" ref="E62:AG62" si="23">D62</f>
        <v>0.03</v>
      </c>
      <c r="F62" s="17">
        <f t="shared" si="23"/>
        <v>0.03</v>
      </c>
      <c r="G62" s="17">
        <f t="shared" si="23"/>
        <v>0.03</v>
      </c>
      <c r="H62" s="17">
        <f t="shared" si="23"/>
        <v>0.03</v>
      </c>
      <c r="I62" s="17">
        <f t="shared" si="23"/>
        <v>0.03</v>
      </c>
      <c r="J62" s="17">
        <f t="shared" si="23"/>
        <v>0.03</v>
      </c>
      <c r="K62" s="17">
        <f>J62</f>
        <v>0.03</v>
      </c>
      <c r="L62" s="17">
        <f>K62</f>
        <v>0.03</v>
      </c>
      <c r="M62" s="17">
        <f t="shared" si="23"/>
        <v>0.03</v>
      </c>
      <c r="N62" s="17">
        <f t="shared" si="23"/>
        <v>0.03</v>
      </c>
      <c r="O62" s="17">
        <f t="shared" si="23"/>
        <v>0.03</v>
      </c>
      <c r="P62" s="17">
        <f t="shared" si="23"/>
        <v>0.03</v>
      </c>
      <c r="Q62" s="17">
        <f t="shared" si="23"/>
        <v>0.03</v>
      </c>
      <c r="R62" s="17">
        <f t="shared" si="23"/>
        <v>0.03</v>
      </c>
      <c r="S62" s="17">
        <f t="shared" si="23"/>
        <v>0.03</v>
      </c>
      <c r="T62" s="17">
        <f t="shared" si="23"/>
        <v>0.03</v>
      </c>
      <c r="U62" s="17">
        <f t="shared" si="23"/>
        <v>0.03</v>
      </c>
      <c r="V62" s="17">
        <f t="shared" si="23"/>
        <v>0.03</v>
      </c>
      <c r="W62" s="17">
        <f t="shared" si="23"/>
        <v>0.03</v>
      </c>
      <c r="X62" s="17">
        <f t="shared" si="23"/>
        <v>0.03</v>
      </c>
      <c r="Y62" s="17">
        <f t="shared" si="23"/>
        <v>0.03</v>
      </c>
      <c r="Z62" s="17">
        <f t="shared" si="23"/>
        <v>0.03</v>
      </c>
      <c r="AA62" s="17">
        <f t="shared" si="23"/>
        <v>0.03</v>
      </c>
      <c r="AB62" s="17">
        <f t="shared" si="23"/>
        <v>0.03</v>
      </c>
      <c r="AC62" s="17">
        <f t="shared" si="23"/>
        <v>0.03</v>
      </c>
      <c r="AD62" s="17">
        <f t="shared" si="23"/>
        <v>0.03</v>
      </c>
      <c r="AE62" s="17">
        <f t="shared" si="23"/>
        <v>0.03</v>
      </c>
      <c r="AF62" s="17">
        <f t="shared" si="23"/>
        <v>0.03</v>
      </c>
      <c r="AG62" s="17">
        <f t="shared" si="23"/>
        <v>0.03</v>
      </c>
    </row>
    <row r="63" spans="2:34" x14ac:dyDescent="0.45">
      <c r="B63" s="20" t="s">
        <v>128</v>
      </c>
      <c r="C63" s="49">
        <f>C62+C60</f>
        <v>6.6000000000000003E-2</v>
      </c>
      <c r="D63" s="49">
        <f t="shared" ref="D63:AG63" ca="1" si="24">D62+D60</f>
        <v>7.2639904736849198E-2</v>
      </c>
      <c r="E63" s="49">
        <f t="shared" ca="1" si="24"/>
        <v>6.1799188719166988E-2</v>
      </c>
      <c r="F63" s="49">
        <f t="shared" ca="1" si="24"/>
        <v>8.8100655433604597E-2</v>
      </c>
      <c r="G63" s="49">
        <f t="shared" ca="1" si="24"/>
        <v>7.3132210004674958E-2</v>
      </c>
      <c r="H63" s="49">
        <f t="shared" ca="1" si="24"/>
        <v>8.2421358229895075E-2</v>
      </c>
      <c r="I63" s="49">
        <f t="shared" ca="1" si="24"/>
        <v>8.8088050666338263E-2</v>
      </c>
      <c r="J63" s="49">
        <f t="shared" ca="1" si="24"/>
        <v>9.4651646753455193E-2</v>
      </c>
      <c r="K63" s="49">
        <f t="shared" ca="1" si="24"/>
        <v>8.8337881729041987E-2</v>
      </c>
      <c r="L63" s="49">
        <f t="shared" ca="1" si="24"/>
        <v>5.6416274064291137E-2</v>
      </c>
      <c r="M63" s="49">
        <f t="shared" ca="1" si="24"/>
        <v>4.28776465669998E-2</v>
      </c>
      <c r="N63" s="49">
        <f t="shared" ca="1" si="24"/>
        <v>4.873276536352926E-2</v>
      </c>
      <c r="O63" s="49">
        <f t="shared" ca="1" si="24"/>
        <v>6.9182391285442763E-2</v>
      </c>
      <c r="P63" s="49">
        <f t="shared" ca="1" si="24"/>
        <v>6.0397604899864135E-2</v>
      </c>
      <c r="Q63" s="49">
        <f t="shared" ca="1" si="24"/>
        <v>7.750667946237158E-2</v>
      </c>
      <c r="R63" s="49">
        <f t="shared" ca="1" si="24"/>
        <v>9.7154353087010259E-2</v>
      </c>
      <c r="S63" s="49">
        <f t="shared" ca="1" si="24"/>
        <v>6.6902522127060673E-2</v>
      </c>
      <c r="T63" s="49">
        <f t="shared" ca="1" si="24"/>
        <v>7.0340047342277279E-2</v>
      </c>
      <c r="U63" s="49">
        <f t="shared" ca="1" si="24"/>
        <v>6.6524673036729431E-2</v>
      </c>
      <c r="V63" s="49">
        <f t="shared" ca="1" si="24"/>
        <v>7.7280938238188934E-2</v>
      </c>
      <c r="W63" s="49">
        <f t="shared" ca="1" si="24"/>
        <v>6.4717853101102091E-2</v>
      </c>
      <c r="X63" s="49">
        <f t="shared" ca="1" si="24"/>
        <v>5.55637864685459E-2</v>
      </c>
      <c r="Y63" s="49">
        <f t="shared" ca="1" si="24"/>
        <v>4.5692337126319607E-2</v>
      </c>
      <c r="Z63" s="49">
        <f t="shared" ca="1" si="24"/>
        <v>8.7285686949318972E-2</v>
      </c>
      <c r="AA63" s="49">
        <f t="shared" ca="1" si="24"/>
        <v>9.8161507893688202E-2</v>
      </c>
      <c r="AB63" s="49">
        <f t="shared" ca="1" si="24"/>
        <v>8.776218588087828E-2</v>
      </c>
      <c r="AC63" s="49">
        <f t="shared" ca="1" si="24"/>
        <v>7.4669293944735843E-2</v>
      </c>
      <c r="AD63" s="49">
        <f t="shared" ca="1" si="24"/>
        <v>5.1492062551308893E-2</v>
      </c>
      <c r="AE63" s="49">
        <f t="shared" ca="1" si="24"/>
        <v>6.8145494439957266E-2</v>
      </c>
      <c r="AF63" s="49">
        <f t="shared" ca="1" si="24"/>
        <v>8.9347355118500046E-2</v>
      </c>
      <c r="AG63" s="49">
        <f t="shared" ca="1" si="24"/>
        <v>9.6983129935368076E-2</v>
      </c>
    </row>
    <row r="64" spans="2:34" x14ac:dyDescent="0.45">
      <c r="B64" s="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</row>
    <row r="65" spans="2:35" x14ac:dyDescent="0.45">
      <c r="B65" s="8" t="s">
        <v>33</v>
      </c>
      <c r="C65" s="25">
        <f>K13</f>
        <v>7.4999999999999997E-3</v>
      </c>
      <c r="D65" s="17">
        <f>C65</f>
        <v>7.4999999999999997E-3</v>
      </c>
      <c r="E65" s="17">
        <f t="shared" ref="E65:AG65" si="25">D65</f>
        <v>7.4999999999999997E-3</v>
      </c>
      <c r="F65" s="17">
        <f t="shared" si="25"/>
        <v>7.4999999999999997E-3</v>
      </c>
      <c r="G65" s="17">
        <f t="shared" si="25"/>
        <v>7.4999999999999997E-3</v>
      </c>
      <c r="H65" s="17">
        <f t="shared" si="25"/>
        <v>7.4999999999999997E-3</v>
      </c>
      <c r="I65" s="17">
        <f t="shared" si="25"/>
        <v>7.4999999999999997E-3</v>
      </c>
      <c r="J65" s="17">
        <f t="shared" si="25"/>
        <v>7.4999999999999997E-3</v>
      </c>
      <c r="K65" s="17">
        <f>J65</f>
        <v>7.4999999999999997E-3</v>
      </c>
      <c r="L65" s="17">
        <f>K65</f>
        <v>7.4999999999999997E-3</v>
      </c>
      <c r="M65" s="17">
        <f t="shared" si="25"/>
        <v>7.4999999999999997E-3</v>
      </c>
      <c r="N65" s="17">
        <f t="shared" si="25"/>
        <v>7.4999999999999997E-3</v>
      </c>
      <c r="O65" s="17">
        <f t="shared" si="25"/>
        <v>7.4999999999999997E-3</v>
      </c>
      <c r="P65" s="17">
        <f t="shared" si="25"/>
        <v>7.4999999999999997E-3</v>
      </c>
      <c r="Q65" s="17">
        <f t="shared" si="25"/>
        <v>7.4999999999999997E-3</v>
      </c>
      <c r="R65" s="17">
        <f t="shared" si="25"/>
        <v>7.4999999999999997E-3</v>
      </c>
      <c r="S65" s="17">
        <f t="shared" si="25"/>
        <v>7.4999999999999997E-3</v>
      </c>
      <c r="T65" s="17">
        <f t="shared" si="25"/>
        <v>7.4999999999999997E-3</v>
      </c>
      <c r="U65" s="17">
        <f t="shared" si="25"/>
        <v>7.4999999999999997E-3</v>
      </c>
      <c r="V65" s="17">
        <f t="shared" si="25"/>
        <v>7.4999999999999997E-3</v>
      </c>
      <c r="W65" s="17">
        <f t="shared" si="25"/>
        <v>7.4999999999999997E-3</v>
      </c>
      <c r="X65" s="17">
        <f t="shared" si="25"/>
        <v>7.4999999999999997E-3</v>
      </c>
      <c r="Y65" s="17">
        <f t="shared" si="25"/>
        <v>7.4999999999999997E-3</v>
      </c>
      <c r="Z65" s="17">
        <f t="shared" si="25"/>
        <v>7.4999999999999997E-3</v>
      </c>
      <c r="AA65" s="17">
        <f t="shared" si="25"/>
        <v>7.4999999999999997E-3</v>
      </c>
      <c r="AB65" s="17">
        <f t="shared" si="25"/>
        <v>7.4999999999999997E-3</v>
      </c>
      <c r="AC65" s="17">
        <f t="shared" si="25"/>
        <v>7.4999999999999997E-3</v>
      </c>
      <c r="AD65" s="17">
        <f t="shared" si="25"/>
        <v>7.4999999999999997E-3</v>
      </c>
      <c r="AE65" s="17">
        <f t="shared" si="25"/>
        <v>7.4999999999999997E-3</v>
      </c>
      <c r="AF65" s="17">
        <f t="shared" si="25"/>
        <v>7.4999999999999997E-3</v>
      </c>
      <c r="AG65" s="17">
        <f t="shared" si="25"/>
        <v>7.4999999999999997E-3</v>
      </c>
    </row>
    <row r="66" spans="2:35" x14ac:dyDescent="0.4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</row>
    <row r="67" spans="2:35" x14ac:dyDescent="0.45">
      <c r="B67" s="8" t="s">
        <v>12</v>
      </c>
      <c r="C67" s="25">
        <f>K15</f>
        <v>2.5000000000000001E-3</v>
      </c>
      <c r="D67" s="17">
        <f>C67</f>
        <v>2.5000000000000001E-3</v>
      </c>
      <c r="E67" s="17">
        <f t="shared" ref="E67:AG67" si="26">D67</f>
        <v>2.5000000000000001E-3</v>
      </c>
      <c r="F67" s="17">
        <f t="shared" si="26"/>
        <v>2.5000000000000001E-3</v>
      </c>
      <c r="G67" s="17">
        <f t="shared" si="26"/>
        <v>2.5000000000000001E-3</v>
      </c>
      <c r="H67" s="17">
        <f t="shared" si="26"/>
        <v>2.5000000000000001E-3</v>
      </c>
      <c r="I67" s="17">
        <f t="shared" si="26"/>
        <v>2.5000000000000001E-3</v>
      </c>
      <c r="J67" s="17">
        <f t="shared" si="26"/>
        <v>2.5000000000000001E-3</v>
      </c>
      <c r="K67" s="17">
        <f>J67</f>
        <v>2.5000000000000001E-3</v>
      </c>
      <c r="L67" s="17">
        <f>K67</f>
        <v>2.5000000000000001E-3</v>
      </c>
      <c r="M67" s="17">
        <f t="shared" si="26"/>
        <v>2.5000000000000001E-3</v>
      </c>
      <c r="N67" s="17">
        <f t="shared" si="26"/>
        <v>2.5000000000000001E-3</v>
      </c>
      <c r="O67" s="17">
        <f t="shared" si="26"/>
        <v>2.5000000000000001E-3</v>
      </c>
      <c r="P67" s="17">
        <f t="shared" si="26"/>
        <v>2.5000000000000001E-3</v>
      </c>
      <c r="Q67" s="17">
        <f t="shared" si="26"/>
        <v>2.5000000000000001E-3</v>
      </c>
      <c r="R67" s="17">
        <f t="shared" si="26"/>
        <v>2.5000000000000001E-3</v>
      </c>
      <c r="S67" s="17">
        <f t="shared" si="26"/>
        <v>2.5000000000000001E-3</v>
      </c>
      <c r="T67" s="17">
        <f t="shared" si="26"/>
        <v>2.5000000000000001E-3</v>
      </c>
      <c r="U67" s="17">
        <f t="shared" si="26"/>
        <v>2.5000000000000001E-3</v>
      </c>
      <c r="V67" s="17">
        <f t="shared" si="26"/>
        <v>2.5000000000000001E-3</v>
      </c>
      <c r="W67" s="17">
        <f t="shared" si="26"/>
        <v>2.5000000000000001E-3</v>
      </c>
      <c r="X67" s="17">
        <f t="shared" si="26"/>
        <v>2.5000000000000001E-3</v>
      </c>
      <c r="Y67" s="17">
        <f t="shared" si="26"/>
        <v>2.5000000000000001E-3</v>
      </c>
      <c r="Z67" s="17">
        <f t="shared" si="26"/>
        <v>2.5000000000000001E-3</v>
      </c>
      <c r="AA67" s="17">
        <f t="shared" si="26"/>
        <v>2.5000000000000001E-3</v>
      </c>
      <c r="AB67" s="17">
        <f t="shared" si="26"/>
        <v>2.5000000000000001E-3</v>
      </c>
      <c r="AC67" s="17">
        <f t="shared" si="26"/>
        <v>2.5000000000000001E-3</v>
      </c>
      <c r="AD67" s="17">
        <f t="shared" si="26"/>
        <v>2.5000000000000001E-3</v>
      </c>
      <c r="AE67" s="17">
        <f t="shared" si="26"/>
        <v>2.5000000000000001E-3</v>
      </c>
      <c r="AF67" s="17">
        <f t="shared" si="26"/>
        <v>2.5000000000000001E-3</v>
      </c>
      <c r="AG67" s="17">
        <f t="shared" si="26"/>
        <v>2.5000000000000001E-3</v>
      </c>
    </row>
    <row r="68" spans="2:35" x14ac:dyDescent="0.4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</row>
    <row r="69" spans="2:35" x14ac:dyDescent="0.45">
      <c r="B69" s="18" t="s">
        <v>26</v>
      </c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</row>
    <row r="70" spans="2:35" x14ac:dyDescent="0.45">
      <c r="B70" s="19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</row>
    <row r="71" spans="2:35" x14ac:dyDescent="0.45">
      <c r="B71" s="8" t="s">
        <v>20</v>
      </c>
      <c r="C71" s="50">
        <v>0</v>
      </c>
      <c r="D71" s="12">
        <f ca="1">C81</f>
        <v>1296000</v>
      </c>
      <c r="E71" s="12">
        <f t="shared" ref="E71:AG71" ca="1" si="27">D81</f>
        <v>1212439.6396546871</v>
      </c>
      <c r="F71" s="12">
        <f t="shared" ca="1" si="27"/>
        <v>1172338.3207514486</v>
      </c>
      <c r="G71" s="12">
        <f t="shared" ca="1" si="27"/>
        <v>1202810.9695912919</v>
      </c>
      <c r="H71" s="12">
        <f t="shared" ca="1" si="27"/>
        <v>839939.43834453064</v>
      </c>
      <c r="I71" s="12">
        <f t="shared" ca="1" si="27"/>
        <v>901650.57978524931</v>
      </c>
      <c r="J71" s="12">
        <f t="shared" ca="1" si="27"/>
        <v>1218293.1168103027</v>
      </c>
      <c r="K71" s="12">
        <f ca="1">J81</f>
        <v>1392478.2791278143</v>
      </c>
      <c r="L71" s="12">
        <f ca="1">K81</f>
        <v>1368278.8664005559</v>
      </c>
      <c r="M71" s="12">
        <f t="shared" ca="1" si="27"/>
        <v>1594797.9094965979</v>
      </c>
      <c r="N71" s="12">
        <f t="shared" ca="1" si="27"/>
        <v>2208868.5889740125</v>
      </c>
      <c r="O71" s="12">
        <f t="shared" ca="1" si="27"/>
        <v>1817492.7661591719</v>
      </c>
      <c r="P71" s="12">
        <f t="shared" ca="1" si="27"/>
        <v>1430296.8129483319</v>
      </c>
      <c r="Q71" s="12">
        <f t="shared" ca="1" si="27"/>
        <v>1278304.7359509671</v>
      </c>
      <c r="R71" s="12">
        <f t="shared" ca="1" si="27"/>
        <v>1522497.9954587533</v>
      </c>
      <c r="S71" s="12">
        <f t="shared" ca="1" si="27"/>
        <v>1218181.2557554105</v>
      </c>
      <c r="T71" s="12">
        <f t="shared" ca="1" si="27"/>
        <v>1044206.7297625229</v>
      </c>
      <c r="U71" s="12">
        <f t="shared" ca="1" si="27"/>
        <v>1132463.7043577835</v>
      </c>
      <c r="V71" s="12">
        <f t="shared" ca="1" si="27"/>
        <v>1162048.7463534605</v>
      </c>
      <c r="W71" s="12">
        <f t="shared" ca="1" si="27"/>
        <v>1248595.8409257832</v>
      </c>
      <c r="X71" s="12">
        <f t="shared" ca="1" si="27"/>
        <v>1279018.8540896117</v>
      </c>
      <c r="Y71" s="12">
        <f t="shared" ca="1" si="27"/>
        <v>1172412.1209822407</v>
      </c>
      <c r="Z71" s="12">
        <f t="shared" ca="1" si="27"/>
        <v>1620583.8784677698</v>
      </c>
      <c r="AA71" s="12">
        <f t="shared" ca="1" si="27"/>
        <v>1669297.2202675866</v>
      </c>
      <c r="AB71" s="12">
        <f t="shared" ca="1" si="27"/>
        <v>1708345.5360042469</v>
      </c>
      <c r="AC71" s="12">
        <f t="shared" ca="1" si="27"/>
        <v>2255500.7699134811</v>
      </c>
      <c r="AD71" s="12">
        <f t="shared" ca="1" si="27"/>
        <v>1603852.6607442703</v>
      </c>
      <c r="AE71" s="12">
        <f t="shared" ca="1" si="27"/>
        <v>1511658.5873787613</v>
      </c>
      <c r="AF71" s="12">
        <f t="shared" ca="1" si="27"/>
        <v>1710424.0068001626</v>
      </c>
      <c r="AG71" s="12">
        <f t="shared" ca="1" si="27"/>
        <v>1452438.7517392032</v>
      </c>
    </row>
    <row r="72" spans="2:35" x14ac:dyDescent="0.45">
      <c r="B72" s="8" t="s">
        <v>27</v>
      </c>
      <c r="C72" s="12">
        <f ca="1">C29</f>
        <v>1300000</v>
      </c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</row>
    <row r="73" spans="2:35" x14ac:dyDescent="0.45">
      <c r="B73" s="8" t="s">
        <v>45</v>
      </c>
      <c r="C73" s="12">
        <f ca="1">-MAX(C32:AG32)*$K$17</f>
        <v>-4000</v>
      </c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</row>
    <row r="74" spans="2:35" x14ac:dyDescent="0.45">
      <c r="B74" s="8" t="s">
        <v>28</v>
      </c>
      <c r="C74" s="48"/>
      <c r="D74" s="12">
        <f t="shared" ref="D74:AG74" ca="1" si="28">D71*D49</f>
        <v>31543.61438364381</v>
      </c>
      <c r="E74" s="12">
        <f t="shared" ca="1" si="28"/>
        <v>62199.387221451347</v>
      </c>
      <c r="F74" s="12">
        <f t="shared" ca="1" si="28"/>
        <v>170716.08746668563</v>
      </c>
      <c r="G74" s="12">
        <f t="shared" ca="1" si="28"/>
        <v>-240562.19391825833</v>
      </c>
      <c r="H74" s="12">
        <f t="shared" ca="1" si="28"/>
        <v>78773.187228302675</v>
      </c>
      <c r="I74" s="12">
        <f t="shared" ca="1" si="28"/>
        <v>334392.41637344286</v>
      </c>
      <c r="J74" s="12">
        <f t="shared" ca="1" si="28"/>
        <v>194534.86069358897</v>
      </c>
      <c r="K74" s="12">
        <f t="shared" ca="1" si="28"/>
        <v>-2318.3256337995936</v>
      </c>
      <c r="L74" s="12">
        <f t="shared" ca="1" si="28"/>
        <v>248443.63459404631</v>
      </c>
      <c r="M74" s="12">
        <f t="shared" ca="1" si="28"/>
        <v>637919.16379863909</v>
      </c>
      <c r="N74" s="12">
        <f t="shared" ca="1" si="28"/>
        <v>-171631.63368289583</v>
      </c>
      <c r="O74" s="12">
        <f t="shared" ca="1" si="28"/>
        <v>-137667.681274945</v>
      </c>
      <c r="P74" s="12">
        <f t="shared" ca="1" si="28"/>
        <v>80576.567072522987</v>
      </c>
      <c r="Q74" s="12">
        <f t="shared" ca="1" si="28"/>
        <v>502996.48230020574</v>
      </c>
      <c r="R74" s="12">
        <f t="shared" ca="1" si="28"/>
        <v>-12245.789665192891</v>
      </c>
      <c r="S74" s="12">
        <f t="shared" ca="1" si="28"/>
        <v>67411.11896156783</v>
      </c>
      <c r="T74" s="12">
        <f t="shared" ca="1" si="28"/>
        <v>108088.52506847976</v>
      </c>
      <c r="U74" s="12">
        <f t="shared" ca="1" si="28"/>
        <v>50078.519778360249</v>
      </c>
      <c r="V74" s="12">
        <f t="shared" ca="1" si="28"/>
        <v>107262.46016997386</v>
      </c>
      <c r="W74" s="12">
        <f t="shared" ca="1" si="28"/>
        <v>51787.481970771842</v>
      </c>
      <c r="X74" s="12">
        <f t="shared" ca="1" si="28"/>
        <v>-85014.091701698941</v>
      </c>
      <c r="Y74" s="12">
        <f t="shared" ca="1" si="28"/>
        <v>468964.84839289618</v>
      </c>
      <c r="Z74" s="12">
        <f t="shared" ca="1" si="28"/>
        <v>72867.720888325217</v>
      </c>
      <c r="AA74" s="12">
        <f t="shared" ca="1" si="28"/>
        <v>63568.044888667013</v>
      </c>
      <c r="AB74" s="12">
        <f t="shared" ca="1" si="28"/>
        <v>571967.82542926597</v>
      </c>
      <c r="AC74" s="12">
        <f t="shared" ca="1" si="28"/>
        <v>-387113.60245447379</v>
      </c>
      <c r="AD74" s="12">
        <f t="shared" ca="1" si="28"/>
        <v>130369.50230097596</v>
      </c>
      <c r="AE74" s="12">
        <f t="shared" ca="1" si="28"/>
        <v>447283.03055948223</v>
      </c>
      <c r="AF74" s="12">
        <f t="shared" ca="1" si="28"/>
        <v>25946.073808450692</v>
      </c>
      <c r="AG74" s="12">
        <f t="shared" ca="1" si="28"/>
        <v>345481.05725303851</v>
      </c>
    </row>
    <row r="75" spans="2:35" x14ac:dyDescent="0.45">
      <c r="B75" s="8" t="s">
        <v>46</v>
      </c>
      <c r="C75" s="47"/>
      <c r="D75" s="12">
        <f ca="1">D126</f>
        <v>-95521.474728956702</v>
      </c>
      <c r="E75" s="12">
        <f t="shared" ref="E75:AG75" ca="1" si="29">E126</f>
        <v>-83119.908827279593</v>
      </c>
      <c r="F75" s="12">
        <f t="shared" ca="1" si="29"/>
        <v>-121138.40122120632</v>
      </c>
      <c r="G75" s="12">
        <f t="shared" ca="1" si="29"/>
        <v>-102750.75505656832</v>
      </c>
      <c r="H75" s="12">
        <f t="shared" ca="1" si="29"/>
        <v>0</v>
      </c>
      <c r="I75" s="12">
        <f t="shared" ca="1" si="29"/>
        <v>0</v>
      </c>
      <c r="J75" s="12">
        <f t="shared" ca="1" si="29"/>
        <v>0</v>
      </c>
      <c r="K75" s="12">
        <f t="shared" ca="1" si="29"/>
        <v>0</v>
      </c>
      <c r="L75" s="12">
        <f t="shared" ca="1" si="29"/>
        <v>0</v>
      </c>
      <c r="M75" s="12">
        <f t="shared" ca="1" si="29"/>
        <v>0</v>
      </c>
      <c r="N75" s="12">
        <f t="shared" ca="1" si="29"/>
        <v>-191177.67471463964</v>
      </c>
      <c r="O75" s="12">
        <f t="shared" ca="1" si="29"/>
        <v>-223897.07618970124</v>
      </c>
      <c r="P75" s="12">
        <f t="shared" ca="1" si="29"/>
        <v>-209841.41797277544</v>
      </c>
      <c r="Q75" s="12">
        <f t="shared" ca="1" si="29"/>
        <v>-237215.93727278733</v>
      </c>
      <c r="R75" s="12">
        <f t="shared" ca="1" si="29"/>
        <v>-268652.21507220925</v>
      </c>
      <c r="S75" s="12">
        <f t="shared" ca="1" si="29"/>
        <v>-220249.28553628991</v>
      </c>
      <c r="T75" s="12">
        <f t="shared" ca="1" si="29"/>
        <v>0</v>
      </c>
      <c r="U75" s="12">
        <f t="shared" ca="1" si="29"/>
        <v>0</v>
      </c>
      <c r="V75" s="12">
        <f t="shared" ca="1" si="29"/>
        <v>0</v>
      </c>
      <c r="W75" s="12">
        <f t="shared" ca="1" si="29"/>
        <v>0</v>
      </c>
      <c r="X75" s="12">
        <f t="shared" ca="1" si="29"/>
        <v>0</v>
      </c>
      <c r="Y75" s="12">
        <f t="shared" ca="1" si="29"/>
        <v>0</v>
      </c>
      <c r="Z75" s="12">
        <f t="shared" ca="1" si="29"/>
        <v>0</v>
      </c>
      <c r="AA75" s="12">
        <f t="shared" ca="1" si="29"/>
        <v>0</v>
      </c>
      <c r="AB75" s="12">
        <f t="shared" ca="1" si="29"/>
        <v>0</v>
      </c>
      <c r="AC75" s="12">
        <f t="shared" ca="1" si="29"/>
        <v>-235618.25094038603</v>
      </c>
      <c r="AD75" s="12">
        <f t="shared" ca="1" si="29"/>
        <v>-198534.6807109029</v>
      </c>
      <c r="AE75" s="12">
        <f t="shared" ca="1" si="29"/>
        <v>-225180.1717327403</v>
      </c>
      <c r="AF75" s="12">
        <f t="shared" ca="1" si="29"/>
        <v>-259103.14881840878</v>
      </c>
      <c r="AG75" s="12">
        <f t="shared" ca="1" si="29"/>
        <v>-193733.88457710313</v>
      </c>
    </row>
    <row r="76" spans="2:35" x14ac:dyDescent="0.45">
      <c r="B76" s="8" t="s">
        <v>29</v>
      </c>
      <c r="C76" s="47"/>
      <c r="D76" s="12">
        <f t="shared" ref="D76:AG76" ca="1" si="30">-D65*AVERAGE(D32,D28)</f>
        <v>-9862.5</v>
      </c>
      <c r="E76" s="12">
        <f t="shared" ca="1" si="30"/>
        <v>-10087.5</v>
      </c>
      <c r="F76" s="12">
        <f t="shared" ca="1" si="30"/>
        <v>-10312.5</v>
      </c>
      <c r="G76" s="12">
        <f t="shared" ca="1" si="30"/>
        <v>-10537.5</v>
      </c>
      <c r="H76" s="12">
        <f t="shared" ca="1" si="30"/>
        <v>-10762.5</v>
      </c>
      <c r="I76" s="12">
        <f t="shared" ca="1" si="30"/>
        <v>-10987.5</v>
      </c>
      <c r="J76" s="12">
        <f t="shared" ca="1" si="30"/>
        <v>-11212.5</v>
      </c>
      <c r="K76" s="12">
        <f t="shared" ca="1" si="30"/>
        <v>-11437.5</v>
      </c>
      <c r="L76" s="12">
        <f t="shared" ca="1" si="30"/>
        <v>-11662.5</v>
      </c>
      <c r="M76" s="12">
        <f t="shared" ca="1" si="30"/>
        <v>-11887.5</v>
      </c>
      <c r="N76" s="12">
        <f t="shared" ca="1" si="30"/>
        <v>-12000</v>
      </c>
      <c r="O76" s="12">
        <f t="shared" ca="1" si="30"/>
        <v>-12000</v>
      </c>
      <c r="P76" s="12">
        <f t="shared" ca="1" si="30"/>
        <v>-12000</v>
      </c>
      <c r="Q76" s="12">
        <f t="shared" ca="1" si="30"/>
        <v>-12000</v>
      </c>
      <c r="R76" s="12">
        <f t="shared" ca="1" si="30"/>
        <v>-12000</v>
      </c>
      <c r="S76" s="12">
        <f t="shared" ca="1" si="30"/>
        <v>-12000</v>
      </c>
      <c r="T76" s="12">
        <f t="shared" ca="1" si="30"/>
        <v>-12000</v>
      </c>
      <c r="U76" s="12">
        <f t="shared" ca="1" si="30"/>
        <v>-12000</v>
      </c>
      <c r="V76" s="12">
        <f t="shared" ca="1" si="30"/>
        <v>-12000</v>
      </c>
      <c r="W76" s="12">
        <f t="shared" ca="1" si="30"/>
        <v>-12000</v>
      </c>
      <c r="X76" s="12">
        <f t="shared" ca="1" si="30"/>
        <v>-12000</v>
      </c>
      <c r="Y76" s="12">
        <f t="shared" ca="1" si="30"/>
        <v>-12000</v>
      </c>
      <c r="Z76" s="12">
        <f t="shared" ca="1" si="30"/>
        <v>-12000</v>
      </c>
      <c r="AA76" s="12">
        <f t="shared" ca="1" si="30"/>
        <v>-12000</v>
      </c>
      <c r="AB76" s="12">
        <f t="shared" ca="1" si="30"/>
        <v>-12000</v>
      </c>
      <c r="AC76" s="12">
        <f t="shared" ca="1" si="30"/>
        <v>-12000</v>
      </c>
      <c r="AD76" s="12">
        <f t="shared" ca="1" si="30"/>
        <v>-12000</v>
      </c>
      <c r="AE76" s="12">
        <f t="shared" ca="1" si="30"/>
        <v>-12000</v>
      </c>
      <c r="AF76" s="12">
        <f t="shared" ca="1" si="30"/>
        <v>-12000</v>
      </c>
      <c r="AG76" s="12">
        <f t="shared" ca="1" si="30"/>
        <v>-6000</v>
      </c>
    </row>
    <row r="77" spans="2:35" x14ac:dyDescent="0.45">
      <c r="B77" s="8" t="s">
        <v>12</v>
      </c>
      <c r="C77" s="47"/>
      <c r="D77" s="12">
        <f t="shared" ref="D77:AG77" ca="1" si="31">-D67*D71</f>
        <v>-3240</v>
      </c>
      <c r="E77" s="12">
        <f t="shared" ca="1" si="31"/>
        <v>-3031.099099136718</v>
      </c>
      <c r="F77" s="12">
        <f t="shared" ca="1" si="31"/>
        <v>-2930.8458018786218</v>
      </c>
      <c r="G77" s="12">
        <f t="shared" ca="1" si="31"/>
        <v>-3007.0274239782298</v>
      </c>
      <c r="H77" s="12">
        <f t="shared" ca="1" si="31"/>
        <v>-2099.8485958613264</v>
      </c>
      <c r="I77" s="12">
        <f t="shared" ca="1" si="31"/>
        <v>-2254.1264494631232</v>
      </c>
      <c r="J77" s="12">
        <f t="shared" ca="1" si="31"/>
        <v>-3045.7327920257567</v>
      </c>
      <c r="K77" s="12">
        <f t="shared" ca="1" si="31"/>
        <v>-3481.1956978195358</v>
      </c>
      <c r="L77" s="12">
        <f t="shared" ca="1" si="31"/>
        <v>-3420.6971660013901</v>
      </c>
      <c r="M77" s="12">
        <f t="shared" ca="1" si="31"/>
        <v>-3986.994773741495</v>
      </c>
      <c r="N77" s="12">
        <f t="shared" ca="1" si="31"/>
        <v>-5522.1714724350313</v>
      </c>
      <c r="O77" s="12">
        <f t="shared" ca="1" si="31"/>
        <v>-4543.7319153979297</v>
      </c>
      <c r="P77" s="12">
        <f t="shared" ca="1" si="31"/>
        <v>-3575.7420323708297</v>
      </c>
      <c r="Q77" s="12">
        <f t="shared" ca="1" si="31"/>
        <v>-3195.7618398774175</v>
      </c>
      <c r="R77" s="12">
        <f t="shared" ca="1" si="31"/>
        <v>-3806.2449886468835</v>
      </c>
      <c r="S77" s="12">
        <f t="shared" ca="1" si="31"/>
        <v>-3045.4531393885263</v>
      </c>
      <c r="T77" s="12">
        <f t="shared" ca="1" si="31"/>
        <v>-2610.516824406307</v>
      </c>
      <c r="U77" s="12">
        <f t="shared" ca="1" si="31"/>
        <v>-2831.1592608944588</v>
      </c>
      <c r="V77" s="12">
        <f t="shared" ca="1" si="31"/>
        <v>-2905.121865883651</v>
      </c>
      <c r="W77" s="12">
        <f t="shared" ca="1" si="31"/>
        <v>-3121.4896023144579</v>
      </c>
      <c r="X77" s="12">
        <f t="shared" ca="1" si="31"/>
        <v>-3197.5471352240293</v>
      </c>
      <c r="Y77" s="12">
        <f t="shared" ca="1" si="31"/>
        <v>-2931.0303024556015</v>
      </c>
      <c r="Z77" s="12">
        <f t="shared" ca="1" si="31"/>
        <v>-4051.4596961694247</v>
      </c>
      <c r="AA77" s="12">
        <f t="shared" ca="1" si="31"/>
        <v>-4173.243050668967</v>
      </c>
      <c r="AB77" s="12">
        <f t="shared" ca="1" si="31"/>
        <v>-4270.8638400106174</v>
      </c>
      <c r="AC77" s="12">
        <f t="shared" ca="1" si="31"/>
        <v>-5638.7519247837026</v>
      </c>
      <c r="AD77" s="12">
        <f t="shared" ca="1" si="31"/>
        <v>-4009.6316518606759</v>
      </c>
      <c r="AE77" s="12">
        <f t="shared" ca="1" si="31"/>
        <v>-3779.1464684469033</v>
      </c>
      <c r="AF77" s="12">
        <f t="shared" ca="1" si="31"/>
        <v>-4276.0600170004063</v>
      </c>
      <c r="AG77" s="12">
        <f t="shared" ca="1" si="31"/>
        <v>-3631.0968793480083</v>
      </c>
    </row>
    <row r="78" spans="2:35" x14ac:dyDescent="0.45">
      <c r="B78" s="8" t="s">
        <v>30</v>
      </c>
      <c r="C78" s="47"/>
      <c r="D78" s="12">
        <f t="shared" ref="D78:AG78" ca="1" si="32">-$K$14*D71</f>
        <v>-6480</v>
      </c>
      <c r="E78" s="12">
        <f t="shared" ca="1" si="32"/>
        <v>-6062.198198273436</v>
      </c>
      <c r="F78" s="12">
        <f t="shared" ca="1" si="32"/>
        <v>-5861.6916037572437</v>
      </c>
      <c r="G78" s="12">
        <f t="shared" ca="1" si="32"/>
        <v>-6014.0548479564595</v>
      </c>
      <c r="H78" s="12">
        <f t="shared" ca="1" si="32"/>
        <v>-4199.6971917226529</v>
      </c>
      <c r="I78" s="12">
        <f t="shared" ca="1" si="32"/>
        <v>-4508.2528989262464</v>
      </c>
      <c r="J78" s="12">
        <f t="shared" ca="1" si="32"/>
        <v>-6091.4655840515134</v>
      </c>
      <c r="K78" s="12">
        <f t="shared" ca="1" si="32"/>
        <v>-6962.3913956390716</v>
      </c>
      <c r="L78" s="12">
        <f t="shared" ca="1" si="32"/>
        <v>-6841.3943320027802</v>
      </c>
      <c r="M78" s="12">
        <f t="shared" ca="1" si="32"/>
        <v>-7973.98954748299</v>
      </c>
      <c r="N78" s="12">
        <f t="shared" ca="1" si="32"/>
        <v>-11044.342944870063</v>
      </c>
      <c r="O78" s="12">
        <f t="shared" ca="1" si="32"/>
        <v>-9087.4638307958594</v>
      </c>
      <c r="P78" s="12">
        <f t="shared" ca="1" si="32"/>
        <v>-7151.4840647416595</v>
      </c>
      <c r="Q78" s="12">
        <f t="shared" ca="1" si="32"/>
        <v>-6391.523679754835</v>
      </c>
      <c r="R78" s="12">
        <f t="shared" ca="1" si="32"/>
        <v>-7612.489977293767</v>
      </c>
      <c r="S78" s="12">
        <f t="shared" ca="1" si="32"/>
        <v>-6090.9062787770526</v>
      </c>
      <c r="T78" s="12">
        <f t="shared" ca="1" si="32"/>
        <v>-5221.033648812614</v>
      </c>
      <c r="U78" s="12">
        <f t="shared" ca="1" si="32"/>
        <v>-5662.3185217889177</v>
      </c>
      <c r="V78" s="12">
        <f t="shared" ca="1" si="32"/>
        <v>-5810.2437317673021</v>
      </c>
      <c r="W78" s="12">
        <f t="shared" ca="1" si="32"/>
        <v>-6242.9792046289158</v>
      </c>
      <c r="X78" s="12">
        <f t="shared" ca="1" si="32"/>
        <v>-6395.0942704480585</v>
      </c>
      <c r="Y78" s="12">
        <f t="shared" ca="1" si="32"/>
        <v>-5862.060604911203</v>
      </c>
      <c r="Z78" s="12">
        <f t="shared" ca="1" si="32"/>
        <v>-8102.9193923388493</v>
      </c>
      <c r="AA78" s="12">
        <f t="shared" ca="1" si="32"/>
        <v>-8346.4861013379341</v>
      </c>
      <c r="AB78" s="12">
        <f t="shared" ca="1" si="32"/>
        <v>-8541.7276800212348</v>
      </c>
      <c r="AC78" s="12">
        <f t="shared" ca="1" si="32"/>
        <v>-11277.503849567405</v>
      </c>
      <c r="AD78" s="12">
        <f t="shared" ca="1" si="32"/>
        <v>-8019.2633037213518</v>
      </c>
      <c r="AE78" s="12">
        <f t="shared" ca="1" si="32"/>
        <v>-7558.2929368938067</v>
      </c>
      <c r="AF78" s="12">
        <f t="shared" ca="1" si="32"/>
        <v>-8552.1200340008127</v>
      </c>
      <c r="AG78" s="12">
        <f t="shared" ca="1" si="32"/>
        <v>-7262.1937586960166</v>
      </c>
    </row>
    <row r="79" spans="2:35" x14ac:dyDescent="0.45">
      <c r="B79" s="8" t="s">
        <v>31</v>
      </c>
      <c r="C79" s="47"/>
      <c r="D79" s="12">
        <f t="shared" ref="D79:AG79" ca="1" si="33">-D37+D30</f>
        <v>0</v>
      </c>
      <c r="E79" s="12">
        <f t="shared" ca="1" si="33"/>
        <v>0</v>
      </c>
      <c r="F79" s="12">
        <f t="shared" ca="1" si="33"/>
        <v>0</v>
      </c>
      <c r="G79" s="12">
        <f t="shared" ca="1" si="33"/>
        <v>0</v>
      </c>
      <c r="H79" s="12">
        <f t="shared" ca="1" si="33"/>
        <v>0</v>
      </c>
      <c r="I79" s="12">
        <f t="shared" ca="1" si="33"/>
        <v>0</v>
      </c>
      <c r="J79" s="12">
        <f t="shared" ca="1" si="33"/>
        <v>0</v>
      </c>
      <c r="K79" s="12">
        <f t="shared" ca="1" si="33"/>
        <v>0</v>
      </c>
      <c r="L79" s="12">
        <f t="shared" ca="1" si="33"/>
        <v>0</v>
      </c>
      <c r="M79" s="12">
        <f t="shared" ca="1" si="33"/>
        <v>0</v>
      </c>
      <c r="N79" s="12">
        <f t="shared" ca="1" si="33"/>
        <v>0</v>
      </c>
      <c r="O79" s="12">
        <f t="shared" ca="1" si="33"/>
        <v>0</v>
      </c>
      <c r="P79" s="12">
        <f t="shared" ca="1" si="33"/>
        <v>0</v>
      </c>
      <c r="Q79" s="12">
        <f t="shared" ca="1" si="33"/>
        <v>0</v>
      </c>
      <c r="R79" s="12">
        <f t="shared" ca="1" si="33"/>
        <v>0</v>
      </c>
      <c r="S79" s="12">
        <f t="shared" ca="1" si="33"/>
        <v>0</v>
      </c>
      <c r="T79" s="12">
        <f t="shared" ca="1" si="33"/>
        <v>0</v>
      </c>
      <c r="U79" s="12">
        <f t="shared" ca="1" si="33"/>
        <v>0</v>
      </c>
      <c r="V79" s="12">
        <f t="shared" ca="1" si="33"/>
        <v>0</v>
      </c>
      <c r="W79" s="12">
        <f t="shared" ca="1" si="33"/>
        <v>0</v>
      </c>
      <c r="X79" s="12">
        <f t="shared" ca="1" si="33"/>
        <v>0</v>
      </c>
      <c r="Y79" s="12">
        <f t="shared" ca="1" si="33"/>
        <v>0</v>
      </c>
      <c r="Z79" s="12">
        <f t="shared" ca="1" si="33"/>
        <v>0</v>
      </c>
      <c r="AA79" s="12">
        <f t="shared" ca="1" si="33"/>
        <v>0</v>
      </c>
      <c r="AB79" s="12">
        <f t="shared" ca="1" si="33"/>
        <v>0</v>
      </c>
      <c r="AC79" s="12">
        <f t="shared" ca="1" si="33"/>
        <v>0</v>
      </c>
      <c r="AD79" s="12">
        <f t="shared" ca="1" si="33"/>
        <v>0</v>
      </c>
      <c r="AE79" s="12">
        <f t="shared" ca="1" si="33"/>
        <v>0</v>
      </c>
      <c r="AF79" s="12">
        <f t="shared" ca="1" si="33"/>
        <v>0</v>
      </c>
      <c r="AG79" s="12">
        <f t="shared" ca="1" si="33"/>
        <v>0</v>
      </c>
      <c r="AI79" s="4"/>
    </row>
    <row r="80" spans="2:35" x14ac:dyDescent="0.45">
      <c r="B80" s="8" t="s">
        <v>89</v>
      </c>
      <c r="C80" s="47"/>
      <c r="D80" s="12">
        <f t="shared" ref="D80:AG80" ca="1" si="34">(D24=$D$17)*-SUM(D71:D79)</f>
        <v>0</v>
      </c>
      <c r="E80" s="12">
        <f t="shared" ca="1" si="34"/>
        <v>0</v>
      </c>
      <c r="F80" s="12">
        <f t="shared" ca="1" si="34"/>
        <v>0</v>
      </c>
      <c r="G80" s="12">
        <f t="shared" ca="1" si="34"/>
        <v>0</v>
      </c>
      <c r="H80" s="12">
        <f t="shared" ca="1" si="34"/>
        <v>0</v>
      </c>
      <c r="I80" s="12">
        <f t="shared" ca="1" si="34"/>
        <v>0</v>
      </c>
      <c r="J80" s="12">
        <f t="shared" ca="1" si="34"/>
        <v>0</v>
      </c>
      <c r="K80" s="12">
        <f t="shared" ca="1" si="34"/>
        <v>0</v>
      </c>
      <c r="L80" s="12">
        <f t="shared" ca="1" si="34"/>
        <v>0</v>
      </c>
      <c r="M80" s="12">
        <f t="shared" ca="1" si="34"/>
        <v>0</v>
      </c>
      <c r="N80" s="12">
        <f t="shared" ca="1" si="34"/>
        <v>0</v>
      </c>
      <c r="O80" s="12">
        <f t="shared" ca="1" si="34"/>
        <v>0</v>
      </c>
      <c r="P80" s="12">
        <f t="shared" ca="1" si="34"/>
        <v>0</v>
      </c>
      <c r="Q80" s="12">
        <f t="shared" ca="1" si="34"/>
        <v>0</v>
      </c>
      <c r="R80" s="12">
        <f t="shared" ca="1" si="34"/>
        <v>0</v>
      </c>
      <c r="S80" s="12">
        <f t="shared" ca="1" si="34"/>
        <v>0</v>
      </c>
      <c r="T80" s="12">
        <f t="shared" ca="1" si="34"/>
        <v>0</v>
      </c>
      <c r="U80" s="12">
        <f t="shared" ca="1" si="34"/>
        <v>0</v>
      </c>
      <c r="V80" s="12">
        <f t="shared" ca="1" si="34"/>
        <v>0</v>
      </c>
      <c r="W80" s="12">
        <f t="shared" ca="1" si="34"/>
        <v>0</v>
      </c>
      <c r="X80" s="12">
        <f t="shared" ca="1" si="34"/>
        <v>0</v>
      </c>
      <c r="Y80" s="12">
        <f t="shared" ca="1" si="34"/>
        <v>0</v>
      </c>
      <c r="Z80" s="12">
        <f t="shared" ca="1" si="34"/>
        <v>0</v>
      </c>
      <c r="AA80" s="12">
        <f t="shared" ca="1" si="34"/>
        <v>0</v>
      </c>
      <c r="AB80" s="12">
        <f t="shared" ca="1" si="34"/>
        <v>0</v>
      </c>
      <c r="AC80" s="12">
        <f t="shared" ca="1" si="34"/>
        <v>0</v>
      </c>
      <c r="AD80" s="12">
        <f t="shared" ca="1" si="34"/>
        <v>0</v>
      </c>
      <c r="AE80" s="12">
        <f t="shared" ca="1" si="34"/>
        <v>0</v>
      </c>
      <c r="AF80" s="12">
        <f t="shared" ca="1" si="34"/>
        <v>0</v>
      </c>
      <c r="AG80" s="12">
        <f t="shared" ca="1" si="34"/>
        <v>-1587292.6337770945</v>
      </c>
    </row>
    <row r="81" spans="2:35" x14ac:dyDescent="0.45">
      <c r="B81" s="23" t="s">
        <v>23</v>
      </c>
      <c r="C81" s="24">
        <f ca="1">SUM(C71:C80)</f>
        <v>1296000</v>
      </c>
      <c r="D81" s="24">
        <f ca="1">SUM(D71:D80)</f>
        <v>1212439.6396546871</v>
      </c>
      <c r="E81" s="24">
        <f t="shared" ref="E81:AG81" ca="1" si="35">SUM(E71:E80)</f>
        <v>1172338.3207514486</v>
      </c>
      <c r="F81" s="24">
        <f t="shared" ca="1" si="35"/>
        <v>1202810.9695912919</v>
      </c>
      <c r="G81" s="24">
        <f t="shared" ca="1" si="35"/>
        <v>839939.43834453064</v>
      </c>
      <c r="H81" s="24">
        <f t="shared" ca="1" si="35"/>
        <v>901650.57978524931</v>
      </c>
      <c r="I81" s="24">
        <f t="shared" ca="1" si="35"/>
        <v>1218293.1168103027</v>
      </c>
      <c r="J81" s="24">
        <f t="shared" ca="1" si="35"/>
        <v>1392478.2791278143</v>
      </c>
      <c r="K81" s="24">
        <f t="shared" ca="1" si="35"/>
        <v>1368278.8664005559</v>
      </c>
      <c r="L81" s="24">
        <f t="shared" ca="1" si="35"/>
        <v>1594797.9094965979</v>
      </c>
      <c r="M81" s="24">
        <f t="shared" ca="1" si="35"/>
        <v>2208868.5889740125</v>
      </c>
      <c r="N81" s="24">
        <f t="shared" ca="1" si="35"/>
        <v>1817492.7661591719</v>
      </c>
      <c r="O81" s="24">
        <f t="shared" ca="1" si="35"/>
        <v>1430296.8129483319</v>
      </c>
      <c r="P81" s="24">
        <f t="shared" ca="1" si="35"/>
        <v>1278304.7359509671</v>
      </c>
      <c r="Q81" s="24">
        <f t="shared" ca="1" si="35"/>
        <v>1522497.9954587533</v>
      </c>
      <c r="R81" s="24">
        <f t="shared" ca="1" si="35"/>
        <v>1218181.2557554105</v>
      </c>
      <c r="S81" s="24">
        <f t="shared" ca="1" si="35"/>
        <v>1044206.7297625229</v>
      </c>
      <c r="T81" s="24">
        <f t="shared" ca="1" si="35"/>
        <v>1132463.7043577835</v>
      </c>
      <c r="U81" s="24">
        <f t="shared" ca="1" si="35"/>
        <v>1162048.7463534605</v>
      </c>
      <c r="V81" s="24">
        <f t="shared" ca="1" si="35"/>
        <v>1248595.8409257832</v>
      </c>
      <c r="W81" s="24">
        <f t="shared" ca="1" si="35"/>
        <v>1279018.8540896117</v>
      </c>
      <c r="X81" s="24">
        <f t="shared" ca="1" si="35"/>
        <v>1172412.1209822407</v>
      </c>
      <c r="Y81" s="24">
        <f t="shared" ca="1" si="35"/>
        <v>1620583.8784677698</v>
      </c>
      <c r="Z81" s="24">
        <f t="shared" ca="1" si="35"/>
        <v>1669297.2202675866</v>
      </c>
      <c r="AA81" s="24">
        <f t="shared" ca="1" si="35"/>
        <v>1708345.5360042469</v>
      </c>
      <c r="AB81" s="24">
        <f t="shared" ca="1" si="35"/>
        <v>2255500.7699134811</v>
      </c>
      <c r="AC81" s="24">
        <f t="shared" ca="1" si="35"/>
        <v>1603852.6607442703</v>
      </c>
      <c r="AD81" s="24">
        <f t="shared" ca="1" si="35"/>
        <v>1511658.5873787613</v>
      </c>
      <c r="AE81" s="24">
        <f t="shared" ca="1" si="35"/>
        <v>1710424.0068001626</v>
      </c>
      <c r="AF81" s="24">
        <f t="shared" ca="1" si="35"/>
        <v>1452438.7517392032</v>
      </c>
      <c r="AG81" s="24">
        <f t="shared" ca="1" si="35"/>
        <v>0</v>
      </c>
    </row>
    <row r="82" spans="2:35" x14ac:dyDescent="0.45">
      <c r="B82" s="8"/>
      <c r="C82" s="8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</row>
    <row r="83" spans="2:35" x14ac:dyDescent="0.45">
      <c r="B83" s="11" t="s">
        <v>85</v>
      </c>
      <c r="C83" s="8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I83" s="4"/>
    </row>
    <row r="84" spans="2:35" x14ac:dyDescent="0.45">
      <c r="B84" s="8" t="s">
        <v>26</v>
      </c>
      <c r="C84" s="12">
        <f t="shared" ref="C84:AG84" ca="1" si="36">C81+(C24=$D$17)*-C80</f>
        <v>1296000</v>
      </c>
      <c r="D84" s="12">
        <f t="shared" ca="1" si="36"/>
        <v>1212439.6396546871</v>
      </c>
      <c r="E84" s="12">
        <f t="shared" ca="1" si="36"/>
        <v>1172338.3207514486</v>
      </c>
      <c r="F84" s="12">
        <f t="shared" ca="1" si="36"/>
        <v>1202810.9695912919</v>
      </c>
      <c r="G84" s="12">
        <f t="shared" ca="1" si="36"/>
        <v>839939.43834453064</v>
      </c>
      <c r="H84" s="12">
        <f t="shared" ca="1" si="36"/>
        <v>901650.57978524931</v>
      </c>
      <c r="I84" s="12">
        <f t="shared" ca="1" si="36"/>
        <v>1218293.1168103027</v>
      </c>
      <c r="J84" s="12">
        <f t="shared" ca="1" si="36"/>
        <v>1392478.2791278143</v>
      </c>
      <c r="K84" s="12">
        <f t="shared" ca="1" si="36"/>
        <v>1368278.8664005559</v>
      </c>
      <c r="L84" s="12">
        <f t="shared" ca="1" si="36"/>
        <v>1594797.9094965979</v>
      </c>
      <c r="M84" s="12">
        <f t="shared" ca="1" si="36"/>
        <v>2208868.5889740125</v>
      </c>
      <c r="N84" s="12">
        <f t="shared" ca="1" si="36"/>
        <v>1817492.7661591719</v>
      </c>
      <c r="O84" s="12">
        <f t="shared" ca="1" si="36"/>
        <v>1430296.8129483319</v>
      </c>
      <c r="P84" s="12">
        <f t="shared" ca="1" si="36"/>
        <v>1278304.7359509671</v>
      </c>
      <c r="Q84" s="12">
        <f t="shared" ca="1" si="36"/>
        <v>1522497.9954587533</v>
      </c>
      <c r="R84" s="12">
        <f t="shared" ca="1" si="36"/>
        <v>1218181.2557554105</v>
      </c>
      <c r="S84" s="12">
        <f t="shared" ca="1" si="36"/>
        <v>1044206.7297625229</v>
      </c>
      <c r="T84" s="12">
        <f t="shared" ca="1" si="36"/>
        <v>1132463.7043577835</v>
      </c>
      <c r="U84" s="12">
        <f t="shared" ca="1" si="36"/>
        <v>1162048.7463534605</v>
      </c>
      <c r="V84" s="12">
        <f t="shared" ca="1" si="36"/>
        <v>1248595.8409257832</v>
      </c>
      <c r="W84" s="12">
        <f t="shared" ca="1" si="36"/>
        <v>1279018.8540896117</v>
      </c>
      <c r="X84" s="12">
        <f t="shared" ca="1" si="36"/>
        <v>1172412.1209822407</v>
      </c>
      <c r="Y84" s="12">
        <f t="shared" ca="1" si="36"/>
        <v>1620583.8784677698</v>
      </c>
      <c r="Z84" s="12">
        <f t="shared" ca="1" si="36"/>
        <v>1669297.2202675866</v>
      </c>
      <c r="AA84" s="12">
        <f t="shared" ca="1" si="36"/>
        <v>1708345.5360042469</v>
      </c>
      <c r="AB84" s="12">
        <f t="shared" ca="1" si="36"/>
        <v>2255500.7699134811</v>
      </c>
      <c r="AC84" s="12">
        <f t="shared" ca="1" si="36"/>
        <v>1603852.6607442703</v>
      </c>
      <c r="AD84" s="12">
        <f t="shared" ca="1" si="36"/>
        <v>1511658.5873787613</v>
      </c>
      <c r="AE84" s="12">
        <f t="shared" ca="1" si="36"/>
        <v>1710424.0068001626</v>
      </c>
      <c r="AF84" s="12">
        <f t="shared" ca="1" si="36"/>
        <v>1452438.7517392032</v>
      </c>
      <c r="AG84" s="12">
        <f t="shared" ca="1" si="36"/>
        <v>1587292.6337770945</v>
      </c>
      <c r="AI84" s="4"/>
    </row>
    <row r="85" spans="2:35" x14ac:dyDescent="0.45">
      <c r="B85" s="8" t="s">
        <v>129</v>
      </c>
      <c r="C85" s="12">
        <f t="shared" ref="C85:AG85" ca="1" si="37">-C32+(C24=$D$17)*-C28</f>
        <v>-1300000</v>
      </c>
      <c r="D85" s="12">
        <f t="shared" ca="1" si="37"/>
        <v>-1330000</v>
      </c>
      <c r="E85" s="12">
        <f t="shared" ca="1" si="37"/>
        <v>-1360000</v>
      </c>
      <c r="F85" s="12">
        <f t="shared" ca="1" si="37"/>
        <v>-1390000</v>
      </c>
      <c r="G85" s="12">
        <f t="shared" ca="1" si="37"/>
        <v>-1420000</v>
      </c>
      <c r="H85" s="12">
        <f t="shared" ca="1" si="37"/>
        <v>-1450000</v>
      </c>
      <c r="I85" s="12">
        <f t="shared" ca="1" si="37"/>
        <v>-1480000</v>
      </c>
      <c r="J85" s="12">
        <f t="shared" ca="1" si="37"/>
        <v>-1510000</v>
      </c>
      <c r="K85" s="12">
        <f t="shared" ca="1" si="37"/>
        <v>-1540000</v>
      </c>
      <c r="L85" s="12">
        <f t="shared" ca="1" si="37"/>
        <v>-1570000</v>
      </c>
      <c r="M85" s="12">
        <f t="shared" ca="1" si="37"/>
        <v>-1600000</v>
      </c>
      <c r="N85" s="12">
        <f t="shared" ca="1" si="37"/>
        <v>-1600000</v>
      </c>
      <c r="O85" s="12">
        <f t="shared" ca="1" si="37"/>
        <v>-1600000</v>
      </c>
      <c r="P85" s="12">
        <f t="shared" ca="1" si="37"/>
        <v>-1600000</v>
      </c>
      <c r="Q85" s="12">
        <f t="shared" ca="1" si="37"/>
        <v>-1600000</v>
      </c>
      <c r="R85" s="12">
        <f t="shared" ca="1" si="37"/>
        <v>-1600000</v>
      </c>
      <c r="S85" s="12">
        <f t="shared" ca="1" si="37"/>
        <v>-1600000</v>
      </c>
      <c r="T85" s="12">
        <f t="shared" ca="1" si="37"/>
        <v>-1600000</v>
      </c>
      <c r="U85" s="12">
        <f t="shared" ca="1" si="37"/>
        <v>-1600000</v>
      </c>
      <c r="V85" s="12">
        <f t="shared" ca="1" si="37"/>
        <v>-1600000</v>
      </c>
      <c r="W85" s="12">
        <f t="shared" ca="1" si="37"/>
        <v>-1600000</v>
      </c>
      <c r="X85" s="12">
        <f t="shared" ca="1" si="37"/>
        <v>-1600000</v>
      </c>
      <c r="Y85" s="12">
        <f t="shared" ca="1" si="37"/>
        <v>-1600000</v>
      </c>
      <c r="Z85" s="12">
        <f t="shared" ca="1" si="37"/>
        <v>-1600000</v>
      </c>
      <c r="AA85" s="12">
        <f t="shared" ca="1" si="37"/>
        <v>-1600000</v>
      </c>
      <c r="AB85" s="12">
        <f t="shared" ca="1" si="37"/>
        <v>-1600000</v>
      </c>
      <c r="AC85" s="12">
        <f t="shared" ca="1" si="37"/>
        <v>-1600000</v>
      </c>
      <c r="AD85" s="12">
        <f t="shared" ca="1" si="37"/>
        <v>-1600000</v>
      </c>
      <c r="AE85" s="12">
        <f t="shared" ca="1" si="37"/>
        <v>-1600000</v>
      </c>
      <c r="AF85" s="12">
        <f t="shared" ca="1" si="37"/>
        <v>-1600000</v>
      </c>
      <c r="AG85" s="12">
        <f t="shared" ca="1" si="37"/>
        <v>-1600000</v>
      </c>
      <c r="AI85" s="4"/>
    </row>
    <row r="86" spans="2:35" x14ac:dyDescent="0.45">
      <c r="B86" s="8" t="s">
        <v>86</v>
      </c>
      <c r="C86" s="12">
        <f t="shared" ref="C86:AG86" si="38">C39+(C24=$D$17)*C36</f>
        <v>0</v>
      </c>
      <c r="D86" s="12">
        <f t="shared" si="38"/>
        <v>30000</v>
      </c>
      <c r="E86" s="12">
        <f t="shared" si="38"/>
        <v>60000</v>
      </c>
      <c r="F86" s="12">
        <f t="shared" si="38"/>
        <v>90000</v>
      </c>
      <c r="G86" s="12">
        <f t="shared" si="38"/>
        <v>120000</v>
      </c>
      <c r="H86" s="12">
        <f t="shared" si="38"/>
        <v>150000</v>
      </c>
      <c r="I86" s="12">
        <f t="shared" si="38"/>
        <v>180000</v>
      </c>
      <c r="J86" s="12">
        <f t="shared" si="38"/>
        <v>210000</v>
      </c>
      <c r="K86" s="12">
        <f t="shared" si="38"/>
        <v>240000</v>
      </c>
      <c r="L86" s="12">
        <f t="shared" si="38"/>
        <v>270000</v>
      </c>
      <c r="M86" s="12">
        <f t="shared" si="38"/>
        <v>300000</v>
      </c>
      <c r="N86" s="12">
        <f t="shared" si="38"/>
        <v>300000</v>
      </c>
      <c r="O86" s="12">
        <f t="shared" si="38"/>
        <v>300000</v>
      </c>
      <c r="P86" s="12">
        <f t="shared" si="38"/>
        <v>300000</v>
      </c>
      <c r="Q86" s="12">
        <f t="shared" si="38"/>
        <v>300000</v>
      </c>
      <c r="R86" s="12">
        <f t="shared" si="38"/>
        <v>300000</v>
      </c>
      <c r="S86" s="12">
        <f t="shared" si="38"/>
        <v>300000</v>
      </c>
      <c r="T86" s="12">
        <f t="shared" si="38"/>
        <v>300000</v>
      </c>
      <c r="U86" s="12">
        <f t="shared" si="38"/>
        <v>300000</v>
      </c>
      <c r="V86" s="12">
        <f t="shared" si="38"/>
        <v>300000</v>
      </c>
      <c r="W86" s="12">
        <f t="shared" si="38"/>
        <v>300000</v>
      </c>
      <c r="X86" s="12">
        <f t="shared" si="38"/>
        <v>300000</v>
      </c>
      <c r="Y86" s="12">
        <f t="shared" si="38"/>
        <v>300000</v>
      </c>
      <c r="Z86" s="12">
        <f t="shared" si="38"/>
        <v>300000</v>
      </c>
      <c r="AA86" s="12">
        <f t="shared" si="38"/>
        <v>300000</v>
      </c>
      <c r="AB86" s="12">
        <f t="shared" si="38"/>
        <v>300000</v>
      </c>
      <c r="AC86" s="12">
        <f t="shared" si="38"/>
        <v>300000</v>
      </c>
      <c r="AD86" s="12">
        <f t="shared" si="38"/>
        <v>300000</v>
      </c>
      <c r="AE86" s="12">
        <f t="shared" si="38"/>
        <v>300000</v>
      </c>
      <c r="AF86" s="12">
        <f t="shared" si="38"/>
        <v>300000</v>
      </c>
      <c r="AG86" s="12">
        <f t="shared" si="38"/>
        <v>300000</v>
      </c>
    </row>
    <row r="87" spans="2:35" x14ac:dyDescent="0.45">
      <c r="B87" s="52" t="s">
        <v>87</v>
      </c>
      <c r="C87" s="45">
        <f>C130</f>
        <v>0</v>
      </c>
      <c r="D87" s="45">
        <f t="shared" ref="D87:AG87" ca="1" si="39">D130</f>
        <v>0</v>
      </c>
      <c r="E87" s="45">
        <f t="shared" ca="1" si="39"/>
        <v>0</v>
      </c>
      <c r="F87" s="45">
        <f t="shared" ca="1" si="39"/>
        <v>0</v>
      </c>
      <c r="G87" s="45">
        <f t="shared" ca="1" si="39"/>
        <v>0</v>
      </c>
      <c r="H87" s="45">
        <f t="shared" ca="1" si="39"/>
        <v>-118274.64905989944</v>
      </c>
      <c r="I87" s="45">
        <f t="shared" ca="1" si="39"/>
        <v>-247323.64328608499</v>
      </c>
      <c r="J87" s="45">
        <f t="shared" ca="1" si="39"/>
        <v>-388827.85518250056</v>
      </c>
      <c r="K87" s="45">
        <f t="shared" ca="1" si="39"/>
        <v>-523543.12481928954</v>
      </c>
      <c r="L87" s="45">
        <f t="shared" ca="1" si="39"/>
        <v>-611270.4309892623</v>
      </c>
      <c r="M87" s="45">
        <f t="shared" ca="1" si="39"/>
        <v>-679231.50079795695</v>
      </c>
      <c r="N87" s="45">
        <f t="shared" ca="1" si="39"/>
        <v>-566026.2506649642</v>
      </c>
      <c r="O87" s="45">
        <f t="shared" ca="1" si="39"/>
        <v>-452821.00053197134</v>
      </c>
      <c r="P87" s="45">
        <f t="shared" ca="1" si="39"/>
        <v>-339615.75039897847</v>
      </c>
      <c r="Q87" s="45">
        <f t="shared" ca="1" si="39"/>
        <v>-226410.50026598573</v>
      </c>
      <c r="R87" s="45">
        <f t="shared" ca="1" si="39"/>
        <v>-113205.25013299286</v>
      </c>
      <c r="S87" s="45">
        <f t="shared" ca="1" si="39"/>
        <v>0</v>
      </c>
      <c r="T87" s="45">
        <f t="shared" ca="1" si="39"/>
        <v>-112544.0757476436</v>
      </c>
      <c r="U87" s="45">
        <f t="shared" ca="1" si="39"/>
        <v>-218983.55260641058</v>
      </c>
      <c r="V87" s="45">
        <f t="shared" ca="1" si="39"/>
        <v>-342633.05378751294</v>
      </c>
      <c r="W87" s="45">
        <f t="shared" ca="1" si="39"/>
        <v>-446181.61874927627</v>
      </c>
      <c r="X87" s="45">
        <f t="shared" ca="1" si="39"/>
        <v>-535083.67709894991</v>
      </c>
      <c r="Y87" s="45">
        <f t="shared" ca="1" si="39"/>
        <v>-608191.41650106106</v>
      </c>
      <c r="Z87" s="45">
        <f t="shared" ca="1" si="39"/>
        <v>-747848.51561997132</v>
      </c>
      <c r="AA87" s="45">
        <f t="shared" ca="1" si="39"/>
        <v>-904906.92824987229</v>
      </c>
      <c r="AB87" s="45">
        <f t="shared" ca="1" si="39"/>
        <v>-1045326.4256592775</v>
      </c>
      <c r="AC87" s="45">
        <f t="shared" ca="1" si="39"/>
        <v>-929179.04503046884</v>
      </c>
      <c r="AD87" s="45">
        <f t="shared" ca="1" si="39"/>
        <v>-813031.66440165974</v>
      </c>
      <c r="AE87" s="45">
        <f t="shared" ca="1" si="39"/>
        <v>-696884.28377285087</v>
      </c>
      <c r="AF87" s="45">
        <f t="shared" ca="1" si="39"/>
        <v>-580736.90314404247</v>
      </c>
      <c r="AG87" s="45">
        <f t="shared" ca="1" si="39"/>
        <v>-464589.52251523407</v>
      </c>
    </row>
    <row r="88" spans="2:35" x14ac:dyDescent="0.45">
      <c r="B88" s="12" t="s">
        <v>32</v>
      </c>
      <c r="C88" s="12">
        <f ca="1">SUM(C84:C87)</f>
        <v>-4000</v>
      </c>
      <c r="D88" s="12">
        <f t="shared" ref="D88:AG88" ca="1" si="40">SUM(D84:D87)</f>
        <v>-87560.36034531286</v>
      </c>
      <c r="E88" s="12">
        <f t="shared" ca="1" si="40"/>
        <v>-127661.67924855137</v>
      </c>
      <c r="F88" s="12">
        <f t="shared" ca="1" si="40"/>
        <v>-97189.030408708146</v>
      </c>
      <c r="G88" s="12">
        <f t="shared" ca="1" si="40"/>
        <v>-460060.56165546936</v>
      </c>
      <c r="H88" s="12">
        <f t="shared" ca="1" si="40"/>
        <v>-516624.06927465013</v>
      </c>
      <c r="I88" s="12">
        <f t="shared" ca="1" si="40"/>
        <v>-329030.52647578227</v>
      </c>
      <c r="J88" s="12">
        <f t="shared" ca="1" si="40"/>
        <v>-296349.57605468621</v>
      </c>
      <c r="K88" s="12">
        <f t="shared" ca="1" si="40"/>
        <v>-455264.2584187336</v>
      </c>
      <c r="L88" s="12">
        <f t="shared" ca="1" si="40"/>
        <v>-316472.52149266435</v>
      </c>
      <c r="M88" s="12">
        <f t="shared" ca="1" si="40"/>
        <v>229637.08817605558</v>
      </c>
      <c r="N88" s="12">
        <f t="shared" ca="1" si="40"/>
        <v>-48533.484505792265</v>
      </c>
      <c r="O88" s="12">
        <f t="shared" ca="1" si="40"/>
        <v>-322524.1875836394</v>
      </c>
      <c r="P88" s="12">
        <f t="shared" ca="1" si="40"/>
        <v>-361311.01444801141</v>
      </c>
      <c r="Q88" s="12">
        <f t="shared" ca="1" si="40"/>
        <v>-3912.5048072324134</v>
      </c>
      <c r="R88" s="12">
        <f t="shared" ca="1" si="40"/>
        <v>-195023.99437758233</v>
      </c>
      <c r="S88" s="12">
        <f t="shared" ca="1" si="40"/>
        <v>-255793.27023747715</v>
      </c>
      <c r="T88" s="12">
        <f t="shared" ca="1" si="40"/>
        <v>-280080.37138986005</v>
      </c>
      <c r="U88" s="12">
        <f t="shared" ca="1" si="40"/>
        <v>-356934.8062529501</v>
      </c>
      <c r="V88" s="12">
        <f t="shared" ca="1" si="40"/>
        <v>-394037.21286172979</v>
      </c>
      <c r="W88" s="12">
        <f t="shared" ca="1" si="40"/>
        <v>-467162.76465966459</v>
      </c>
      <c r="X88" s="12">
        <f t="shared" ca="1" si="40"/>
        <v>-662671.55611670925</v>
      </c>
      <c r="Y88" s="12">
        <f t="shared" ca="1" si="40"/>
        <v>-287607.53803329123</v>
      </c>
      <c r="Z88" s="12">
        <f t="shared" ca="1" si="40"/>
        <v>-378551.29535238468</v>
      </c>
      <c r="AA88" s="12">
        <f t="shared" ca="1" si="40"/>
        <v>-496561.39224562538</v>
      </c>
      <c r="AB88" s="12">
        <f t="shared" ca="1" si="40"/>
        <v>-89825.655745796394</v>
      </c>
      <c r="AC88" s="12">
        <f t="shared" ca="1" si="40"/>
        <v>-625326.38428619853</v>
      </c>
      <c r="AD88" s="12">
        <f t="shared" ca="1" si="40"/>
        <v>-601373.07702289848</v>
      </c>
      <c r="AE88" s="12">
        <f t="shared" ca="1" si="40"/>
        <v>-286460.27697268827</v>
      </c>
      <c r="AF88" s="12">
        <f t="shared" ca="1" si="40"/>
        <v>-428298.15140483924</v>
      </c>
      <c r="AG88" s="12">
        <f t="shared" ca="1" si="40"/>
        <v>-177296.88873813953</v>
      </c>
    </row>
    <row r="89" spans="2:35" x14ac:dyDescent="0.45">
      <c r="B89" s="12" t="s">
        <v>124</v>
      </c>
      <c r="C89" s="12">
        <f ca="1">IF(C88&lt;0,C88,C88*0.5)</f>
        <v>-4000</v>
      </c>
      <c r="D89" s="12">
        <f t="shared" ref="D89:AG89" ca="1" si="41">IF(D88&lt;0,D88,D88*0.5)</f>
        <v>-87560.36034531286</v>
      </c>
      <c r="E89" s="12">
        <f t="shared" ca="1" si="41"/>
        <v>-127661.67924855137</v>
      </c>
      <c r="F89" s="12">
        <f t="shared" ca="1" si="41"/>
        <v>-97189.030408708146</v>
      </c>
      <c r="G89" s="12">
        <f t="shared" ca="1" si="41"/>
        <v>-460060.56165546936</v>
      </c>
      <c r="H89" s="12">
        <f t="shared" ca="1" si="41"/>
        <v>-516624.06927465013</v>
      </c>
      <c r="I89" s="12">
        <f t="shared" ca="1" si="41"/>
        <v>-329030.52647578227</v>
      </c>
      <c r="J89" s="12">
        <f t="shared" ca="1" si="41"/>
        <v>-296349.57605468621</v>
      </c>
      <c r="K89" s="12">
        <f t="shared" ca="1" si="41"/>
        <v>-455264.2584187336</v>
      </c>
      <c r="L89" s="12">
        <f t="shared" ca="1" si="41"/>
        <v>-316472.52149266435</v>
      </c>
      <c r="M89" s="12">
        <f t="shared" ca="1" si="41"/>
        <v>114818.54408802779</v>
      </c>
      <c r="N89" s="12">
        <f t="shared" ca="1" si="41"/>
        <v>-48533.484505792265</v>
      </c>
      <c r="O89" s="12">
        <f t="shared" ca="1" si="41"/>
        <v>-322524.1875836394</v>
      </c>
      <c r="P89" s="12">
        <f t="shared" ca="1" si="41"/>
        <v>-361311.01444801141</v>
      </c>
      <c r="Q89" s="12">
        <f t="shared" ca="1" si="41"/>
        <v>-3912.5048072324134</v>
      </c>
      <c r="R89" s="12">
        <f t="shared" ca="1" si="41"/>
        <v>-195023.99437758233</v>
      </c>
      <c r="S89" s="12">
        <f t="shared" ca="1" si="41"/>
        <v>-255793.27023747715</v>
      </c>
      <c r="T89" s="12">
        <f t="shared" ca="1" si="41"/>
        <v>-280080.37138986005</v>
      </c>
      <c r="U89" s="12">
        <f t="shared" ca="1" si="41"/>
        <v>-356934.8062529501</v>
      </c>
      <c r="V89" s="12">
        <f t="shared" ca="1" si="41"/>
        <v>-394037.21286172979</v>
      </c>
      <c r="W89" s="12">
        <f t="shared" ca="1" si="41"/>
        <v>-467162.76465966459</v>
      </c>
      <c r="X89" s="12">
        <f t="shared" ca="1" si="41"/>
        <v>-662671.55611670925</v>
      </c>
      <c r="Y89" s="12">
        <f t="shared" ca="1" si="41"/>
        <v>-287607.53803329123</v>
      </c>
      <c r="Z89" s="12">
        <f t="shared" ca="1" si="41"/>
        <v>-378551.29535238468</v>
      </c>
      <c r="AA89" s="12">
        <f t="shared" ca="1" si="41"/>
        <v>-496561.39224562538</v>
      </c>
      <c r="AB89" s="12">
        <f t="shared" ca="1" si="41"/>
        <v>-89825.655745796394</v>
      </c>
      <c r="AC89" s="12">
        <f t="shared" ca="1" si="41"/>
        <v>-625326.38428619853</v>
      </c>
      <c r="AD89" s="12">
        <f t="shared" ca="1" si="41"/>
        <v>-601373.07702289848</v>
      </c>
      <c r="AE89" s="12">
        <f t="shared" ca="1" si="41"/>
        <v>-286460.27697268827</v>
      </c>
      <c r="AF89" s="12">
        <f t="shared" ca="1" si="41"/>
        <v>-428298.15140483924</v>
      </c>
      <c r="AG89" s="12">
        <f t="shared" ca="1" si="41"/>
        <v>-177296.88873813953</v>
      </c>
      <c r="AI89" s="4"/>
    </row>
    <row r="90" spans="2:35" x14ac:dyDescent="0.45"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</row>
    <row r="91" spans="2:35" x14ac:dyDescent="0.45">
      <c r="B91" s="45" t="s">
        <v>93</v>
      </c>
      <c r="C91" s="45">
        <f t="shared" ref="C91:AG91" ca="1" si="42">IF(C89&lt;0,-C89,0)*(C24=$D$17)</f>
        <v>0</v>
      </c>
      <c r="D91" s="45">
        <f t="shared" ca="1" si="42"/>
        <v>0</v>
      </c>
      <c r="E91" s="45">
        <f t="shared" ca="1" si="42"/>
        <v>0</v>
      </c>
      <c r="F91" s="45">
        <f t="shared" ca="1" si="42"/>
        <v>0</v>
      </c>
      <c r="G91" s="45">
        <f t="shared" ca="1" si="42"/>
        <v>0</v>
      </c>
      <c r="H91" s="45">
        <f t="shared" ca="1" si="42"/>
        <v>0</v>
      </c>
      <c r="I91" s="45">
        <f t="shared" ca="1" si="42"/>
        <v>0</v>
      </c>
      <c r="J91" s="45">
        <f t="shared" ca="1" si="42"/>
        <v>0</v>
      </c>
      <c r="K91" s="45">
        <f t="shared" ca="1" si="42"/>
        <v>0</v>
      </c>
      <c r="L91" s="45">
        <f t="shared" ca="1" si="42"/>
        <v>0</v>
      </c>
      <c r="M91" s="45">
        <f t="shared" ca="1" si="42"/>
        <v>0</v>
      </c>
      <c r="N91" s="45">
        <f t="shared" ca="1" si="42"/>
        <v>0</v>
      </c>
      <c r="O91" s="45">
        <f t="shared" ca="1" si="42"/>
        <v>0</v>
      </c>
      <c r="P91" s="45">
        <f t="shared" ca="1" si="42"/>
        <v>0</v>
      </c>
      <c r="Q91" s="45">
        <f t="shared" ca="1" si="42"/>
        <v>0</v>
      </c>
      <c r="R91" s="45">
        <f t="shared" ca="1" si="42"/>
        <v>0</v>
      </c>
      <c r="S91" s="45">
        <f t="shared" ca="1" si="42"/>
        <v>0</v>
      </c>
      <c r="T91" s="45">
        <f t="shared" ca="1" si="42"/>
        <v>0</v>
      </c>
      <c r="U91" s="45">
        <f t="shared" ca="1" si="42"/>
        <v>0</v>
      </c>
      <c r="V91" s="45">
        <f t="shared" ca="1" si="42"/>
        <v>0</v>
      </c>
      <c r="W91" s="45">
        <f t="shared" ca="1" si="42"/>
        <v>0</v>
      </c>
      <c r="X91" s="45">
        <f t="shared" ca="1" si="42"/>
        <v>0</v>
      </c>
      <c r="Y91" s="45">
        <f t="shared" ca="1" si="42"/>
        <v>0</v>
      </c>
      <c r="Z91" s="45">
        <f t="shared" ca="1" si="42"/>
        <v>0</v>
      </c>
      <c r="AA91" s="45">
        <f t="shared" ca="1" si="42"/>
        <v>0</v>
      </c>
      <c r="AB91" s="45">
        <f t="shared" ca="1" si="42"/>
        <v>0</v>
      </c>
      <c r="AC91" s="45">
        <f t="shared" ca="1" si="42"/>
        <v>0</v>
      </c>
      <c r="AD91" s="45">
        <f t="shared" ca="1" si="42"/>
        <v>0</v>
      </c>
      <c r="AE91" s="45">
        <f t="shared" ca="1" si="42"/>
        <v>0</v>
      </c>
      <c r="AF91" s="45">
        <f t="shared" ca="1" si="42"/>
        <v>0</v>
      </c>
      <c r="AG91" s="45">
        <f t="shared" ca="1" si="42"/>
        <v>177296.88873813953</v>
      </c>
    </row>
    <row r="92" spans="2:35" x14ac:dyDescent="0.45">
      <c r="B92" s="12" t="s">
        <v>125</v>
      </c>
      <c r="C92" s="12">
        <f ca="1">C89+C91</f>
        <v>-4000</v>
      </c>
      <c r="D92" s="12">
        <f t="shared" ref="D92:AG92" ca="1" si="43">D89+D91</f>
        <v>-87560.36034531286</v>
      </c>
      <c r="E92" s="12">
        <f t="shared" ca="1" si="43"/>
        <v>-127661.67924855137</v>
      </c>
      <c r="F92" s="12">
        <f t="shared" ca="1" si="43"/>
        <v>-97189.030408708146</v>
      </c>
      <c r="G92" s="12">
        <f t="shared" ca="1" si="43"/>
        <v>-460060.56165546936</v>
      </c>
      <c r="H92" s="12">
        <f t="shared" ca="1" si="43"/>
        <v>-516624.06927465013</v>
      </c>
      <c r="I92" s="12">
        <f t="shared" ca="1" si="43"/>
        <v>-329030.52647578227</v>
      </c>
      <c r="J92" s="12">
        <f t="shared" ca="1" si="43"/>
        <v>-296349.57605468621</v>
      </c>
      <c r="K92" s="12">
        <f t="shared" ca="1" si="43"/>
        <v>-455264.2584187336</v>
      </c>
      <c r="L92" s="12">
        <f t="shared" ca="1" si="43"/>
        <v>-316472.52149266435</v>
      </c>
      <c r="M92" s="12">
        <f t="shared" ca="1" si="43"/>
        <v>114818.54408802779</v>
      </c>
      <c r="N92" s="12">
        <f t="shared" ca="1" si="43"/>
        <v>-48533.484505792265</v>
      </c>
      <c r="O92" s="12">
        <f t="shared" ca="1" si="43"/>
        <v>-322524.1875836394</v>
      </c>
      <c r="P92" s="12">
        <f t="shared" ca="1" si="43"/>
        <v>-361311.01444801141</v>
      </c>
      <c r="Q92" s="12">
        <f t="shared" ca="1" si="43"/>
        <v>-3912.5048072324134</v>
      </c>
      <c r="R92" s="12">
        <f t="shared" ca="1" si="43"/>
        <v>-195023.99437758233</v>
      </c>
      <c r="S92" s="12">
        <f t="shared" ca="1" si="43"/>
        <v>-255793.27023747715</v>
      </c>
      <c r="T92" s="12">
        <f t="shared" ca="1" si="43"/>
        <v>-280080.37138986005</v>
      </c>
      <c r="U92" s="12">
        <f t="shared" ca="1" si="43"/>
        <v>-356934.8062529501</v>
      </c>
      <c r="V92" s="12">
        <f t="shared" ca="1" si="43"/>
        <v>-394037.21286172979</v>
      </c>
      <c r="W92" s="12">
        <f t="shared" ca="1" si="43"/>
        <v>-467162.76465966459</v>
      </c>
      <c r="X92" s="12">
        <f t="shared" ca="1" si="43"/>
        <v>-662671.55611670925</v>
      </c>
      <c r="Y92" s="12">
        <f t="shared" ca="1" si="43"/>
        <v>-287607.53803329123</v>
      </c>
      <c r="Z92" s="12">
        <f t="shared" ca="1" si="43"/>
        <v>-378551.29535238468</v>
      </c>
      <c r="AA92" s="12">
        <f t="shared" ca="1" si="43"/>
        <v>-496561.39224562538</v>
      </c>
      <c r="AB92" s="12">
        <f t="shared" ca="1" si="43"/>
        <v>-89825.655745796394</v>
      </c>
      <c r="AC92" s="12">
        <f t="shared" ca="1" si="43"/>
        <v>-625326.38428619853</v>
      </c>
      <c r="AD92" s="12">
        <f t="shared" ca="1" si="43"/>
        <v>-601373.07702289848</v>
      </c>
      <c r="AE92" s="12">
        <f t="shared" ca="1" si="43"/>
        <v>-286460.27697268827</v>
      </c>
      <c r="AF92" s="12">
        <f t="shared" ca="1" si="43"/>
        <v>-428298.15140483924</v>
      </c>
      <c r="AG92" s="12">
        <f t="shared" ca="1" si="43"/>
        <v>0</v>
      </c>
    </row>
    <row r="93" spans="2:35" x14ac:dyDescent="0.45">
      <c r="B93" s="8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</row>
    <row r="94" spans="2:35" x14ac:dyDescent="0.45">
      <c r="B94" s="18" t="s">
        <v>47</v>
      </c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</row>
    <row r="95" spans="2:35" x14ac:dyDescent="0.45">
      <c r="B95" s="19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</row>
    <row r="96" spans="2:35" x14ac:dyDescent="0.45">
      <c r="B96" s="19" t="s">
        <v>48</v>
      </c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</row>
    <row r="97" spans="2:35" x14ac:dyDescent="0.45">
      <c r="B97" s="26" t="s">
        <v>49</v>
      </c>
      <c r="C97" s="30">
        <v>0.9</v>
      </c>
      <c r="D97" s="30">
        <v>0.9</v>
      </c>
      <c r="E97" s="30">
        <v>0.9</v>
      </c>
      <c r="F97" s="30">
        <v>0.9</v>
      </c>
      <c r="G97" s="46">
        <v>0.9</v>
      </c>
      <c r="H97" s="30">
        <v>0.9</v>
      </c>
      <c r="I97" s="30">
        <v>0.9</v>
      </c>
      <c r="J97" s="30">
        <v>0.9</v>
      </c>
      <c r="K97" s="30">
        <v>0.9</v>
      </c>
      <c r="L97" s="30">
        <v>0.9</v>
      </c>
      <c r="M97" s="30">
        <v>0.9</v>
      </c>
      <c r="N97" s="30">
        <v>0.9</v>
      </c>
      <c r="O97" s="30">
        <v>0.9</v>
      </c>
      <c r="P97" s="30">
        <v>0.9</v>
      </c>
      <c r="Q97" s="30">
        <v>0.9</v>
      </c>
      <c r="R97" s="30">
        <v>0.9</v>
      </c>
      <c r="S97" s="30">
        <v>0.9</v>
      </c>
      <c r="T97" s="30">
        <v>0.9</v>
      </c>
      <c r="U97" s="30">
        <v>0.9</v>
      </c>
      <c r="V97" s="30">
        <v>0.9</v>
      </c>
      <c r="W97" s="30">
        <v>0.9</v>
      </c>
      <c r="X97" s="30">
        <v>0.9</v>
      </c>
      <c r="Y97" s="30">
        <v>0.9</v>
      </c>
      <c r="Z97" s="30">
        <v>0.9</v>
      </c>
      <c r="AA97" s="30">
        <v>0.9</v>
      </c>
      <c r="AB97" s="30">
        <v>0.9</v>
      </c>
      <c r="AC97" s="30">
        <v>0.9</v>
      </c>
      <c r="AD97" s="30">
        <v>0.9</v>
      </c>
      <c r="AE97" s="30">
        <v>0.9</v>
      </c>
      <c r="AF97" s="30">
        <v>0.9</v>
      </c>
      <c r="AG97" s="30">
        <v>0.9</v>
      </c>
    </row>
    <row r="98" spans="2:35" x14ac:dyDescent="0.45">
      <c r="B98" s="26" t="s">
        <v>50</v>
      </c>
      <c r="C98" s="12">
        <f ca="1">$D$15*C97</f>
        <v>1170000</v>
      </c>
      <c r="D98" s="12">
        <f t="shared" ref="D98:AG98" ca="1" si="44">$D$15*D97</f>
        <v>1170000</v>
      </c>
      <c r="E98" s="12">
        <f t="shared" ca="1" si="44"/>
        <v>1170000</v>
      </c>
      <c r="F98" s="12">
        <f t="shared" ca="1" si="44"/>
        <v>1170000</v>
      </c>
      <c r="G98" s="12">
        <f t="shared" ca="1" si="44"/>
        <v>1170000</v>
      </c>
      <c r="H98" s="12">
        <f t="shared" ca="1" si="44"/>
        <v>1170000</v>
      </c>
      <c r="I98" s="12">
        <f t="shared" ca="1" si="44"/>
        <v>1170000</v>
      </c>
      <c r="J98" s="12">
        <f t="shared" ca="1" si="44"/>
        <v>1170000</v>
      </c>
      <c r="K98" s="12">
        <f t="shared" ca="1" si="44"/>
        <v>1170000</v>
      </c>
      <c r="L98" s="12">
        <f t="shared" ca="1" si="44"/>
        <v>1170000</v>
      </c>
      <c r="M98" s="12">
        <f t="shared" ca="1" si="44"/>
        <v>1170000</v>
      </c>
      <c r="N98" s="12">
        <f t="shared" ca="1" si="44"/>
        <v>1170000</v>
      </c>
      <c r="O98" s="12">
        <f t="shared" ca="1" si="44"/>
        <v>1170000</v>
      </c>
      <c r="P98" s="12">
        <f t="shared" ca="1" si="44"/>
        <v>1170000</v>
      </c>
      <c r="Q98" s="12">
        <f t="shared" ca="1" si="44"/>
        <v>1170000</v>
      </c>
      <c r="R98" s="12">
        <f t="shared" ca="1" si="44"/>
        <v>1170000</v>
      </c>
      <c r="S98" s="12">
        <f t="shared" ca="1" si="44"/>
        <v>1170000</v>
      </c>
      <c r="T98" s="12">
        <f t="shared" ca="1" si="44"/>
        <v>1170000</v>
      </c>
      <c r="U98" s="12">
        <f t="shared" ca="1" si="44"/>
        <v>1170000</v>
      </c>
      <c r="V98" s="12">
        <f t="shared" ca="1" si="44"/>
        <v>1170000</v>
      </c>
      <c r="W98" s="12">
        <f t="shared" ca="1" si="44"/>
        <v>1170000</v>
      </c>
      <c r="X98" s="12">
        <f t="shared" ca="1" si="44"/>
        <v>1170000</v>
      </c>
      <c r="Y98" s="12">
        <f t="shared" ca="1" si="44"/>
        <v>1170000</v>
      </c>
      <c r="Z98" s="12">
        <f t="shared" ca="1" si="44"/>
        <v>1170000</v>
      </c>
      <c r="AA98" s="12">
        <f t="shared" ca="1" si="44"/>
        <v>1170000</v>
      </c>
      <c r="AB98" s="12">
        <f t="shared" ca="1" si="44"/>
        <v>1170000</v>
      </c>
      <c r="AC98" s="12">
        <f t="shared" ca="1" si="44"/>
        <v>1170000</v>
      </c>
      <c r="AD98" s="12">
        <f t="shared" ca="1" si="44"/>
        <v>1170000</v>
      </c>
      <c r="AE98" s="12">
        <f t="shared" ca="1" si="44"/>
        <v>1170000</v>
      </c>
      <c r="AF98" s="12">
        <f t="shared" ca="1" si="44"/>
        <v>1170000</v>
      </c>
      <c r="AG98" s="12">
        <f t="shared" ca="1" si="44"/>
        <v>1170000</v>
      </c>
    </row>
    <row r="99" spans="2:35" x14ac:dyDescent="0.45">
      <c r="B99" s="26" t="s">
        <v>51</v>
      </c>
      <c r="C99" s="48"/>
      <c r="D99" s="12">
        <f ca="1">IF(D71&lt;D98,1,0)</f>
        <v>0</v>
      </c>
      <c r="E99" s="22">
        <f t="shared" ref="E99:AG99" ca="1" si="45">IF(D99=0,IF(E71&lt;E98,1,0),IF(E71&gt;E104,0,1))</f>
        <v>0</v>
      </c>
      <c r="F99" s="12">
        <f t="shared" ca="1" si="45"/>
        <v>0</v>
      </c>
      <c r="G99" s="12">
        <f t="shared" ca="1" si="45"/>
        <v>0</v>
      </c>
      <c r="H99" s="12">
        <f t="shared" ca="1" si="45"/>
        <v>1</v>
      </c>
      <c r="I99" s="12">
        <f t="shared" ca="1" si="45"/>
        <v>1</v>
      </c>
      <c r="J99" s="12">
        <f t="shared" ca="1" si="45"/>
        <v>1</v>
      </c>
      <c r="K99" s="12">
        <f t="shared" ca="1" si="45"/>
        <v>1</v>
      </c>
      <c r="L99" s="12">
        <f t="shared" ca="1" si="45"/>
        <v>1</v>
      </c>
      <c r="M99" s="12">
        <f t="shared" ca="1" si="45"/>
        <v>1</v>
      </c>
      <c r="N99" s="12">
        <f t="shared" ca="1" si="45"/>
        <v>0</v>
      </c>
      <c r="O99" s="12">
        <f t="shared" ca="1" si="45"/>
        <v>0</v>
      </c>
      <c r="P99" s="12">
        <f t="shared" ca="1" si="45"/>
        <v>0</v>
      </c>
      <c r="Q99" s="12">
        <f t="shared" ca="1" si="45"/>
        <v>0</v>
      </c>
      <c r="R99" s="12">
        <f t="shared" ca="1" si="45"/>
        <v>0</v>
      </c>
      <c r="S99" s="12">
        <f t="shared" ca="1" si="45"/>
        <v>0</v>
      </c>
      <c r="T99" s="12">
        <f t="shared" ca="1" si="45"/>
        <v>1</v>
      </c>
      <c r="U99" s="12">
        <f t="shared" ca="1" si="45"/>
        <v>1</v>
      </c>
      <c r="V99" s="12">
        <f t="shared" ca="1" si="45"/>
        <v>1</v>
      </c>
      <c r="W99" s="12">
        <f t="shared" ca="1" si="45"/>
        <v>1</v>
      </c>
      <c r="X99" s="12">
        <f t="shared" ca="1" si="45"/>
        <v>1</v>
      </c>
      <c r="Y99" s="12">
        <f t="shared" ca="1" si="45"/>
        <v>1</v>
      </c>
      <c r="Z99" s="12">
        <f t="shared" ca="1" si="45"/>
        <v>1</v>
      </c>
      <c r="AA99" s="12">
        <f t="shared" ca="1" si="45"/>
        <v>1</v>
      </c>
      <c r="AB99" s="12">
        <f t="shared" ca="1" si="45"/>
        <v>1</v>
      </c>
      <c r="AC99" s="12">
        <f t="shared" ca="1" si="45"/>
        <v>0</v>
      </c>
      <c r="AD99" s="12">
        <f t="shared" ca="1" si="45"/>
        <v>0</v>
      </c>
      <c r="AE99" s="12">
        <f t="shared" ca="1" si="45"/>
        <v>0</v>
      </c>
      <c r="AF99" s="12">
        <f t="shared" ca="1" si="45"/>
        <v>0</v>
      </c>
      <c r="AG99" s="12">
        <f t="shared" ca="1" si="45"/>
        <v>0</v>
      </c>
    </row>
    <row r="100" spans="2:35" x14ac:dyDescent="0.45">
      <c r="B100" s="26" t="s">
        <v>99</v>
      </c>
      <c r="C100" s="48"/>
      <c r="D100" s="12">
        <f ca="1">IF(D99=1,D99+C100,0)</f>
        <v>0</v>
      </c>
      <c r="E100" s="12">
        <f t="shared" ref="E100:AG100" ca="1" si="46">IF(E99=1,E99+D100,0)</f>
        <v>0</v>
      </c>
      <c r="F100" s="12">
        <f t="shared" ca="1" si="46"/>
        <v>0</v>
      </c>
      <c r="G100" s="12">
        <f t="shared" ca="1" si="46"/>
        <v>0</v>
      </c>
      <c r="H100" s="12">
        <f t="shared" ca="1" si="46"/>
        <v>1</v>
      </c>
      <c r="I100" s="12">
        <f t="shared" ca="1" si="46"/>
        <v>2</v>
      </c>
      <c r="J100" s="12">
        <f t="shared" ca="1" si="46"/>
        <v>3</v>
      </c>
      <c r="K100" s="12">
        <f t="shared" ca="1" si="46"/>
        <v>4</v>
      </c>
      <c r="L100" s="12">
        <f t="shared" ca="1" si="46"/>
        <v>5</v>
      </c>
      <c r="M100" s="12">
        <f t="shared" ca="1" si="46"/>
        <v>6</v>
      </c>
      <c r="N100" s="12">
        <f t="shared" ca="1" si="46"/>
        <v>0</v>
      </c>
      <c r="O100" s="12">
        <f t="shared" ca="1" si="46"/>
        <v>0</v>
      </c>
      <c r="P100" s="12">
        <f t="shared" ca="1" si="46"/>
        <v>0</v>
      </c>
      <c r="Q100" s="12">
        <f t="shared" ca="1" si="46"/>
        <v>0</v>
      </c>
      <c r="R100" s="12">
        <f t="shared" ca="1" si="46"/>
        <v>0</v>
      </c>
      <c r="S100" s="12">
        <f t="shared" ca="1" si="46"/>
        <v>0</v>
      </c>
      <c r="T100" s="12">
        <f t="shared" ca="1" si="46"/>
        <v>1</v>
      </c>
      <c r="U100" s="12">
        <f t="shared" ca="1" si="46"/>
        <v>2</v>
      </c>
      <c r="V100" s="12">
        <f t="shared" ca="1" si="46"/>
        <v>3</v>
      </c>
      <c r="W100" s="12">
        <f t="shared" ca="1" si="46"/>
        <v>4</v>
      </c>
      <c r="X100" s="12">
        <f t="shared" ca="1" si="46"/>
        <v>5</v>
      </c>
      <c r="Y100" s="12">
        <f t="shared" ca="1" si="46"/>
        <v>6</v>
      </c>
      <c r="Z100" s="12">
        <f t="shared" ca="1" si="46"/>
        <v>7</v>
      </c>
      <c r="AA100" s="12">
        <f t="shared" ca="1" si="46"/>
        <v>8</v>
      </c>
      <c r="AB100" s="12">
        <f t="shared" ca="1" si="46"/>
        <v>9</v>
      </c>
      <c r="AC100" s="12">
        <f t="shared" ca="1" si="46"/>
        <v>0</v>
      </c>
      <c r="AD100" s="12">
        <f t="shared" ca="1" si="46"/>
        <v>0</v>
      </c>
      <c r="AE100" s="12">
        <f t="shared" ca="1" si="46"/>
        <v>0</v>
      </c>
      <c r="AF100" s="12">
        <f t="shared" ca="1" si="46"/>
        <v>0</v>
      </c>
      <c r="AG100" s="12">
        <f t="shared" ca="1" si="46"/>
        <v>0</v>
      </c>
    </row>
    <row r="101" spans="2:35" x14ac:dyDescent="0.45">
      <c r="B101" s="26"/>
      <c r="C101" s="8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</row>
    <row r="102" spans="2:35" x14ac:dyDescent="0.45">
      <c r="B102" s="19" t="s">
        <v>52</v>
      </c>
      <c r="C102" s="8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</row>
    <row r="103" spans="2:35" x14ac:dyDescent="0.45">
      <c r="B103" s="26" t="s">
        <v>49</v>
      </c>
      <c r="C103" s="46">
        <v>1.458</v>
      </c>
      <c r="D103" s="46">
        <v>1.458</v>
      </c>
      <c r="E103" s="46">
        <v>1.458</v>
      </c>
      <c r="F103" s="46">
        <v>1.458</v>
      </c>
      <c r="G103" s="46">
        <v>1.458</v>
      </c>
      <c r="H103" s="46">
        <v>1.458</v>
      </c>
      <c r="I103" s="46">
        <v>1.458</v>
      </c>
      <c r="J103" s="46">
        <v>1.458</v>
      </c>
      <c r="K103" s="46">
        <v>1.458</v>
      </c>
      <c r="L103" s="46">
        <v>1.458</v>
      </c>
      <c r="M103" s="46">
        <v>1.458</v>
      </c>
      <c r="N103" s="46">
        <v>1.458</v>
      </c>
      <c r="O103" s="46">
        <v>1.458</v>
      </c>
      <c r="P103" s="46">
        <v>1.458</v>
      </c>
      <c r="Q103" s="46">
        <v>1.458</v>
      </c>
      <c r="R103" s="46">
        <v>1.458</v>
      </c>
      <c r="S103" s="46">
        <v>1.458</v>
      </c>
      <c r="T103" s="46">
        <v>1.458</v>
      </c>
      <c r="U103" s="46">
        <v>1.458</v>
      </c>
      <c r="V103" s="46">
        <v>1.458</v>
      </c>
      <c r="W103" s="46">
        <v>1.458</v>
      </c>
      <c r="X103" s="46">
        <v>1.458</v>
      </c>
      <c r="Y103" s="46">
        <v>1.458</v>
      </c>
      <c r="Z103" s="46">
        <v>1.458</v>
      </c>
      <c r="AA103" s="46">
        <v>1.458</v>
      </c>
      <c r="AB103" s="46">
        <v>1.458</v>
      </c>
      <c r="AC103" s="46">
        <v>1.458</v>
      </c>
      <c r="AD103" s="46">
        <v>1.458</v>
      </c>
      <c r="AE103" s="46">
        <v>1.458</v>
      </c>
      <c r="AF103" s="46">
        <v>1.458</v>
      </c>
      <c r="AG103" s="46">
        <v>1.458</v>
      </c>
    </row>
    <row r="104" spans="2:35" x14ac:dyDescent="0.45">
      <c r="B104" s="26" t="s">
        <v>50</v>
      </c>
      <c r="C104" s="12">
        <f ca="1">$D$15*C103</f>
        <v>1895400</v>
      </c>
      <c r="D104" s="12">
        <f t="shared" ref="D104:AG104" ca="1" si="47">$D$15*D103</f>
        <v>1895400</v>
      </c>
      <c r="E104" s="12">
        <f t="shared" ca="1" si="47"/>
        <v>1895400</v>
      </c>
      <c r="F104" s="12">
        <f t="shared" ca="1" si="47"/>
        <v>1895400</v>
      </c>
      <c r="G104" s="12">
        <f t="shared" ca="1" si="47"/>
        <v>1895400</v>
      </c>
      <c r="H104" s="12">
        <f t="shared" ca="1" si="47"/>
        <v>1895400</v>
      </c>
      <c r="I104" s="12">
        <f t="shared" ca="1" si="47"/>
        <v>1895400</v>
      </c>
      <c r="J104" s="12">
        <f t="shared" ca="1" si="47"/>
        <v>1895400</v>
      </c>
      <c r="K104" s="12">
        <f t="shared" ca="1" si="47"/>
        <v>1895400</v>
      </c>
      <c r="L104" s="12">
        <f t="shared" ca="1" si="47"/>
        <v>1895400</v>
      </c>
      <c r="M104" s="12">
        <f t="shared" ca="1" si="47"/>
        <v>1895400</v>
      </c>
      <c r="N104" s="12">
        <f t="shared" ca="1" si="47"/>
        <v>1895400</v>
      </c>
      <c r="O104" s="12">
        <f t="shared" ca="1" si="47"/>
        <v>1895400</v>
      </c>
      <c r="P104" s="12">
        <f t="shared" ca="1" si="47"/>
        <v>1895400</v>
      </c>
      <c r="Q104" s="12">
        <f t="shared" ca="1" si="47"/>
        <v>1895400</v>
      </c>
      <c r="R104" s="12">
        <f t="shared" ca="1" si="47"/>
        <v>1895400</v>
      </c>
      <c r="S104" s="12">
        <f t="shared" ca="1" si="47"/>
        <v>1895400</v>
      </c>
      <c r="T104" s="12">
        <f t="shared" ca="1" si="47"/>
        <v>1895400</v>
      </c>
      <c r="U104" s="12">
        <f t="shared" ca="1" si="47"/>
        <v>1895400</v>
      </c>
      <c r="V104" s="12">
        <f t="shared" ca="1" si="47"/>
        <v>1895400</v>
      </c>
      <c r="W104" s="12">
        <f t="shared" ca="1" si="47"/>
        <v>1895400</v>
      </c>
      <c r="X104" s="12">
        <f t="shared" ca="1" si="47"/>
        <v>1895400</v>
      </c>
      <c r="Y104" s="12">
        <f t="shared" ca="1" si="47"/>
        <v>1895400</v>
      </c>
      <c r="Z104" s="12">
        <f t="shared" ca="1" si="47"/>
        <v>1895400</v>
      </c>
      <c r="AA104" s="12">
        <f t="shared" ca="1" si="47"/>
        <v>1895400</v>
      </c>
      <c r="AB104" s="12">
        <f t="shared" ca="1" si="47"/>
        <v>1895400</v>
      </c>
      <c r="AC104" s="12">
        <f t="shared" ca="1" si="47"/>
        <v>1895400</v>
      </c>
      <c r="AD104" s="12">
        <f t="shared" ca="1" si="47"/>
        <v>1895400</v>
      </c>
      <c r="AE104" s="12">
        <f t="shared" ca="1" si="47"/>
        <v>1895400</v>
      </c>
      <c r="AF104" s="12">
        <f t="shared" ca="1" si="47"/>
        <v>1895400</v>
      </c>
      <c r="AG104" s="12">
        <f t="shared" ca="1" si="47"/>
        <v>1895400</v>
      </c>
    </row>
    <row r="105" spans="2:35" x14ac:dyDescent="0.45">
      <c r="B105" s="26"/>
      <c r="C105" s="8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</row>
    <row r="106" spans="2:35" x14ac:dyDescent="0.45">
      <c r="B106" s="26" t="s">
        <v>98</v>
      </c>
      <c r="C106" s="48"/>
      <c r="D106" s="12">
        <f ca="1">IF(AND(C99=1,D99=0),1,0)</f>
        <v>0</v>
      </c>
      <c r="E106" s="12">
        <f t="shared" ref="E106:AG106" ca="1" si="48">IF(AND(D99=1,E99=0),1,0)</f>
        <v>0</v>
      </c>
      <c r="F106" s="12">
        <f t="shared" ca="1" si="48"/>
        <v>0</v>
      </c>
      <c r="G106" s="12">
        <f t="shared" ca="1" si="48"/>
        <v>0</v>
      </c>
      <c r="H106" s="12">
        <f t="shared" ca="1" si="48"/>
        <v>0</v>
      </c>
      <c r="I106" s="12">
        <f t="shared" ca="1" si="48"/>
        <v>0</v>
      </c>
      <c r="J106" s="12">
        <f t="shared" ca="1" si="48"/>
        <v>0</v>
      </c>
      <c r="K106" s="12">
        <f t="shared" ca="1" si="48"/>
        <v>0</v>
      </c>
      <c r="L106" s="12">
        <f t="shared" ca="1" si="48"/>
        <v>0</v>
      </c>
      <c r="M106" s="12">
        <f t="shared" ca="1" si="48"/>
        <v>0</v>
      </c>
      <c r="N106" s="12">
        <f t="shared" ca="1" si="48"/>
        <v>1</v>
      </c>
      <c r="O106" s="12">
        <f t="shared" ca="1" si="48"/>
        <v>0</v>
      </c>
      <c r="P106" s="12">
        <f t="shared" ca="1" si="48"/>
        <v>0</v>
      </c>
      <c r="Q106" s="12">
        <f t="shared" ca="1" si="48"/>
        <v>0</v>
      </c>
      <c r="R106" s="12">
        <f t="shared" ca="1" si="48"/>
        <v>0</v>
      </c>
      <c r="S106" s="12">
        <f t="shared" ca="1" si="48"/>
        <v>0</v>
      </c>
      <c r="T106" s="12">
        <f t="shared" ca="1" si="48"/>
        <v>0</v>
      </c>
      <c r="U106" s="12">
        <f t="shared" ca="1" si="48"/>
        <v>0</v>
      </c>
      <c r="V106" s="12">
        <f t="shared" ca="1" si="48"/>
        <v>0</v>
      </c>
      <c r="W106" s="12">
        <f t="shared" ca="1" si="48"/>
        <v>0</v>
      </c>
      <c r="X106" s="12">
        <f t="shared" ca="1" si="48"/>
        <v>0</v>
      </c>
      <c r="Y106" s="12">
        <f t="shared" ca="1" si="48"/>
        <v>0</v>
      </c>
      <c r="Z106" s="12">
        <f t="shared" ca="1" si="48"/>
        <v>0</v>
      </c>
      <c r="AA106" s="12">
        <f t="shared" ca="1" si="48"/>
        <v>0</v>
      </c>
      <c r="AB106" s="12">
        <f t="shared" ca="1" si="48"/>
        <v>0</v>
      </c>
      <c r="AC106" s="12">
        <f t="shared" ca="1" si="48"/>
        <v>1</v>
      </c>
      <c r="AD106" s="12">
        <f t="shared" ca="1" si="48"/>
        <v>0</v>
      </c>
      <c r="AE106" s="12">
        <f t="shared" ca="1" si="48"/>
        <v>0</v>
      </c>
      <c r="AF106" s="12">
        <f t="shared" ca="1" si="48"/>
        <v>0</v>
      </c>
      <c r="AG106" s="12">
        <f t="shared" ca="1" si="48"/>
        <v>0</v>
      </c>
    </row>
    <row r="107" spans="2:35" x14ac:dyDescent="0.45">
      <c r="B107" s="26" t="s">
        <v>100</v>
      </c>
      <c r="C107" s="48"/>
      <c r="D107" s="12">
        <f ca="1">IF(D106=1,C100,0)</f>
        <v>0</v>
      </c>
      <c r="E107" s="12">
        <f t="shared" ref="E107:AG107" ca="1" si="49">IF(E106=1,D100,0)</f>
        <v>0</v>
      </c>
      <c r="F107" s="12">
        <f t="shared" ca="1" si="49"/>
        <v>0</v>
      </c>
      <c r="G107" s="12">
        <f t="shared" ca="1" si="49"/>
        <v>0</v>
      </c>
      <c r="H107" s="12">
        <f t="shared" ca="1" si="49"/>
        <v>0</v>
      </c>
      <c r="I107" s="12">
        <f t="shared" ca="1" si="49"/>
        <v>0</v>
      </c>
      <c r="J107" s="12">
        <f t="shared" ca="1" si="49"/>
        <v>0</v>
      </c>
      <c r="K107" s="12">
        <f t="shared" ca="1" si="49"/>
        <v>0</v>
      </c>
      <c r="L107" s="12">
        <f t="shared" ca="1" si="49"/>
        <v>0</v>
      </c>
      <c r="M107" s="12">
        <f t="shared" ca="1" si="49"/>
        <v>0</v>
      </c>
      <c r="N107" s="12">
        <f t="shared" ca="1" si="49"/>
        <v>6</v>
      </c>
      <c r="O107" s="12">
        <f t="shared" ca="1" si="49"/>
        <v>0</v>
      </c>
      <c r="P107" s="12">
        <f t="shared" ca="1" si="49"/>
        <v>0</v>
      </c>
      <c r="Q107" s="12">
        <f t="shared" ca="1" si="49"/>
        <v>0</v>
      </c>
      <c r="R107" s="12">
        <f t="shared" ca="1" si="49"/>
        <v>0</v>
      </c>
      <c r="S107" s="12">
        <f t="shared" ca="1" si="49"/>
        <v>0</v>
      </c>
      <c r="T107" s="12">
        <f t="shared" ca="1" si="49"/>
        <v>0</v>
      </c>
      <c r="U107" s="12">
        <f t="shared" ca="1" si="49"/>
        <v>0</v>
      </c>
      <c r="V107" s="12">
        <f t="shared" ca="1" si="49"/>
        <v>0</v>
      </c>
      <c r="W107" s="12">
        <f t="shared" ca="1" si="49"/>
        <v>0</v>
      </c>
      <c r="X107" s="12">
        <f t="shared" ca="1" si="49"/>
        <v>0</v>
      </c>
      <c r="Y107" s="12">
        <f t="shared" ca="1" si="49"/>
        <v>0</v>
      </c>
      <c r="Z107" s="12">
        <f t="shared" ca="1" si="49"/>
        <v>0</v>
      </c>
      <c r="AA107" s="12">
        <f t="shared" ca="1" si="49"/>
        <v>0</v>
      </c>
      <c r="AB107" s="12">
        <f t="shared" ca="1" si="49"/>
        <v>0</v>
      </c>
      <c r="AC107" s="12">
        <f t="shared" ca="1" si="49"/>
        <v>9</v>
      </c>
      <c r="AD107" s="12">
        <f t="shared" ca="1" si="49"/>
        <v>0</v>
      </c>
      <c r="AE107" s="12">
        <f t="shared" ca="1" si="49"/>
        <v>0</v>
      </c>
      <c r="AF107" s="12">
        <f t="shared" ca="1" si="49"/>
        <v>0</v>
      </c>
      <c r="AG107" s="12">
        <f t="shared" ca="1" si="49"/>
        <v>0</v>
      </c>
    </row>
    <row r="108" spans="2:35" x14ac:dyDescent="0.45">
      <c r="B108" s="26" t="s">
        <v>101</v>
      </c>
      <c r="C108" s="48"/>
      <c r="D108" s="12">
        <f ca="1">MAX(IF(AND(D107&gt;0,C108=0),D107,C108-1),0)</f>
        <v>0</v>
      </c>
      <c r="E108" s="12">
        <f t="shared" ref="E108:AG108" ca="1" si="50">MAX(IF(AND(E107&gt;0,D108=0),E107,D108-1),0)</f>
        <v>0</v>
      </c>
      <c r="F108" s="12">
        <f t="shared" ca="1" si="50"/>
        <v>0</v>
      </c>
      <c r="G108" s="12">
        <f t="shared" ca="1" si="50"/>
        <v>0</v>
      </c>
      <c r="H108" s="12">
        <f t="shared" ca="1" si="50"/>
        <v>0</v>
      </c>
      <c r="I108" s="12">
        <f t="shared" ca="1" si="50"/>
        <v>0</v>
      </c>
      <c r="J108" s="12">
        <f t="shared" ca="1" si="50"/>
        <v>0</v>
      </c>
      <c r="K108" s="12">
        <f t="shared" ca="1" si="50"/>
        <v>0</v>
      </c>
      <c r="L108" s="12">
        <f t="shared" ca="1" si="50"/>
        <v>0</v>
      </c>
      <c r="M108" s="12">
        <f t="shared" ca="1" si="50"/>
        <v>0</v>
      </c>
      <c r="N108" s="12">
        <f t="shared" ca="1" si="50"/>
        <v>6</v>
      </c>
      <c r="O108" s="12">
        <f t="shared" ca="1" si="50"/>
        <v>5</v>
      </c>
      <c r="P108" s="12">
        <f t="shared" ca="1" si="50"/>
        <v>4</v>
      </c>
      <c r="Q108" s="12">
        <f t="shared" ca="1" si="50"/>
        <v>3</v>
      </c>
      <c r="R108" s="12">
        <f t="shared" ca="1" si="50"/>
        <v>2</v>
      </c>
      <c r="S108" s="12">
        <f t="shared" ca="1" si="50"/>
        <v>1</v>
      </c>
      <c r="T108" s="12">
        <f t="shared" ca="1" si="50"/>
        <v>0</v>
      </c>
      <c r="U108" s="12">
        <f t="shared" ca="1" si="50"/>
        <v>0</v>
      </c>
      <c r="V108" s="12">
        <f t="shared" ca="1" si="50"/>
        <v>0</v>
      </c>
      <c r="W108" s="12">
        <f t="shared" ca="1" si="50"/>
        <v>0</v>
      </c>
      <c r="X108" s="12">
        <f t="shared" ca="1" si="50"/>
        <v>0</v>
      </c>
      <c r="Y108" s="12">
        <f t="shared" ca="1" si="50"/>
        <v>0</v>
      </c>
      <c r="Z108" s="12">
        <f t="shared" ca="1" si="50"/>
        <v>0</v>
      </c>
      <c r="AA108" s="12">
        <f t="shared" ca="1" si="50"/>
        <v>0</v>
      </c>
      <c r="AB108" s="12">
        <f t="shared" ca="1" si="50"/>
        <v>0</v>
      </c>
      <c r="AC108" s="12">
        <f t="shared" ca="1" si="50"/>
        <v>9</v>
      </c>
      <c r="AD108" s="12">
        <f t="shared" ca="1" si="50"/>
        <v>8</v>
      </c>
      <c r="AE108" s="12">
        <f t="shared" ca="1" si="50"/>
        <v>7</v>
      </c>
      <c r="AF108" s="12">
        <f t="shared" ca="1" si="50"/>
        <v>6</v>
      </c>
      <c r="AG108" s="12">
        <f t="shared" ca="1" si="50"/>
        <v>5</v>
      </c>
    </row>
    <row r="109" spans="2:35" x14ac:dyDescent="0.45">
      <c r="B109" s="26"/>
      <c r="C109" s="8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</row>
    <row r="110" spans="2:35" x14ac:dyDescent="0.45">
      <c r="B110" s="19" t="s">
        <v>104</v>
      </c>
      <c r="C110" s="8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I110" s="4" t="s">
        <v>105</v>
      </c>
    </row>
    <row r="111" spans="2:35" x14ac:dyDescent="0.45">
      <c r="B111" s="26" t="s">
        <v>49</v>
      </c>
      <c r="C111" s="46">
        <v>1.5</v>
      </c>
      <c r="D111" s="46">
        <v>1.5</v>
      </c>
      <c r="E111" s="46">
        <v>1.5</v>
      </c>
      <c r="F111" s="46">
        <v>1.5</v>
      </c>
      <c r="G111" s="46">
        <v>1.5</v>
      </c>
      <c r="H111" s="46">
        <v>1.5</v>
      </c>
      <c r="I111" s="46">
        <v>1.5</v>
      </c>
      <c r="J111" s="46">
        <v>1.5</v>
      </c>
      <c r="K111" s="46">
        <v>1.5</v>
      </c>
      <c r="L111" s="46">
        <v>1.5</v>
      </c>
      <c r="M111" s="46">
        <v>1.5</v>
      </c>
      <c r="N111" s="46">
        <v>1.5</v>
      </c>
      <c r="O111" s="46">
        <v>1.5</v>
      </c>
      <c r="P111" s="46">
        <v>1.5</v>
      </c>
      <c r="Q111" s="46">
        <v>1.5</v>
      </c>
      <c r="R111" s="46">
        <v>1.5</v>
      </c>
      <c r="S111" s="46">
        <v>1.5</v>
      </c>
      <c r="T111" s="46">
        <v>1.5</v>
      </c>
      <c r="U111" s="46">
        <v>1.5</v>
      </c>
      <c r="V111" s="46">
        <v>1.5</v>
      </c>
      <c r="W111" s="46">
        <v>1.5</v>
      </c>
      <c r="X111" s="46">
        <v>1.5</v>
      </c>
      <c r="Y111" s="46">
        <v>1.5</v>
      </c>
      <c r="Z111" s="46">
        <v>1.5</v>
      </c>
      <c r="AA111" s="46">
        <v>1.5</v>
      </c>
      <c r="AB111" s="46">
        <v>1.5</v>
      </c>
      <c r="AC111" s="46">
        <v>1.5</v>
      </c>
      <c r="AD111" s="46">
        <v>1.5</v>
      </c>
      <c r="AE111" s="46">
        <v>1.5</v>
      </c>
      <c r="AF111" s="46">
        <v>1.5</v>
      </c>
      <c r="AG111" s="46">
        <v>1.5</v>
      </c>
      <c r="AI111" s="60"/>
    </row>
    <row r="112" spans="2:35" x14ac:dyDescent="0.45">
      <c r="B112" s="26" t="s">
        <v>50</v>
      </c>
      <c r="C112" s="12">
        <f ca="1">$D$15*C111*C103</f>
        <v>2843100</v>
      </c>
      <c r="D112" s="12">
        <f t="shared" ref="D112:AG112" ca="1" si="51">$D$15*D111*D103</f>
        <v>2843100</v>
      </c>
      <c r="E112" s="12">
        <f t="shared" ca="1" si="51"/>
        <v>2843100</v>
      </c>
      <c r="F112" s="12">
        <f t="shared" ca="1" si="51"/>
        <v>2843100</v>
      </c>
      <c r="G112" s="12">
        <f t="shared" ca="1" si="51"/>
        <v>2843100</v>
      </c>
      <c r="H112" s="12">
        <f t="shared" ca="1" si="51"/>
        <v>2843100</v>
      </c>
      <c r="I112" s="12">
        <f t="shared" ca="1" si="51"/>
        <v>2843100</v>
      </c>
      <c r="J112" s="12">
        <f t="shared" ca="1" si="51"/>
        <v>2843100</v>
      </c>
      <c r="K112" s="12">
        <f t="shared" ca="1" si="51"/>
        <v>2843100</v>
      </c>
      <c r="L112" s="12">
        <f t="shared" ca="1" si="51"/>
        <v>2843100</v>
      </c>
      <c r="M112" s="12">
        <f t="shared" ca="1" si="51"/>
        <v>2843100</v>
      </c>
      <c r="N112" s="12">
        <f t="shared" ca="1" si="51"/>
        <v>2843100</v>
      </c>
      <c r="O112" s="12">
        <f t="shared" ca="1" si="51"/>
        <v>2843100</v>
      </c>
      <c r="P112" s="12">
        <f t="shared" ca="1" si="51"/>
        <v>2843100</v>
      </c>
      <c r="Q112" s="12">
        <f t="shared" ca="1" si="51"/>
        <v>2843100</v>
      </c>
      <c r="R112" s="12">
        <f t="shared" ca="1" si="51"/>
        <v>2843100</v>
      </c>
      <c r="S112" s="12">
        <f t="shared" ca="1" si="51"/>
        <v>2843100</v>
      </c>
      <c r="T112" s="12">
        <f t="shared" ca="1" si="51"/>
        <v>2843100</v>
      </c>
      <c r="U112" s="12">
        <f t="shared" ca="1" si="51"/>
        <v>2843100</v>
      </c>
      <c r="V112" s="12">
        <f t="shared" ca="1" si="51"/>
        <v>2843100</v>
      </c>
      <c r="W112" s="12">
        <f t="shared" ca="1" si="51"/>
        <v>2843100</v>
      </c>
      <c r="X112" s="12">
        <f t="shared" ca="1" si="51"/>
        <v>2843100</v>
      </c>
      <c r="Y112" s="12">
        <f t="shared" ca="1" si="51"/>
        <v>2843100</v>
      </c>
      <c r="Z112" s="12">
        <f t="shared" ca="1" si="51"/>
        <v>2843100</v>
      </c>
      <c r="AA112" s="12">
        <f t="shared" ca="1" si="51"/>
        <v>2843100</v>
      </c>
      <c r="AB112" s="12">
        <f t="shared" ca="1" si="51"/>
        <v>2843100</v>
      </c>
      <c r="AC112" s="12">
        <f t="shared" ca="1" si="51"/>
        <v>2843100</v>
      </c>
      <c r="AD112" s="12">
        <f t="shared" ca="1" si="51"/>
        <v>2843100</v>
      </c>
      <c r="AE112" s="12">
        <f t="shared" ca="1" si="51"/>
        <v>2843100</v>
      </c>
      <c r="AF112" s="12">
        <f t="shared" ca="1" si="51"/>
        <v>2843100</v>
      </c>
      <c r="AG112" s="12">
        <f t="shared" ca="1" si="51"/>
        <v>2843100</v>
      </c>
      <c r="AI112" s="60"/>
    </row>
    <row r="113" spans="2:35" x14ac:dyDescent="0.45">
      <c r="B113" s="26"/>
      <c r="C113" s="8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I113" s="60"/>
    </row>
    <row r="114" spans="2:35" x14ac:dyDescent="0.45">
      <c r="B114" s="26" t="s">
        <v>35</v>
      </c>
      <c r="C114" s="48"/>
      <c r="D114" s="12">
        <f t="shared" ref="D114:AG114" ca="1" si="52">IF(AND(D117&gt;0,D71&gt;D112),1,0)</f>
        <v>0</v>
      </c>
      <c r="E114" s="12">
        <f t="shared" ca="1" si="52"/>
        <v>0</v>
      </c>
      <c r="F114" s="12">
        <f t="shared" ca="1" si="52"/>
        <v>0</v>
      </c>
      <c r="G114" s="12">
        <f t="shared" ca="1" si="52"/>
        <v>0</v>
      </c>
      <c r="H114" s="12">
        <f t="shared" ca="1" si="52"/>
        <v>0</v>
      </c>
      <c r="I114" s="12">
        <f t="shared" ca="1" si="52"/>
        <v>0</v>
      </c>
      <c r="J114" s="12">
        <f t="shared" ca="1" si="52"/>
        <v>0</v>
      </c>
      <c r="K114" s="12">
        <f t="shared" ca="1" si="52"/>
        <v>0</v>
      </c>
      <c r="L114" s="12">
        <f t="shared" ca="1" si="52"/>
        <v>0</v>
      </c>
      <c r="M114" s="12">
        <f t="shared" ca="1" si="52"/>
        <v>0</v>
      </c>
      <c r="N114" s="12">
        <f t="shared" ca="1" si="52"/>
        <v>0</v>
      </c>
      <c r="O114" s="12">
        <f t="shared" ca="1" si="52"/>
        <v>0</v>
      </c>
      <c r="P114" s="12">
        <f t="shared" ca="1" si="52"/>
        <v>0</v>
      </c>
      <c r="Q114" s="12">
        <f t="shared" ca="1" si="52"/>
        <v>0</v>
      </c>
      <c r="R114" s="12">
        <f t="shared" ca="1" si="52"/>
        <v>0</v>
      </c>
      <c r="S114" s="12">
        <f t="shared" ca="1" si="52"/>
        <v>0</v>
      </c>
      <c r="T114" s="12">
        <f t="shared" ca="1" si="52"/>
        <v>0</v>
      </c>
      <c r="U114" s="12">
        <f t="shared" ca="1" si="52"/>
        <v>0</v>
      </c>
      <c r="V114" s="12">
        <f t="shared" ca="1" si="52"/>
        <v>0</v>
      </c>
      <c r="W114" s="12">
        <f t="shared" ca="1" si="52"/>
        <v>0</v>
      </c>
      <c r="X114" s="12">
        <f t="shared" ca="1" si="52"/>
        <v>0</v>
      </c>
      <c r="Y114" s="12">
        <f t="shared" ca="1" si="52"/>
        <v>0</v>
      </c>
      <c r="Z114" s="12">
        <f t="shared" ca="1" si="52"/>
        <v>0</v>
      </c>
      <c r="AA114" s="12">
        <f t="shared" ca="1" si="52"/>
        <v>0</v>
      </c>
      <c r="AB114" s="12">
        <f t="shared" ca="1" si="52"/>
        <v>0</v>
      </c>
      <c r="AC114" s="12">
        <f t="shared" ca="1" si="52"/>
        <v>0</v>
      </c>
      <c r="AD114" s="12">
        <f t="shared" ca="1" si="52"/>
        <v>0</v>
      </c>
      <c r="AE114" s="12">
        <f t="shared" ca="1" si="52"/>
        <v>0</v>
      </c>
      <c r="AF114" s="12">
        <f t="shared" ca="1" si="52"/>
        <v>0</v>
      </c>
      <c r="AG114" s="12">
        <f t="shared" ca="1" si="52"/>
        <v>0</v>
      </c>
      <c r="AI114" s="60"/>
    </row>
    <row r="115" spans="2:35" x14ac:dyDescent="0.45">
      <c r="B115" s="26"/>
      <c r="C115" s="8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</row>
    <row r="116" spans="2:35" x14ac:dyDescent="0.45">
      <c r="B116" s="19" t="s">
        <v>53</v>
      </c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</row>
    <row r="117" spans="2:35" x14ac:dyDescent="0.45">
      <c r="B117" s="19" t="s">
        <v>54</v>
      </c>
      <c r="C117" s="22">
        <v>0</v>
      </c>
      <c r="D117" s="12">
        <f>C120</f>
        <v>0</v>
      </c>
      <c r="E117" s="12">
        <f t="shared" ref="E117:AG117" ca="1" si="53">D120</f>
        <v>0</v>
      </c>
      <c r="F117" s="12">
        <f t="shared" ca="1" si="53"/>
        <v>0</v>
      </c>
      <c r="G117" s="12">
        <f t="shared" ca="1" si="53"/>
        <v>0</v>
      </c>
      <c r="H117" s="12">
        <f t="shared" ca="1" si="53"/>
        <v>0</v>
      </c>
      <c r="I117" s="12">
        <f t="shared" ca="1" si="53"/>
        <v>118274.64905989943</v>
      </c>
      <c r="J117" s="12">
        <f t="shared" ca="1" si="53"/>
        <v>247323.64328608499</v>
      </c>
      <c r="K117" s="12">
        <f t="shared" ca="1" si="53"/>
        <v>388827.8551825005</v>
      </c>
      <c r="L117" s="12">
        <f t="shared" ca="1" si="53"/>
        <v>523543.12481928954</v>
      </c>
      <c r="M117" s="12">
        <f t="shared" ca="1" si="53"/>
        <v>611270.4309892623</v>
      </c>
      <c r="N117" s="12">
        <f t="shared" ca="1" si="53"/>
        <v>679231.50079795695</v>
      </c>
      <c r="O117" s="12">
        <f t="shared" ca="1" si="53"/>
        <v>566026.25066496409</v>
      </c>
      <c r="P117" s="12">
        <f t="shared" ca="1" si="53"/>
        <v>452821.00053197128</v>
      </c>
      <c r="Q117" s="12">
        <f t="shared" ca="1" si="53"/>
        <v>339615.75039897847</v>
      </c>
      <c r="R117" s="12">
        <f t="shared" ca="1" si="53"/>
        <v>226410.50026598567</v>
      </c>
      <c r="S117" s="12">
        <f t="shared" ca="1" si="53"/>
        <v>113205.25013299283</v>
      </c>
      <c r="T117" s="12">
        <f t="shared" ca="1" si="53"/>
        <v>0</v>
      </c>
      <c r="U117" s="12">
        <f t="shared" ca="1" si="53"/>
        <v>112544.07574764364</v>
      </c>
      <c r="V117" s="12">
        <f t="shared" ca="1" si="53"/>
        <v>218983.55260641073</v>
      </c>
      <c r="W117" s="12">
        <f t="shared" ca="1" si="53"/>
        <v>342633.05378751305</v>
      </c>
      <c r="X117" s="12">
        <f t="shared" ca="1" si="53"/>
        <v>446181.61874927639</v>
      </c>
      <c r="Y117" s="12">
        <f t="shared" ca="1" si="53"/>
        <v>535083.67709894979</v>
      </c>
      <c r="Z117" s="12">
        <f t="shared" ca="1" si="53"/>
        <v>608191.41650106118</v>
      </c>
      <c r="AA117" s="12">
        <f t="shared" ca="1" si="53"/>
        <v>747848.51561997156</v>
      </c>
      <c r="AB117" s="12">
        <f t="shared" ca="1" si="53"/>
        <v>904906.92824987264</v>
      </c>
      <c r="AC117" s="12">
        <f t="shared" ca="1" si="53"/>
        <v>1045326.4256592779</v>
      </c>
      <c r="AD117" s="12">
        <f t="shared" ca="1" si="53"/>
        <v>929179.04503046931</v>
      </c>
      <c r="AE117" s="12">
        <f t="shared" ca="1" si="53"/>
        <v>813031.66440166067</v>
      </c>
      <c r="AF117" s="12">
        <f t="shared" ca="1" si="53"/>
        <v>696884.28377285204</v>
      </c>
      <c r="AG117" s="12">
        <f t="shared" ca="1" si="53"/>
        <v>580736.9031440434</v>
      </c>
    </row>
    <row r="118" spans="2:35" x14ac:dyDescent="0.45">
      <c r="B118" s="26" t="s">
        <v>55</v>
      </c>
      <c r="C118" s="12">
        <f t="shared" ref="C118:AG118" si="54">-IF(C99=1,C123,0)</f>
        <v>0</v>
      </c>
      <c r="D118" s="12">
        <f t="shared" ca="1" si="54"/>
        <v>0</v>
      </c>
      <c r="E118" s="12">
        <f t="shared" ca="1" si="54"/>
        <v>0</v>
      </c>
      <c r="F118" s="12">
        <f t="shared" ca="1" si="54"/>
        <v>0</v>
      </c>
      <c r="G118" s="12">
        <f t="shared" ca="1" si="54"/>
        <v>0</v>
      </c>
      <c r="H118" s="12">
        <f t="shared" ca="1" si="54"/>
        <v>118274.64905989943</v>
      </c>
      <c r="I118" s="12">
        <f t="shared" ca="1" si="54"/>
        <v>129048.99422618556</v>
      </c>
      <c r="J118" s="12">
        <f t="shared" ca="1" si="54"/>
        <v>141504.21189641551</v>
      </c>
      <c r="K118" s="12">
        <f t="shared" ca="1" si="54"/>
        <v>134715.26963678902</v>
      </c>
      <c r="L118" s="12">
        <f t="shared" ca="1" si="54"/>
        <v>87727.306169972711</v>
      </c>
      <c r="M118" s="12">
        <f t="shared" ca="1" si="54"/>
        <v>67961.06980869468</v>
      </c>
      <c r="N118" s="12">
        <f t="shared" ca="1" si="54"/>
        <v>0</v>
      </c>
      <c r="O118" s="12">
        <f t="shared" ca="1" si="54"/>
        <v>0</v>
      </c>
      <c r="P118" s="12">
        <f t="shared" ca="1" si="54"/>
        <v>0</v>
      </c>
      <c r="Q118" s="12">
        <f t="shared" ca="1" si="54"/>
        <v>0</v>
      </c>
      <c r="R118" s="12">
        <f t="shared" ca="1" si="54"/>
        <v>0</v>
      </c>
      <c r="S118" s="12">
        <f t="shared" ca="1" si="54"/>
        <v>0</v>
      </c>
      <c r="T118" s="12">
        <f t="shared" ca="1" si="54"/>
        <v>112544.07574764364</v>
      </c>
      <c r="U118" s="12">
        <f t="shared" ca="1" si="54"/>
        <v>106439.47685876708</v>
      </c>
      <c r="V118" s="12">
        <f t="shared" ca="1" si="54"/>
        <v>123649.5011811023</v>
      </c>
      <c r="W118" s="12">
        <f t="shared" ca="1" si="54"/>
        <v>103548.56496176335</v>
      </c>
      <c r="X118" s="12">
        <f t="shared" ca="1" si="54"/>
        <v>88902.058349673447</v>
      </c>
      <c r="Y118" s="12">
        <f t="shared" ca="1" si="54"/>
        <v>73107.739402111372</v>
      </c>
      <c r="Z118" s="12">
        <f t="shared" ca="1" si="54"/>
        <v>139657.09911891035</v>
      </c>
      <c r="AA118" s="12">
        <f t="shared" ca="1" si="54"/>
        <v>157058.41262990111</v>
      </c>
      <c r="AB118" s="12">
        <f t="shared" ca="1" si="54"/>
        <v>140419.49740940524</v>
      </c>
      <c r="AC118" s="12">
        <f t="shared" ca="1" si="54"/>
        <v>0</v>
      </c>
      <c r="AD118" s="12">
        <f t="shared" ca="1" si="54"/>
        <v>0</v>
      </c>
      <c r="AE118" s="12">
        <f t="shared" ca="1" si="54"/>
        <v>0</v>
      </c>
      <c r="AF118" s="12">
        <f t="shared" ca="1" si="54"/>
        <v>0</v>
      </c>
      <c r="AG118" s="12">
        <f t="shared" ca="1" si="54"/>
        <v>0</v>
      </c>
    </row>
    <row r="119" spans="2:35" x14ac:dyDescent="0.45">
      <c r="B119" s="26" t="s">
        <v>56</v>
      </c>
      <c r="C119" s="47"/>
      <c r="D119" s="12">
        <f t="shared" ref="D119:AG119" ca="1" si="55">IF(D108&gt;0,-D117/D108,0)</f>
        <v>0</v>
      </c>
      <c r="E119" s="12">
        <f t="shared" ca="1" si="55"/>
        <v>0</v>
      </c>
      <c r="F119" s="12">
        <f t="shared" ca="1" si="55"/>
        <v>0</v>
      </c>
      <c r="G119" s="12">
        <f t="shared" ca="1" si="55"/>
        <v>0</v>
      </c>
      <c r="H119" s="12">
        <f t="shared" ca="1" si="55"/>
        <v>0</v>
      </c>
      <c r="I119" s="12">
        <f t="shared" ca="1" si="55"/>
        <v>0</v>
      </c>
      <c r="J119" s="12">
        <f t="shared" ca="1" si="55"/>
        <v>0</v>
      </c>
      <c r="K119" s="12">
        <f t="shared" ca="1" si="55"/>
        <v>0</v>
      </c>
      <c r="L119" s="12">
        <f t="shared" ca="1" si="55"/>
        <v>0</v>
      </c>
      <c r="M119" s="12">
        <f t="shared" ca="1" si="55"/>
        <v>0</v>
      </c>
      <c r="N119" s="12">
        <f t="shared" ca="1" si="55"/>
        <v>-113205.25013299282</v>
      </c>
      <c r="O119" s="12">
        <f t="shared" ca="1" si="55"/>
        <v>-113205.25013299282</v>
      </c>
      <c r="P119" s="12">
        <f t="shared" ca="1" si="55"/>
        <v>-113205.25013299282</v>
      </c>
      <c r="Q119" s="12">
        <f t="shared" ca="1" si="55"/>
        <v>-113205.25013299282</v>
      </c>
      <c r="R119" s="12">
        <f t="shared" ca="1" si="55"/>
        <v>-113205.25013299283</v>
      </c>
      <c r="S119" s="12">
        <f t="shared" ca="1" si="55"/>
        <v>-113205.25013299283</v>
      </c>
      <c r="T119" s="12">
        <f t="shared" ca="1" si="55"/>
        <v>0</v>
      </c>
      <c r="U119" s="12">
        <f t="shared" ca="1" si="55"/>
        <v>0</v>
      </c>
      <c r="V119" s="12">
        <f t="shared" ca="1" si="55"/>
        <v>0</v>
      </c>
      <c r="W119" s="12">
        <f t="shared" ca="1" si="55"/>
        <v>0</v>
      </c>
      <c r="X119" s="12">
        <f t="shared" ca="1" si="55"/>
        <v>0</v>
      </c>
      <c r="Y119" s="12">
        <f t="shared" ca="1" si="55"/>
        <v>0</v>
      </c>
      <c r="Z119" s="12">
        <f t="shared" ca="1" si="55"/>
        <v>0</v>
      </c>
      <c r="AA119" s="12">
        <f t="shared" ca="1" si="55"/>
        <v>0</v>
      </c>
      <c r="AB119" s="12">
        <f t="shared" ca="1" si="55"/>
        <v>0</v>
      </c>
      <c r="AC119" s="12">
        <f t="shared" ca="1" si="55"/>
        <v>-116147.38062880866</v>
      </c>
      <c r="AD119" s="12">
        <f t="shared" ca="1" si="55"/>
        <v>-116147.38062880866</v>
      </c>
      <c r="AE119" s="12">
        <f t="shared" ca="1" si="55"/>
        <v>-116147.38062880866</v>
      </c>
      <c r="AF119" s="12">
        <f t="shared" ca="1" si="55"/>
        <v>-116147.38062880868</v>
      </c>
      <c r="AG119" s="12">
        <f t="shared" ca="1" si="55"/>
        <v>-116147.38062880868</v>
      </c>
    </row>
    <row r="120" spans="2:35" x14ac:dyDescent="0.45">
      <c r="B120" s="27" t="s">
        <v>57</v>
      </c>
      <c r="C120" s="21">
        <f>SUM(C117:C119)</f>
        <v>0</v>
      </c>
      <c r="D120" s="21">
        <f ca="1">SUM(D117:D119)</f>
        <v>0</v>
      </c>
      <c r="E120" s="21">
        <f t="shared" ref="E120:AG120" ca="1" si="56">SUM(E117:E119)</f>
        <v>0</v>
      </c>
      <c r="F120" s="21">
        <f t="shared" ca="1" si="56"/>
        <v>0</v>
      </c>
      <c r="G120" s="21">
        <f t="shared" ca="1" si="56"/>
        <v>0</v>
      </c>
      <c r="H120" s="21">
        <f t="shared" ca="1" si="56"/>
        <v>118274.64905989943</v>
      </c>
      <c r="I120" s="21">
        <f t="shared" ca="1" si="56"/>
        <v>247323.64328608499</v>
      </c>
      <c r="J120" s="21">
        <f t="shared" ca="1" si="56"/>
        <v>388827.8551825005</v>
      </c>
      <c r="K120" s="21">
        <f t="shared" ca="1" si="56"/>
        <v>523543.12481928954</v>
      </c>
      <c r="L120" s="21">
        <f ca="1">SUM(L117:L119)</f>
        <v>611270.4309892623</v>
      </c>
      <c r="M120" s="21">
        <f t="shared" ca="1" si="56"/>
        <v>679231.50079795695</v>
      </c>
      <c r="N120" s="21">
        <f t="shared" ca="1" si="56"/>
        <v>566026.25066496409</v>
      </c>
      <c r="O120" s="21">
        <f t="shared" ca="1" si="56"/>
        <v>452821.00053197128</v>
      </c>
      <c r="P120" s="21">
        <f t="shared" ca="1" si="56"/>
        <v>339615.75039897847</v>
      </c>
      <c r="Q120" s="21">
        <f t="shared" ca="1" si="56"/>
        <v>226410.50026598567</v>
      </c>
      <c r="R120" s="21">
        <f t="shared" ca="1" si="56"/>
        <v>113205.25013299283</v>
      </c>
      <c r="S120" s="21">
        <f t="shared" ca="1" si="56"/>
        <v>0</v>
      </c>
      <c r="T120" s="21">
        <f t="shared" ca="1" si="56"/>
        <v>112544.07574764364</v>
      </c>
      <c r="U120" s="21">
        <f t="shared" ca="1" si="56"/>
        <v>218983.55260641073</v>
      </c>
      <c r="V120" s="21">
        <f t="shared" ca="1" si="56"/>
        <v>342633.05378751305</v>
      </c>
      <c r="W120" s="21">
        <f t="shared" ca="1" si="56"/>
        <v>446181.61874927639</v>
      </c>
      <c r="X120" s="21">
        <f t="shared" ca="1" si="56"/>
        <v>535083.67709894979</v>
      </c>
      <c r="Y120" s="21">
        <f t="shared" ca="1" si="56"/>
        <v>608191.41650106118</v>
      </c>
      <c r="Z120" s="21">
        <f t="shared" ca="1" si="56"/>
        <v>747848.51561997156</v>
      </c>
      <c r="AA120" s="21">
        <f t="shared" ca="1" si="56"/>
        <v>904906.92824987264</v>
      </c>
      <c r="AB120" s="21">
        <f t="shared" ca="1" si="56"/>
        <v>1045326.4256592779</v>
      </c>
      <c r="AC120" s="21">
        <f t="shared" ca="1" si="56"/>
        <v>929179.04503046931</v>
      </c>
      <c r="AD120" s="21">
        <f t="shared" ca="1" si="56"/>
        <v>813031.66440166067</v>
      </c>
      <c r="AE120" s="21">
        <f t="shared" ca="1" si="56"/>
        <v>696884.28377285204</v>
      </c>
      <c r="AF120" s="21">
        <f t="shared" ca="1" si="56"/>
        <v>580736.9031440434</v>
      </c>
      <c r="AG120" s="21">
        <f t="shared" ca="1" si="56"/>
        <v>464589.52251523471</v>
      </c>
    </row>
    <row r="121" spans="2:35" x14ac:dyDescent="0.45">
      <c r="B121" s="19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</row>
    <row r="122" spans="2:35" x14ac:dyDescent="0.45">
      <c r="B122" s="29" t="s">
        <v>58</v>
      </c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12"/>
      <c r="X122" s="8"/>
      <c r="Y122" s="8"/>
      <c r="Z122" s="8"/>
      <c r="AA122" s="8"/>
      <c r="AB122" s="8"/>
      <c r="AC122" s="8"/>
      <c r="AD122" s="8"/>
      <c r="AE122" s="8"/>
      <c r="AF122" s="8"/>
      <c r="AG122" s="8"/>
    </row>
    <row r="123" spans="2:35" x14ac:dyDescent="0.45">
      <c r="B123" s="8" t="s">
        <v>126</v>
      </c>
      <c r="C123" s="12"/>
      <c r="D123" s="12">
        <f t="shared" ref="D123:AG123" ca="1" si="57">-D63*AVERAGE(D32,D28)</f>
        <v>-95521.474728956702</v>
      </c>
      <c r="E123" s="12">
        <f t="shared" ca="1" si="57"/>
        <v>-83119.908827279593</v>
      </c>
      <c r="F123" s="12">
        <f t="shared" ca="1" si="57"/>
        <v>-121138.40122120632</v>
      </c>
      <c r="G123" s="12">
        <f t="shared" ca="1" si="57"/>
        <v>-102750.75505656832</v>
      </c>
      <c r="H123" s="12">
        <f t="shared" ca="1" si="57"/>
        <v>-118274.64905989943</v>
      </c>
      <c r="I123" s="12">
        <f t="shared" ca="1" si="57"/>
        <v>-129048.99422618556</v>
      </c>
      <c r="J123" s="12">
        <f t="shared" ca="1" si="57"/>
        <v>-141504.21189641551</v>
      </c>
      <c r="K123" s="12">
        <f t="shared" ca="1" si="57"/>
        <v>-134715.26963678902</v>
      </c>
      <c r="L123" s="12">
        <f t="shared" ca="1" si="57"/>
        <v>-87727.306169972711</v>
      </c>
      <c r="M123" s="12">
        <f t="shared" ca="1" si="57"/>
        <v>-67961.06980869468</v>
      </c>
      <c r="N123" s="12">
        <f t="shared" ca="1" si="57"/>
        <v>-77972.424581646817</v>
      </c>
      <c r="O123" s="12">
        <f t="shared" ca="1" si="57"/>
        <v>-110691.82605670842</v>
      </c>
      <c r="P123" s="12">
        <f t="shared" ca="1" si="57"/>
        <v>-96636.167839782618</v>
      </c>
      <c r="Q123" s="12">
        <f t="shared" ca="1" si="57"/>
        <v>-124010.68713979452</v>
      </c>
      <c r="R123" s="12">
        <f t="shared" ca="1" si="57"/>
        <v>-155446.96493921641</v>
      </c>
      <c r="S123" s="12">
        <f t="shared" ca="1" si="57"/>
        <v>-107044.03540329708</v>
      </c>
      <c r="T123" s="12">
        <f t="shared" ca="1" si="57"/>
        <v>-112544.07574764364</v>
      </c>
      <c r="U123" s="12">
        <f t="shared" ca="1" si="57"/>
        <v>-106439.47685876708</v>
      </c>
      <c r="V123" s="12">
        <f t="shared" ca="1" si="57"/>
        <v>-123649.5011811023</v>
      </c>
      <c r="W123" s="12">
        <f t="shared" ca="1" si="57"/>
        <v>-103548.56496176335</v>
      </c>
      <c r="X123" s="12">
        <f t="shared" ca="1" si="57"/>
        <v>-88902.058349673447</v>
      </c>
      <c r="Y123" s="12">
        <f t="shared" ca="1" si="57"/>
        <v>-73107.739402111372</v>
      </c>
      <c r="Z123" s="12">
        <f t="shared" ca="1" si="57"/>
        <v>-139657.09911891035</v>
      </c>
      <c r="AA123" s="12">
        <f t="shared" ca="1" si="57"/>
        <v>-157058.41262990111</v>
      </c>
      <c r="AB123" s="12">
        <f t="shared" ca="1" si="57"/>
        <v>-140419.49740940524</v>
      </c>
      <c r="AC123" s="12">
        <f t="shared" ca="1" si="57"/>
        <v>-119470.87031157735</v>
      </c>
      <c r="AD123" s="12">
        <f t="shared" ca="1" si="57"/>
        <v>-82387.300082094225</v>
      </c>
      <c r="AE123" s="12">
        <f t="shared" ca="1" si="57"/>
        <v>-109032.79110393162</v>
      </c>
      <c r="AF123" s="12">
        <f t="shared" ca="1" si="57"/>
        <v>-142955.76818960009</v>
      </c>
      <c r="AG123" s="12">
        <f t="shared" ca="1" si="57"/>
        <v>-77586.503948294456</v>
      </c>
    </row>
    <row r="124" spans="2:35" x14ac:dyDescent="0.45">
      <c r="B124" s="26" t="s">
        <v>55</v>
      </c>
      <c r="C124" s="8"/>
      <c r="D124" s="12">
        <f ca="1">D118</f>
        <v>0</v>
      </c>
      <c r="E124" s="12">
        <f t="shared" ref="E124:AG124" ca="1" si="58">E118</f>
        <v>0</v>
      </c>
      <c r="F124" s="12">
        <f t="shared" ca="1" si="58"/>
        <v>0</v>
      </c>
      <c r="G124" s="12">
        <f t="shared" ca="1" si="58"/>
        <v>0</v>
      </c>
      <c r="H124" s="12">
        <f t="shared" ca="1" si="58"/>
        <v>118274.64905989943</v>
      </c>
      <c r="I124" s="12">
        <f t="shared" ca="1" si="58"/>
        <v>129048.99422618556</v>
      </c>
      <c r="J124" s="12">
        <f t="shared" ca="1" si="58"/>
        <v>141504.21189641551</v>
      </c>
      <c r="K124" s="12">
        <f t="shared" ca="1" si="58"/>
        <v>134715.26963678902</v>
      </c>
      <c r="L124" s="12">
        <f t="shared" ca="1" si="58"/>
        <v>87727.306169972711</v>
      </c>
      <c r="M124" s="12">
        <f t="shared" ca="1" si="58"/>
        <v>67961.06980869468</v>
      </c>
      <c r="N124" s="12">
        <f t="shared" ca="1" si="58"/>
        <v>0</v>
      </c>
      <c r="O124" s="12">
        <f t="shared" ca="1" si="58"/>
        <v>0</v>
      </c>
      <c r="P124" s="12">
        <f t="shared" ca="1" si="58"/>
        <v>0</v>
      </c>
      <c r="Q124" s="12">
        <f t="shared" ca="1" si="58"/>
        <v>0</v>
      </c>
      <c r="R124" s="12">
        <f t="shared" ca="1" si="58"/>
        <v>0</v>
      </c>
      <c r="S124" s="12">
        <f t="shared" ca="1" si="58"/>
        <v>0</v>
      </c>
      <c r="T124" s="12">
        <f t="shared" ca="1" si="58"/>
        <v>112544.07574764364</v>
      </c>
      <c r="U124" s="12">
        <f t="shared" ca="1" si="58"/>
        <v>106439.47685876708</v>
      </c>
      <c r="V124" s="12">
        <f t="shared" ca="1" si="58"/>
        <v>123649.5011811023</v>
      </c>
      <c r="W124" s="12">
        <f t="shared" ca="1" si="58"/>
        <v>103548.56496176335</v>
      </c>
      <c r="X124" s="12">
        <f t="shared" ca="1" si="58"/>
        <v>88902.058349673447</v>
      </c>
      <c r="Y124" s="12">
        <f t="shared" ca="1" si="58"/>
        <v>73107.739402111372</v>
      </c>
      <c r="Z124" s="12">
        <f t="shared" ca="1" si="58"/>
        <v>139657.09911891035</v>
      </c>
      <c r="AA124" s="12">
        <f t="shared" ca="1" si="58"/>
        <v>157058.41262990111</v>
      </c>
      <c r="AB124" s="12">
        <f t="shared" ca="1" si="58"/>
        <v>140419.49740940524</v>
      </c>
      <c r="AC124" s="12">
        <f t="shared" ca="1" si="58"/>
        <v>0</v>
      </c>
      <c r="AD124" s="12">
        <f t="shared" ca="1" si="58"/>
        <v>0</v>
      </c>
      <c r="AE124" s="12">
        <f t="shared" ca="1" si="58"/>
        <v>0</v>
      </c>
      <c r="AF124" s="12">
        <f t="shared" ca="1" si="58"/>
        <v>0</v>
      </c>
      <c r="AG124" s="12">
        <f t="shared" ca="1" si="58"/>
        <v>0</v>
      </c>
    </row>
    <row r="125" spans="2:35" x14ac:dyDescent="0.45">
      <c r="B125" s="26" t="s">
        <v>56</v>
      </c>
      <c r="C125" s="8"/>
      <c r="D125" s="12">
        <f t="shared" ref="D125" ca="1" si="59">D119</f>
        <v>0</v>
      </c>
      <c r="E125" s="12">
        <f t="shared" ref="E125:AG125" ca="1" si="60">E119</f>
        <v>0</v>
      </c>
      <c r="F125" s="12">
        <f t="shared" ca="1" si="60"/>
        <v>0</v>
      </c>
      <c r="G125" s="12">
        <f t="shared" ca="1" si="60"/>
        <v>0</v>
      </c>
      <c r="H125" s="12">
        <f t="shared" ca="1" si="60"/>
        <v>0</v>
      </c>
      <c r="I125" s="12">
        <f t="shared" ca="1" si="60"/>
        <v>0</v>
      </c>
      <c r="J125" s="12">
        <f t="shared" ca="1" si="60"/>
        <v>0</v>
      </c>
      <c r="K125" s="12">
        <f t="shared" ca="1" si="60"/>
        <v>0</v>
      </c>
      <c r="L125" s="12">
        <f t="shared" ca="1" si="60"/>
        <v>0</v>
      </c>
      <c r="M125" s="12">
        <f t="shared" ca="1" si="60"/>
        <v>0</v>
      </c>
      <c r="N125" s="12">
        <f t="shared" ca="1" si="60"/>
        <v>-113205.25013299282</v>
      </c>
      <c r="O125" s="12">
        <f t="shared" ca="1" si="60"/>
        <v>-113205.25013299282</v>
      </c>
      <c r="P125" s="12">
        <f t="shared" ca="1" si="60"/>
        <v>-113205.25013299282</v>
      </c>
      <c r="Q125" s="12">
        <f t="shared" ca="1" si="60"/>
        <v>-113205.25013299282</v>
      </c>
      <c r="R125" s="12">
        <f t="shared" ca="1" si="60"/>
        <v>-113205.25013299283</v>
      </c>
      <c r="S125" s="12">
        <f t="shared" ca="1" si="60"/>
        <v>-113205.25013299283</v>
      </c>
      <c r="T125" s="12">
        <f t="shared" ca="1" si="60"/>
        <v>0</v>
      </c>
      <c r="U125" s="12">
        <f t="shared" ca="1" si="60"/>
        <v>0</v>
      </c>
      <c r="V125" s="12">
        <f t="shared" ca="1" si="60"/>
        <v>0</v>
      </c>
      <c r="W125" s="12">
        <f t="shared" ca="1" si="60"/>
        <v>0</v>
      </c>
      <c r="X125" s="12">
        <f t="shared" ca="1" si="60"/>
        <v>0</v>
      </c>
      <c r="Y125" s="12">
        <f t="shared" ca="1" si="60"/>
        <v>0</v>
      </c>
      <c r="Z125" s="12">
        <f t="shared" ca="1" si="60"/>
        <v>0</v>
      </c>
      <c r="AA125" s="12">
        <f t="shared" ca="1" si="60"/>
        <v>0</v>
      </c>
      <c r="AB125" s="12">
        <f t="shared" ca="1" si="60"/>
        <v>0</v>
      </c>
      <c r="AC125" s="12">
        <f t="shared" ca="1" si="60"/>
        <v>-116147.38062880866</v>
      </c>
      <c r="AD125" s="12">
        <f t="shared" ca="1" si="60"/>
        <v>-116147.38062880866</v>
      </c>
      <c r="AE125" s="12">
        <f t="shared" ca="1" si="60"/>
        <v>-116147.38062880866</v>
      </c>
      <c r="AF125" s="12">
        <f t="shared" ca="1" si="60"/>
        <v>-116147.38062880868</v>
      </c>
      <c r="AG125" s="12">
        <f t="shared" ca="1" si="60"/>
        <v>-116147.38062880868</v>
      </c>
    </row>
    <row r="126" spans="2:35" x14ac:dyDescent="0.45">
      <c r="B126" s="27" t="s">
        <v>59</v>
      </c>
      <c r="C126" s="20"/>
      <c r="D126" s="24">
        <f ca="1">SUM(D123:D125)</f>
        <v>-95521.474728956702</v>
      </c>
      <c r="E126" s="24">
        <f t="shared" ref="E126:AG126" ca="1" si="61">SUM(E123:E125)</f>
        <v>-83119.908827279593</v>
      </c>
      <c r="F126" s="24">
        <f t="shared" ca="1" si="61"/>
        <v>-121138.40122120632</v>
      </c>
      <c r="G126" s="24">
        <f t="shared" ca="1" si="61"/>
        <v>-102750.75505656832</v>
      </c>
      <c r="H126" s="24">
        <f t="shared" ca="1" si="61"/>
        <v>0</v>
      </c>
      <c r="I126" s="24">
        <f t="shared" ca="1" si="61"/>
        <v>0</v>
      </c>
      <c r="J126" s="24">
        <f t="shared" ca="1" si="61"/>
        <v>0</v>
      </c>
      <c r="K126" s="24">
        <f t="shared" ca="1" si="61"/>
        <v>0</v>
      </c>
      <c r="L126" s="24">
        <f t="shared" ca="1" si="61"/>
        <v>0</v>
      </c>
      <c r="M126" s="24">
        <f t="shared" ca="1" si="61"/>
        <v>0</v>
      </c>
      <c r="N126" s="24">
        <f t="shared" ca="1" si="61"/>
        <v>-191177.67471463964</v>
      </c>
      <c r="O126" s="24">
        <f t="shared" ca="1" si="61"/>
        <v>-223897.07618970124</v>
      </c>
      <c r="P126" s="24">
        <f t="shared" ca="1" si="61"/>
        <v>-209841.41797277544</v>
      </c>
      <c r="Q126" s="24">
        <f t="shared" ca="1" si="61"/>
        <v>-237215.93727278733</v>
      </c>
      <c r="R126" s="24">
        <f t="shared" ca="1" si="61"/>
        <v>-268652.21507220925</v>
      </c>
      <c r="S126" s="24">
        <f t="shared" ca="1" si="61"/>
        <v>-220249.28553628991</v>
      </c>
      <c r="T126" s="24">
        <f t="shared" ca="1" si="61"/>
        <v>0</v>
      </c>
      <c r="U126" s="24">
        <f t="shared" ca="1" si="61"/>
        <v>0</v>
      </c>
      <c r="V126" s="24">
        <f t="shared" ca="1" si="61"/>
        <v>0</v>
      </c>
      <c r="W126" s="24">
        <f t="shared" ca="1" si="61"/>
        <v>0</v>
      </c>
      <c r="X126" s="24">
        <f t="shared" ca="1" si="61"/>
        <v>0</v>
      </c>
      <c r="Y126" s="24">
        <f t="shared" ca="1" si="61"/>
        <v>0</v>
      </c>
      <c r="Z126" s="24">
        <f t="shared" ca="1" si="61"/>
        <v>0</v>
      </c>
      <c r="AA126" s="24">
        <f t="shared" ca="1" si="61"/>
        <v>0</v>
      </c>
      <c r="AB126" s="24">
        <f t="shared" ca="1" si="61"/>
        <v>0</v>
      </c>
      <c r="AC126" s="24">
        <f t="shared" ca="1" si="61"/>
        <v>-235618.25094038603</v>
      </c>
      <c r="AD126" s="24">
        <f t="shared" ca="1" si="61"/>
        <v>-198534.6807109029</v>
      </c>
      <c r="AE126" s="24">
        <f t="shared" ca="1" si="61"/>
        <v>-225180.1717327403</v>
      </c>
      <c r="AF126" s="24">
        <f t="shared" ca="1" si="61"/>
        <v>-259103.14881840878</v>
      </c>
      <c r="AG126" s="24">
        <f t="shared" ca="1" si="61"/>
        <v>-193733.88457710313</v>
      </c>
    </row>
    <row r="127" spans="2:35" x14ac:dyDescent="0.45">
      <c r="B127" s="26" t="s">
        <v>90</v>
      </c>
      <c r="C127" s="8"/>
      <c r="D127" s="12">
        <f t="shared" ref="D127:AG127" ca="1" si="62">D130*(D24=$D$17)</f>
        <v>0</v>
      </c>
      <c r="E127" s="12">
        <f t="shared" ca="1" si="62"/>
        <v>0</v>
      </c>
      <c r="F127" s="12">
        <f t="shared" ca="1" si="62"/>
        <v>0</v>
      </c>
      <c r="G127" s="12">
        <f t="shared" ca="1" si="62"/>
        <v>0</v>
      </c>
      <c r="H127" s="12">
        <f t="shared" ca="1" si="62"/>
        <v>0</v>
      </c>
      <c r="I127" s="12">
        <f t="shared" ca="1" si="62"/>
        <v>0</v>
      </c>
      <c r="J127" s="12">
        <f t="shared" ca="1" si="62"/>
        <v>0</v>
      </c>
      <c r="K127" s="12">
        <f t="shared" ca="1" si="62"/>
        <v>0</v>
      </c>
      <c r="L127" s="12">
        <f t="shared" ca="1" si="62"/>
        <v>0</v>
      </c>
      <c r="M127" s="12">
        <f t="shared" ca="1" si="62"/>
        <v>0</v>
      </c>
      <c r="N127" s="12">
        <f t="shared" ca="1" si="62"/>
        <v>0</v>
      </c>
      <c r="O127" s="12">
        <f t="shared" ca="1" si="62"/>
        <v>0</v>
      </c>
      <c r="P127" s="12">
        <f t="shared" ca="1" si="62"/>
        <v>0</v>
      </c>
      <c r="Q127" s="12">
        <f t="shared" ca="1" si="62"/>
        <v>0</v>
      </c>
      <c r="R127" s="12">
        <f t="shared" ca="1" si="62"/>
        <v>0</v>
      </c>
      <c r="S127" s="12">
        <f t="shared" ca="1" si="62"/>
        <v>0</v>
      </c>
      <c r="T127" s="12">
        <f t="shared" ca="1" si="62"/>
        <v>0</v>
      </c>
      <c r="U127" s="12">
        <f t="shared" ca="1" si="62"/>
        <v>0</v>
      </c>
      <c r="V127" s="12">
        <f t="shared" ca="1" si="62"/>
        <v>0</v>
      </c>
      <c r="W127" s="12">
        <f t="shared" ca="1" si="62"/>
        <v>0</v>
      </c>
      <c r="X127" s="12">
        <f t="shared" ca="1" si="62"/>
        <v>0</v>
      </c>
      <c r="Y127" s="12">
        <f t="shared" ca="1" si="62"/>
        <v>0</v>
      </c>
      <c r="Z127" s="12">
        <f t="shared" ca="1" si="62"/>
        <v>0</v>
      </c>
      <c r="AA127" s="12">
        <f t="shared" ca="1" si="62"/>
        <v>0</v>
      </c>
      <c r="AB127" s="12">
        <f t="shared" ca="1" si="62"/>
        <v>0</v>
      </c>
      <c r="AC127" s="12">
        <f t="shared" ca="1" si="62"/>
        <v>0</v>
      </c>
      <c r="AD127" s="12">
        <f t="shared" ca="1" si="62"/>
        <v>0</v>
      </c>
      <c r="AE127" s="12">
        <f t="shared" ca="1" si="62"/>
        <v>0</v>
      </c>
      <c r="AF127" s="12">
        <f t="shared" ca="1" si="62"/>
        <v>0</v>
      </c>
      <c r="AG127" s="12">
        <f t="shared" ca="1" si="62"/>
        <v>-464589.52251523407</v>
      </c>
    </row>
    <row r="128" spans="2:35" x14ac:dyDescent="0.45">
      <c r="B128" s="26"/>
      <c r="C128" s="8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</row>
    <row r="129" spans="2:35" x14ac:dyDescent="0.45">
      <c r="B129" s="19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</row>
    <row r="130" spans="2:35" x14ac:dyDescent="0.45">
      <c r="B130" s="19" t="s">
        <v>84</v>
      </c>
      <c r="C130" s="8"/>
      <c r="D130" s="12">
        <f ca="1">SUM($D$123:D123)-SUM($D$126:D126)-SUM($C$127:C127)</f>
        <v>0</v>
      </c>
      <c r="E130" s="12">
        <f ca="1">SUM($D$123:E123)-SUM($D$126:E126)-SUM($C$127:D127)</f>
        <v>0</v>
      </c>
      <c r="F130" s="12">
        <f ca="1">SUM($D$123:F123)-SUM($D$126:F126)-SUM($C$127:E127)</f>
        <v>0</v>
      </c>
      <c r="G130" s="12">
        <f ca="1">SUM($D$123:G123)-SUM($D$126:G126)-SUM($C$127:F127)</f>
        <v>0</v>
      </c>
      <c r="H130" s="12">
        <f ca="1">SUM($D$123:H123)-SUM($D$126:H126)-SUM($C$127:G127)</f>
        <v>-118274.64905989944</v>
      </c>
      <c r="I130" s="12">
        <f ca="1">SUM($D$123:I123)-SUM($D$126:I126)-SUM($C$127:H127)</f>
        <v>-247323.64328608499</v>
      </c>
      <c r="J130" s="12">
        <f ca="1">SUM($D$123:J123)-SUM($D$126:J126)-SUM($C$127:I127)</f>
        <v>-388827.85518250056</v>
      </c>
      <c r="K130" s="12">
        <f ca="1">SUM($D$123:K123)-SUM($D$126:K126)-SUM($C$127:J127)</f>
        <v>-523543.12481928954</v>
      </c>
      <c r="L130" s="12">
        <f ca="1">SUM($D$123:L123)-SUM($D$126:L126)-SUM($C$127:K127)</f>
        <v>-611270.4309892623</v>
      </c>
      <c r="M130" s="12">
        <f ca="1">SUM($D$123:M123)-SUM($D$126:M126)-SUM($C$127:L127)</f>
        <v>-679231.50079795695</v>
      </c>
      <c r="N130" s="12">
        <f ca="1">SUM($D$123:N123)-SUM($D$126:N126)-SUM($C$127:M127)</f>
        <v>-566026.2506649642</v>
      </c>
      <c r="O130" s="12">
        <f ca="1">SUM($D$123:O123)-SUM($D$126:O126)-SUM($C$127:N127)</f>
        <v>-452821.00053197134</v>
      </c>
      <c r="P130" s="12">
        <f ca="1">SUM($D$123:P123)-SUM($D$126:P126)-SUM($C$127:O127)</f>
        <v>-339615.75039897847</v>
      </c>
      <c r="Q130" s="12">
        <f ca="1">SUM($D$123:Q123)-SUM($D$126:Q126)-SUM($C$127:P127)</f>
        <v>-226410.50026598573</v>
      </c>
      <c r="R130" s="12">
        <f ca="1">SUM($D$123:R123)-SUM($D$126:R126)-SUM($C$127:Q127)</f>
        <v>-113205.25013299286</v>
      </c>
      <c r="S130" s="12">
        <f ca="1">SUM($D$123:S123)-SUM($D$126:S126)-SUM($C$127:R127)</f>
        <v>0</v>
      </c>
      <c r="T130" s="12">
        <f ca="1">SUM($D$123:T123)-SUM($D$126:T126)-SUM($C$127:S127)</f>
        <v>-112544.0757476436</v>
      </c>
      <c r="U130" s="12">
        <f ca="1">SUM($D$123:U123)-SUM($D$126:U126)-SUM($C$127:T127)</f>
        <v>-218983.55260641058</v>
      </c>
      <c r="V130" s="12">
        <f ca="1">SUM($D$123:V123)-SUM($D$126:V126)-SUM($C$127:U127)</f>
        <v>-342633.05378751294</v>
      </c>
      <c r="W130" s="12">
        <f ca="1">SUM($D$123:W123)-SUM($D$126:W126)-SUM($C$127:V127)</f>
        <v>-446181.61874927627</v>
      </c>
      <c r="X130" s="12">
        <f ca="1">SUM($D$123:X123)-SUM($D$126:X126)-SUM($C$127:W127)</f>
        <v>-535083.67709894991</v>
      </c>
      <c r="Y130" s="12">
        <f ca="1">SUM($D$123:Y123)-SUM($D$126:Y126)-SUM($C$127:X127)</f>
        <v>-608191.41650106106</v>
      </c>
      <c r="Z130" s="12">
        <f ca="1">SUM($D$123:Z123)-SUM($D$126:Z126)-SUM($C$127:Y127)</f>
        <v>-747848.51561997132</v>
      </c>
      <c r="AA130" s="12">
        <f ca="1">SUM($D$123:AA123)-SUM($D$126:AA126)-SUM($C$127:Z127)</f>
        <v>-904906.92824987229</v>
      </c>
      <c r="AB130" s="12">
        <f ca="1">SUM($D$123:AB123)-SUM($D$126:AB126)-SUM($C$127:AA127)</f>
        <v>-1045326.4256592775</v>
      </c>
      <c r="AC130" s="12">
        <f ca="1">SUM($D$123:AC123)-SUM($D$126:AC126)-SUM($C$127:AB127)</f>
        <v>-929179.04503046884</v>
      </c>
      <c r="AD130" s="12">
        <f ca="1">SUM($D$123:AD123)-SUM($D$126:AD126)-SUM($C$127:AC127)</f>
        <v>-813031.66440165974</v>
      </c>
      <c r="AE130" s="12">
        <f ca="1">SUM($D$123:AE123)-SUM($D$126:AE126)-SUM($C$127:AD127)</f>
        <v>-696884.28377285087</v>
      </c>
      <c r="AF130" s="12">
        <f ca="1">SUM($D$123:AF123)-SUM($D$126:AF126)-SUM($C$127:AE127)</f>
        <v>-580736.90314404247</v>
      </c>
      <c r="AG130" s="12">
        <f ca="1">SUM($D$123:AG123)-SUM($D$126:AG126)-SUM($C$127:AF127)</f>
        <v>-464589.52251523407</v>
      </c>
    </row>
    <row r="131" spans="2:35" x14ac:dyDescent="0.45">
      <c r="B131" s="19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</row>
    <row r="132" spans="2:35" x14ac:dyDescent="0.45">
      <c r="B132" s="19" t="s">
        <v>60</v>
      </c>
      <c r="C132" s="8"/>
      <c r="D132" s="8" t="b">
        <f ca="1">SUM(D123:AG123)=SUM(D126:AG126)+SUM(D127:AG127)</f>
        <v>1</v>
      </c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</row>
    <row r="133" spans="2:35" x14ac:dyDescent="0.45">
      <c r="B133" s="19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</row>
    <row r="134" spans="2:35" x14ac:dyDescent="0.45">
      <c r="B134" s="18" t="s">
        <v>130</v>
      </c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</row>
    <row r="135" spans="2:35" x14ac:dyDescent="0.4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</row>
    <row r="136" spans="2:35" x14ac:dyDescent="0.45">
      <c r="B136" s="19" t="s">
        <v>131</v>
      </c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</row>
    <row r="137" spans="2:35" x14ac:dyDescent="0.45">
      <c r="B137" s="8" t="s">
        <v>21</v>
      </c>
      <c r="C137" s="12">
        <f t="shared" ref="C137:AG137" ca="1" si="63">-C29</f>
        <v>-1300000</v>
      </c>
      <c r="D137" s="12">
        <f t="shared" si="63"/>
        <v>0</v>
      </c>
      <c r="E137" s="12">
        <f t="shared" si="63"/>
        <v>0</v>
      </c>
      <c r="F137" s="12">
        <f t="shared" si="63"/>
        <v>0</v>
      </c>
      <c r="G137" s="12">
        <f t="shared" si="63"/>
        <v>0</v>
      </c>
      <c r="H137" s="12">
        <f t="shared" si="63"/>
        <v>0</v>
      </c>
      <c r="I137" s="12">
        <f t="shared" si="63"/>
        <v>0</v>
      </c>
      <c r="J137" s="12">
        <f t="shared" si="63"/>
        <v>0</v>
      </c>
      <c r="K137" s="12">
        <f t="shared" si="63"/>
        <v>0</v>
      </c>
      <c r="L137" s="12">
        <f t="shared" si="63"/>
        <v>0</v>
      </c>
      <c r="M137" s="12">
        <f t="shared" si="63"/>
        <v>0</v>
      </c>
      <c r="N137" s="12">
        <f t="shared" si="63"/>
        <v>0</v>
      </c>
      <c r="O137" s="12">
        <f t="shared" si="63"/>
        <v>0</v>
      </c>
      <c r="P137" s="12">
        <f t="shared" si="63"/>
        <v>0</v>
      </c>
      <c r="Q137" s="12">
        <f t="shared" si="63"/>
        <v>0</v>
      </c>
      <c r="R137" s="12">
        <f t="shared" si="63"/>
        <v>0</v>
      </c>
      <c r="S137" s="12">
        <f t="shared" si="63"/>
        <v>0</v>
      </c>
      <c r="T137" s="12">
        <f t="shared" si="63"/>
        <v>0</v>
      </c>
      <c r="U137" s="12">
        <f t="shared" si="63"/>
        <v>0</v>
      </c>
      <c r="V137" s="12">
        <f t="shared" si="63"/>
        <v>0</v>
      </c>
      <c r="W137" s="12">
        <f t="shared" si="63"/>
        <v>0</v>
      </c>
      <c r="X137" s="12">
        <f t="shared" si="63"/>
        <v>0</v>
      </c>
      <c r="Y137" s="12">
        <f t="shared" si="63"/>
        <v>0</v>
      </c>
      <c r="Z137" s="12">
        <f t="shared" si="63"/>
        <v>0</v>
      </c>
      <c r="AA137" s="12">
        <f t="shared" si="63"/>
        <v>0</v>
      </c>
      <c r="AB137" s="12">
        <f t="shared" si="63"/>
        <v>0</v>
      </c>
      <c r="AC137" s="12">
        <f t="shared" si="63"/>
        <v>0</v>
      </c>
      <c r="AD137" s="12">
        <f t="shared" si="63"/>
        <v>0</v>
      </c>
      <c r="AE137" s="12">
        <f t="shared" si="63"/>
        <v>0</v>
      </c>
      <c r="AF137" s="12">
        <f t="shared" si="63"/>
        <v>0</v>
      </c>
      <c r="AG137" s="12">
        <f t="shared" si="63"/>
        <v>0</v>
      </c>
    </row>
    <row r="138" spans="2:35" x14ac:dyDescent="0.45">
      <c r="B138" s="8" t="s">
        <v>22</v>
      </c>
      <c r="C138" s="12">
        <f t="shared" ref="C138:AG138" si="64">-C30</f>
        <v>0</v>
      </c>
      <c r="D138" s="12">
        <f t="shared" ca="1" si="64"/>
        <v>-30000</v>
      </c>
      <c r="E138" s="12">
        <f t="shared" ca="1" si="64"/>
        <v>-30000</v>
      </c>
      <c r="F138" s="12">
        <f t="shared" ca="1" si="64"/>
        <v>-30000</v>
      </c>
      <c r="G138" s="12">
        <f t="shared" ca="1" si="64"/>
        <v>-30000</v>
      </c>
      <c r="H138" s="12">
        <f t="shared" ca="1" si="64"/>
        <v>-30000</v>
      </c>
      <c r="I138" s="12">
        <f t="shared" ca="1" si="64"/>
        <v>-30000</v>
      </c>
      <c r="J138" s="12">
        <f t="shared" ca="1" si="64"/>
        <v>-30000</v>
      </c>
      <c r="K138" s="12">
        <f t="shared" ca="1" si="64"/>
        <v>-30000</v>
      </c>
      <c r="L138" s="12">
        <f t="shared" ca="1" si="64"/>
        <v>-30000</v>
      </c>
      <c r="M138" s="12">
        <f t="shared" ca="1" si="64"/>
        <v>-30000</v>
      </c>
      <c r="N138" s="12">
        <f t="shared" ca="1" si="64"/>
        <v>0</v>
      </c>
      <c r="O138" s="12">
        <f t="shared" ca="1" si="64"/>
        <v>0</v>
      </c>
      <c r="P138" s="12">
        <f t="shared" ca="1" si="64"/>
        <v>0</v>
      </c>
      <c r="Q138" s="12">
        <f t="shared" ca="1" si="64"/>
        <v>0</v>
      </c>
      <c r="R138" s="12">
        <f t="shared" ca="1" si="64"/>
        <v>0</v>
      </c>
      <c r="S138" s="12">
        <f t="shared" ca="1" si="64"/>
        <v>0</v>
      </c>
      <c r="T138" s="12">
        <f t="shared" ca="1" si="64"/>
        <v>0</v>
      </c>
      <c r="U138" s="12">
        <f t="shared" ca="1" si="64"/>
        <v>0</v>
      </c>
      <c r="V138" s="12">
        <f t="shared" ca="1" si="64"/>
        <v>0</v>
      </c>
      <c r="W138" s="12">
        <f t="shared" ca="1" si="64"/>
        <v>0</v>
      </c>
      <c r="X138" s="12">
        <f t="shared" ca="1" si="64"/>
        <v>0</v>
      </c>
      <c r="Y138" s="12">
        <f t="shared" ca="1" si="64"/>
        <v>0</v>
      </c>
      <c r="Z138" s="12">
        <f t="shared" ca="1" si="64"/>
        <v>0</v>
      </c>
      <c r="AA138" s="12">
        <f t="shared" ca="1" si="64"/>
        <v>0</v>
      </c>
      <c r="AB138" s="12">
        <f t="shared" ca="1" si="64"/>
        <v>0</v>
      </c>
      <c r="AC138" s="12">
        <f t="shared" ca="1" si="64"/>
        <v>0</v>
      </c>
      <c r="AD138" s="12">
        <f t="shared" ca="1" si="64"/>
        <v>0</v>
      </c>
      <c r="AE138" s="12">
        <f t="shared" ca="1" si="64"/>
        <v>0</v>
      </c>
      <c r="AF138" s="12">
        <f t="shared" ca="1" si="64"/>
        <v>0</v>
      </c>
      <c r="AG138" s="12">
        <f t="shared" ca="1" si="64"/>
        <v>0</v>
      </c>
    </row>
    <row r="139" spans="2:35" x14ac:dyDescent="0.45">
      <c r="B139" s="8" t="s">
        <v>92</v>
      </c>
      <c r="C139" s="12">
        <f t="shared" ref="C139:AG139" si="65">-C126*(C24&lt;=$D$17)</f>
        <v>0</v>
      </c>
      <c r="D139" s="12">
        <f t="shared" ca="1" si="65"/>
        <v>95521.474728956702</v>
      </c>
      <c r="E139" s="12">
        <f t="shared" ca="1" si="65"/>
        <v>83119.908827279593</v>
      </c>
      <c r="F139" s="12">
        <f t="shared" ca="1" si="65"/>
        <v>121138.40122120632</v>
      </c>
      <c r="G139" s="12">
        <f t="shared" ca="1" si="65"/>
        <v>102750.75505656832</v>
      </c>
      <c r="H139" s="12">
        <f t="shared" ca="1" si="65"/>
        <v>0</v>
      </c>
      <c r="I139" s="12">
        <f t="shared" ca="1" si="65"/>
        <v>0</v>
      </c>
      <c r="J139" s="12">
        <f t="shared" ca="1" si="65"/>
        <v>0</v>
      </c>
      <c r="K139" s="12">
        <f t="shared" ca="1" si="65"/>
        <v>0</v>
      </c>
      <c r="L139" s="12">
        <f t="shared" ca="1" si="65"/>
        <v>0</v>
      </c>
      <c r="M139" s="12">
        <f t="shared" ca="1" si="65"/>
        <v>0</v>
      </c>
      <c r="N139" s="12">
        <f t="shared" ca="1" si="65"/>
        <v>191177.67471463964</v>
      </c>
      <c r="O139" s="12">
        <f t="shared" ca="1" si="65"/>
        <v>223897.07618970124</v>
      </c>
      <c r="P139" s="12">
        <f t="shared" ca="1" si="65"/>
        <v>209841.41797277544</v>
      </c>
      <c r="Q139" s="12">
        <f t="shared" ca="1" si="65"/>
        <v>237215.93727278733</v>
      </c>
      <c r="R139" s="12">
        <f t="shared" ca="1" si="65"/>
        <v>268652.21507220925</v>
      </c>
      <c r="S139" s="12">
        <f t="shared" ca="1" si="65"/>
        <v>220249.28553628991</v>
      </c>
      <c r="T139" s="12">
        <f t="shared" ca="1" si="65"/>
        <v>0</v>
      </c>
      <c r="U139" s="12">
        <f t="shared" ca="1" si="65"/>
        <v>0</v>
      </c>
      <c r="V139" s="12">
        <f t="shared" ca="1" si="65"/>
        <v>0</v>
      </c>
      <c r="W139" s="12">
        <f t="shared" ca="1" si="65"/>
        <v>0</v>
      </c>
      <c r="X139" s="12">
        <f t="shared" ca="1" si="65"/>
        <v>0</v>
      </c>
      <c r="Y139" s="12">
        <f t="shared" ca="1" si="65"/>
        <v>0</v>
      </c>
      <c r="Z139" s="12">
        <f t="shared" ca="1" si="65"/>
        <v>0</v>
      </c>
      <c r="AA139" s="12">
        <f t="shared" ca="1" si="65"/>
        <v>0</v>
      </c>
      <c r="AB139" s="12">
        <f t="shared" ca="1" si="65"/>
        <v>0</v>
      </c>
      <c r="AC139" s="12">
        <f t="shared" ca="1" si="65"/>
        <v>235618.25094038603</v>
      </c>
      <c r="AD139" s="12">
        <f t="shared" ca="1" si="65"/>
        <v>198534.6807109029</v>
      </c>
      <c r="AE139" s="12">
        <f t="shared" ca="1" si="65"/>
        <v>225180.1717327403</v>
      </c>
      <c r="AF139" s="12">
        <f t="shared" ca="1" si="65"/>
        <v>259103.14881840878</v>
      </c>
      <c r="AG139" s="12">
        <f t="shared" ca="1" si="65"/>
        <v>193733.88457710313</v>
      </c>
    </row>
    <row r="140" spans="2:35" x14ac:dyDescent="0.45">
      <c r="B140" s="8" t="s">
        <v>34</v>
      </c>
      <c r="C140" s="12">
        <f t="shared" ref="C140:AG140" ca="1" si="66">C92*(C24=$D$17)</f>
        <v>0</v>
      </c>
      <c r="D140" s="12">
        <f t="shared" ca="1" si="66"/>
        <v>0</v>
      </c>
      <c r="E140" s="12">
        <f t="shared" ca="1" si="66"/>
        <v>0</v>
      </c>
      <c r="F140" s="12">
        <f t="shared" ca="1" si="66"/>
        <v>0</v>
      </c>
      <c r="G140" s="12">
        <f t="shared" ca="1" si="66"/>
        <v>0</v>
      </c>
      <c r="H140" s="12">
        <f t="shared" ca="1" si="66"/>
        <v>0</v>
      </c>
      <c r="I140" s="12">
        <f t="shared" ca="1" si="66"/>
        <v>0</v>
      </c>
      <c r="J140" s="12">
        <f t="shared" ca="1" si="66"/>
        <v>0</v>
      </c>
      <c r="K140" s="12">
        <f t="shared" ca="1" si="66"/>
        <v>0</v>
      </c>
      <c r="L140" s="12">
        <f t="shared" ca="1" si="66"/>
        <v>0</v>
      </c>
      <c r="M140" s="12">
        <f t="shared" ca="1" si="66"/>
        <v>0</v>
      </c>
      <c r="N140" s="12">
        <f t="shared" ca="1" si="66"/>
        <v>0</v>
      </c>
      <c r="O140" s="12">
        <f t="shared" ca="1" si="66"/>
        <v>0</v>
      </c>
      <c r="P140" s="12">
        <f t="shared" ca="1" si="66"/>
        <v>0</v>
      </c>
      <c r="Q140" s="12">
        <f t="shared" ca="1" si="66"/>
        <v>0</v>
      </c>
      <c r="R140" s="12">
        <f t="shared" ca="1" si="66"/>
        <v>0</v>
      </c>
      <c r="S140" s="12">
        <f t="shared" ca="1" si="66"/>
        <v>0</v>
      </c>
      <c r="T140" s="12">
        <f t="shared" ca="1" si="66"/>
        <v>0</v>
      </c>
      <c r="U140" s="12">
        <f t="shared" ca="1" si="66"/>
        <v>0</v>
      </c>
      <c r="V140" s="12">
        <f t="shared" ca="1" si="66"/>
        <v>0</v>
      </c>
      <c r="W140" s="12">
        <f t="shared" ca="1" si="66"/>
        <v>0</v>
      </c>
      <c r="X140" s="12">
        <f t="shared" ca="1" si="66"/>
        <v>0</v>
      </c>
      <c r="Y140" s="12">
        <f t="shared" ca="1" si="66"/>
        <v>0</v>
      </c>
      <c r="Z140" s="12">
        <f t="shared" ca="1" si="66"/>
        <v>0</v>
      </c>
      <c r="AA140" s="12">
        <f t="shared" ca="1" si="66"/>
        <v>0</v>
      </c>
      <c r="AB140" s="12">
        <f t="shared" ca="1" si="66"/>
        <v>0</v>
      </c>
      <c r="AC140" s="12">
        <f t="shared" ca="1" si="66"/>
        <v>0</v>
      </c>
      <c r="AD140" s="12">
        <f t="shared" ca="1" si="66"/>
        <v>0</v>
      </c>
      <c r="AE140" s="12">
        <f t="shared" ca="1" si="66"/>
        <v>0</v>
      </c>
      <c r="AF140" s="12">
        <f t="shared" ca="1" si="66"/>
        <v>0</v>
      </c>
      <c r="AG140" s="12">
        <f t="shared" ca="1" si="66"/>
        <v>0</v>
      </c>
    </row>
    <row r="141" spans="2:35" x14ac:dyDescent="0.45">
      <c r="B141" s="8" t="s">
        <v>94</v>
      </c>
      <c r="C141" s="12">
        <f t="shared" ref="C141:AG141" ca="1" si="67">-C31</f>
        <v>0</v>
      </c>
      <c r="D141" s="12">
        <f t="shared" ca="1" si="67"/>
        <v>0</v>
      </c>
      <c r="E141" s="12">
        <f t="shared" ca="1" si="67"/>
        <v>0</v>
      </c>
      <c r="F141" s="12">
        <f t="shared" ca="1" si="67"/>
        <v>0</v>
      </c>
      <c r="G141" s="12">
        <f t="shared" ca="1" si="67"/>
        <v>0</v>
      </c>
      <c r="H141" s="12">
        <f t="shared" ca="1" si="67"/>
        <v>0</v>
      </c>
      <c r="I141" s="12">
        <f t="shared" ca="1" si="67"/>
        <v>0</v>
      </c>
      <c r="J141" s="12">
        <f t="shared" ca="1" si="67"/>
        <v>0</v>
      </c>
      <c r="K141" s="12">
        <f t="shared" ca="1" si="67"/>
        <v>0</v>
      </c>
      <c r="L141" s="12">
        <f t="shared" ca="1" si="67"/>
        <v>0</v>
      </c>
      <c r="M141" s="12">
        <f t="shared" ca="1" si="67"/>
        <v>0</v>
      </c>
      <c r="N141" s="12">
        <f t="shared" ca="1" si="67"/>
        <v>0</v>
      </c>
      <c r="O141" s="12">
        <f t="shared" ca="1" si="67"/>
        <v>0</v>
      </c>
      <c r="P141" s="12">
        <f t="shared" ca="1" si="67"/>
        <v>0</v>
      </c>
      <c r="Q141" s="12">
        <f t="shared" ca="1" si="67"/>
        <v>0</v>
      </c>
      <c r="R141" s="12">
        <f t="shared" ca="1" si="67"/>
        <v>0</v>
      </c>
      <c r="S141" s="12">
        <f t="shared" ca="1" si="67"/>
        <v>0</v>
      </c>
      <c r="T141" s="12">
        <f t="shared" ca="1" si="67"/>
        <v>0</v>
      </c>
      <c r="U141" s="12">
        <f t="shared" ca="1" si="67"/>
        <v>0</v>
      </c>
      <c r="V141" s="12">
        <f t="shared" ca="1" si="67"/>
        <v>0</v>
      </c>
      <c r="W141" s="12">
        <f t="shared" ca="1" si="67"/>
        <v>0</v>
      </c>
      <c r="X141" s="12">
        <f t="shared" ca="1" si="67"/>
        <v>0</v>
      </c>
      <c r="Y141" s="12">
        <f t="shared" ca="1" si="67"/>
        <v>0</v>
      </c>
      <c r="Z141" s="12">
        <f t="shared" ca="1" si="67"/>
        <v>0</v>
      </c>
      <c r="AA141" s="12">
        <f t="shared" ca="1" si="67"/>
        <v>0</v>
      </c>
      <c r="AB141" s="12">
        <f t="shared" ca="1" si="67"/>
        <v>0</v>
      </c>
      <c r="AC141" s="12">
        <f t="shared" ca="1" si="67"/>
        <v>0</v>
      </c>
      <c r="AD141" s="12">
        <f t="shared" ca="1" si="67"/>
        <v>0</v>
      </c>
      <c r="AE141" s="12">
        <f t="shared" ca="1" si="67"/>
        <v>0</v>
      </c>
      <c r="AF141" s="12">
        <f t="shared" ca="1" si="67"/>
        <v>0</v>
      </c>
      <c r="AG141" s="12">
        <f t="shared" ca="1" si="67"/>
        <v>1600000</v>
      </c>
      <c r="AI141" s="4"/>
    </row>
    <row r="142" spans="2:35" x14ac:dyDescent="0.45">
      <c r="B142" s="8" t="s">
        <v>95</v>
      </c>
      <c r="C142" s="12">
        <f>-C127</f>
        <v>0</v>
      </c>
      <c r="D142" s="12">
        <f t="shared" ref="D142:AG142" ca="1" si="68">-D127</f>
        <v>0</v>
      </c>
      <c r="E142" s="12">
        <f t="shared" ca="1" si="68"/>
        <v>0</v>
      </c>
      <c r="F142" s="12">
        <f t="shared" ca="1" si="68"/>
        <v>0</v>
      </c>
      <c r="G142" s="12">
        <f t="shared" ca="1" si="68"/>
        <v>0</v>
      </c>
      <c r="H142" s="12">
        <f t="shared" ca="1" si="68"/>
        <v>0</v>
      </c>
      <c r="I142" s="12">
        <f t="shared" ca="1" si="68"/>
        <v>0</v>
      </c>
      <c r="J142" s="12">
        <f t="shared" ca="1" si="68"/>
        <v>0</v>
      </c>
      <c r="K142" s="12">
        <f t="shared" ca="1" si="68"/>
        <v>0</v>
      </c>
      <c r="L142" s="12">
        <f t="shared" ca="1" si="68"/>
        <v>0</v>
      </c>
      <c r="M142" s="12">
        <f t="shared" ca="1" si="68"/>
        <v>0</v>
      </c>
      <c r="N142" s="12">
        <f t="shared" ca="1" si="68"/>
        <v>0</v>
      </c>
      <c r="O142" s="12">
        <f t="shared" ca="1" si="68"/>
        <v>0</v>
      </c>
      <c r="P142" s="12">
        <f t="shared" ca="1" si="68"/>
        <v>0</v>
      </c>
      <c r="Q142" s="12">
        <f t="shared" ca="1" si="68"/>
        <v>0</v>
      </c>
      <c r="R142" s="12">
        <f t="shared" ca="1" si="68"/>
        <v>0</v>
      </c>
      <c r="S142" s="12">
        <f t="shared" ca="1" si="68"/>
        <v>0</v>
      </c>
      <c r="T142" s="12">
        <f t="shared" ca="1" si="68"/>
        <v>0</v>
      </c>
      <c r="U142" s="12">
        <f t="shared" ca="1" si="68"/>
        <v>0</v>
      </c>
      <c r="V142" s="12">
        <f t="shared" ca="1" si="68"/>
        <v>0</v>
      </c>
      <c r="W142" s="12">
        <f t="shared" ca="1" si="68"/>
        <v>0</v>
      </c>
      <c r="X142" s="12">
        <f t="shared" ca="1" si="68"/>
        <v>0</v>
      </c>
      <c r="Y142" s="12">
        <f t="shared" ca="1" si="68"/>
        <v>0</v>
      </c>
      <c r="Z142" s="12">
        <f t="shared" ca="1" si="68"/>
        <v>0</v>
      </c>
      <c r="AA142" s="12">
        <f t="shared" ca="1" si="68"/>
        <v>0</v>
      </c>
      <c r="AB142" s="12">
        <f t="shared" ca="1" si="68"/>
        <v>0</v>
      </c>
      <c r="AC142" s="12">
        <f t="shared" ca="1" si="68"/>
        <v>0</v>
      </c>
      <c r="AD142" s="12">
        <f t="shared" ca="1" si="68"/>
        <v>0</v>
      </c>
      <c r="AE142" s="12">
        <f t="shared" ca="1" si="68"/>
        <v>0</v>
      </c>
      <c r="AF142" s="12">
        <f t="shared" ca="1" si="68"/>
        <v>0</v>
      </c>
      <c r="AG142" s="12">
        <f t="shared" ca="1" si="68"/>
        <v>464589.52251523407</v>
      </c>
    </row>
    <row r="143" spans="2:35" x14ac:dyDescent="0.45">
      <c r="B143" s="20" t="s">
        <v>36</v>
      </c>
      <c r="C143" s="21">
        <f ca="1">SUM(C137:C142)</f>
        <v>-1300000</v>
      </c>
      <c r="D143" s="21">
        <f t="shared" ref="D143:AG143" ca="1" si="69">SUM(D137:D142)</f>
        <v>65521.474728956702</v>
      </c>
      <c r="E143" s="21">
        <f t="shared" ca="1" si="69"/>
        <v>53119.908827279593</v>
      </c>
      <c r="F143" s="21">
        <f t="shared" ca="1" si="69"/>
        <v>91138.401221206324</v>
      </c>
      <c r="G143" s="21">
        <f t="shared" ca="1" si="69"/>
        <v>72750.75505656832</v>
      </c>
      <c r="H143" s="21">
        <f t="shared" ca="1" si="69"/>
        <v>-30000</v>
      </c>
      <c r="I143" s="21">
        <f t="shared" ca="1" si="69"/>
        <v>-30000</v>
      </c>
      <c r="J143" s="21">
        <f t="shared" ca="1" si="69"/>
        <v>-30000</v>
      </c>
      <c r="K143" s="21">
        <f t="shared" ca="1" si="69"/>
        <v>-30000</v>
      </c>
      <c r="L143" s="21">
        <f t="shared" ca="1" si="69"/>
        <v>-30000</v>
      </c>
      <c r="M143" s="21">
        <f t="shared" ca="1" si="69"/>
        <v>-30000</v>
      </c>
      <c r="N143" s="21">
        <f t="shared" ca="1" si="69"/>
        <v>191177.67471463964</v>
      </c>
      <c r="O143" s="21">
        <f t="shared" ca="1" si="69"/>
        <v>223897.07618970124</v>
      </c>
      <c r="P143" s="21">
        <f t="shared" ca="1" si="69"/>
        <v>209841.41797277544</v>
      </c>
      <c r="Q143" s="21">
        <f t="shared" ca="1" si="69"/>
        <v>237215.93727278733</v>
      </c>
      <c r="R143" s="21">
        <f t="shared" ca="1" si="69"/>
        <v>268652.21507220925</v>
      </c>
      <c r="S143" s="21">
        <f t="shared" ca="1" si="69"/>
        <v>220249.28553628991</v>
      </c>
      <c r="T143" s="21">
        <f t="shared" ca="1" si="69"/>
        <v>0</v>
      </c>
      <c r="U143" s="21">
        <f t="shared" ca="1" si="69"/>
        <v>0</v>
      </c>
      <c r="V143" s="21">
        <f t="shared" ca="1" si="69"/>
        <v>0</v>
      </c>
      <c r="W143" s="21">
        <f t="shared" ca="1" si="69"/>
        <v>0</v>
      </c>
      <c r="X143" s="21">
        <f t="shared" ca="1" si="69"/>
        <v>0</v>
      </c>
      <c r="Y143" s="21">
        <f t="shared" ca="1" si="69"/>
        <v>0</v>
      </c>
      <c r="Z143" s="21">
        <f t="shared" ca="1" si="69"/>
        <v>0</v>
      </c>
      <c r="AA143" s="21">
        <f t="shared" ca="1" si="69"/>
        <v>0</v>
      </c>
      <c r="AB143" s="21">
        <f t="shared" ca="1" si="69"/>
        <v>0</v>
      </c>
      <c r="AC143" s="21">
        <f t="shared" ca="1" si="69"/>
        <v>235618.25094038603</v>
      </c>
      <c r="AD143" s="21">
        <f t="shared" ca="1" si="69"/>
        <v>198534.6807109029</v>
      </c>
      <c r="AE143" s="21">
        <f t="shared" ca="1" si="69"/>
        <v>225180.1717327403</v>
      </c>
      <c r="AF143" s="21">
        <f t="shared" ca="1" si="69"/>
        <v>259103.14881840878</v>
      </c>
      <c r="AG143" s="21">
        <f t="shared" ca="1" si="69"/>
        <v>2258323.4070923375</v>
      </c>
    </row>
    <row r="144" spans="2:35" x14ac:dyDescent="0.4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</row>
    <row r="145" spans="2:33" x14ac:dyDescent="0.45">
      <c r="B145" s="8" t="s">
        <v>37</v>
      </c>
      <c r="C145" s="14">
        <f ca="1">IRR(C143:AG143)</f>
        <v>6.0795123632330528E-2</v>
      </c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</row>
    <row r="146" spans="2:33" x14ac:dyDescent="0.45">
      <c r="B146" s="8" t="s">
        <v>38</v>
      </c>
      <c r="C146" s="17">
        <f>SUM(L10,K12)</f>
        <v>6.6000000000000003E-2</v>
      </c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</row>
    <row r="147" spans="2:33" x14ac:dyDescent="0.45">
      <c r="B147" s="8" t="s">
        <v>88</v>
      </c>
      <c r="C147" s="14">
        <f ca="1">C145-C146</f>
        <v>-5.2048763676694754E-3</v>
      </c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981CD-8E8E-4DEB-911F-AE514F9A3B82}">
  <sheetPr codeName="Sheet6">
    <tabColor theme="5"/>
  </sheetPr>
  <dimension ref="B2:P1012"/>
  <sheetViews>
    <sheetView tabSelected="1" zoomScale="130" zoomScaleNormal="130" workbookViewId="0">
      <selection activeCell="B12" sqref="B12"/>
    </sheetView>
  </sheetViews>
  <sheetFormatPr defaultRowHeight="14.25" x14ac:dyDescent="0.45"/>
  <cols>
    <col min="2" max="2" width="18.86328125" customWidth="1"/>
    <col min="3" max="4" width="11.73046875" customWidth="1"/>
    <col min="8" max="8" width="10.59765625" bestFit="1" customWidth="1"/>
    <col min="10" max="17" width="12.73046875" customWidth="1"/>
  </cols>
  <sheetData>
    <row r="2" spans="2:16" x14ac:dyDescent="0.45">
      <c r="B2" t="s">
        <v>107</v>
      </c>
      <c r="M2" s="63"/>
      <c r="N2" s="63"/>
      <c r="O2" s="63"/>
      <c r="P2" s="63"/>
    </row>
    <row r="3" spans="2:16" x14ac:dyDescent="0.45">
      <c r="B3" s="53">
        <v>1000</v>
      </c>
      <c r="C3" s="53"/>
      <c r="M3" s="63"/>
      <c r="N3" s="63"/>
      <c r="O3" s="63"/>
      <c r="P3" s="63"/>
    </row>
    <row r="4" spans="2:16" x14ac:dyDescent="0.45">
      <c r="B4" s="53"/>
      <c r="C4" s="53"/>
      <c r="M4" s="63"/>
      <c r="N4" s="63"/>
      <c r="O4" s="63"/>
      <c r="P4" s="63"/>
    </row>
    <row r="5" spans="2:16" s="83" customFormat="1" x14ac:dyDescent="0.45">
      <c r="B5" s="83" t="s">
        <v>108</v>
      </c>
      <c r="C5" s="84">
        <f>MAX(C13:C112)</f>
        <v>621008.3839500621</v>
      </c>
      <c r="D5" s="84">
        <f>MAX(D13:D112)</f>
        <v>3623648.8846925655</v>
      </c>
      <c r="E5" s="85"/>
      <c r="F5" s="85"/>
      <c r="G5" s="85"/>
      <c r="M5" s="85"/>
      <c r="N5" s="85"/>
      <c r="O5" s="85"/>
      <c r="P5" s="85"/>
    </row>
    <row r="6" spans="2:16" s="83" customFormat="1" x14ac:dyDescent="0.45">
      <c r="B6" s="83" t="s">
        <v>109</v>
      </c>
      <c r="C6" s="84">
        <f>MIN(C13:C112)</f>
        <v>0</v>
      </c>
      <c r="D6" s="84">
        <f>MIN(D13:D112)</f>
        <v>-621008.3839500621</v>
      </c>
      <c r="E6" s="85"/>
      <c r="F6" s="85"/>
      <c r="G6" s="85"/>
      <c r="M6" s="85"/>
      <c r="N6" s="85"/>
      <c r="O6" s="85"/>
      <c r="P6" s="85"/>
    </row>
    <row r="7" spans="2:16" s="83" customFormat="1" x14ac:dyDescent="0.45">
      <c r="B7" s="83" t="s">
        <v>111</v>
      </c>
      <c r="C7" s="84">
        <f>AVERAGE(C13:C112)</f>
        <v>66341.4133282455</v>
      </c>
      <c r="D7" s="84">
        <f>AVERAGE(D13:D112)</f>
        <v>574270.90314381057</v>
      </c>
      <c r="F7" s="85"/>
      <c r="G7" s="85"/>
      <c r="I7" s="84"/>
      <c r="J7" s="85"/>
      <c r="M7" s="85"/>
      <c r="N7" s="85"/>
      <c r="O7" s="85"/>
      <c r="P7" s="85"/>
    </row>
    <row r="8" spans="2:16" s="83" customFormat="1" x14ac:dyDescent="0.45">
      <c r="B8" s="83" t="s">
        <v>110</v>
      </c>
      <c r="C8" s="84">
        <f>MEDIAN(C13:C112)</f>
        <v>0</v>
      </c>
      <c r="D8" s="84">
        <f>MEDIAN(D13:D112)</f>
        <v>341864.3030906315</v>
      </c>
      <c r="E8" s="85"/>
      <c r="F8" s="85"/>
      <c r="G8" s="85"/>
      <c r="M8" s="86"/>
      <c r="N8" s="86"/>
      <c r="O8" s="86"/>
      <c r="P8" s="86"/>
    </row>
    <row r="9" spans="2:16" s="83" customFormat="1" x14ac:dyDescent="0.45">
      <c r="B9" s="83" t="s">
        <v>112</v>
      </c>
      <c r="C9" s="84">
        <f>COUNTIFS(C13:C112,"&lt;"&amp;0)</f>
        <v>0</v>
      </c>
      <c r="D9" s="84">
        <f>COUNTIFS(D13:D112,"&lt;"&amp;0)</f>
        <v>29</v>
      </c>
      <c r="E9" s="86"/>
      <c r="F9" s="86"/>
      <c r="G9" s="86"/>
    </row>
    <row r="11" spans="2:16" s="2" customFormat="1" x14ac:dyDescent="0.45">
      <c r="B11" s="2" t="s">
        <v>123</v>
      </c>
      <c r="C11" s="2" t="s">
        <v>93</v>
      </c>
      <c r="D11" s="2" t="s">
        <v>122</v>
      </c>
    </row>
    <row r="12" spans="2:16" x14ac:dyDescent="0.45">
      <c r="B12" t="s">
        <v>121</v>
      </c>
      <c r="C12" s="82">
        <f ca="1">Core!AG91</f>
        <v>177296.88873813953</v>
      </c>
      <c r="D12" s="82">
        <f ca="1">Core!Y9</f>
        <v>-177296.88873813953</v>
      </c>
    </row>
    <row r="13" spans="2:16" x14ac:dyDescent="0.45">
      <c r="C13" s="63">
        <v>0</v>
      </c>
      <c r="D13" s="63">
        <v>2682724.636388435</v>
      </c>
    </row>
    <row r="14" spans="2:16" x14ac:dyDescent="0.45">
      <c r="C14" s="63">
        <v>0</v>
      </c>
      <c r="D14" s="63">
        <v>2200092.2389163109</v>
      </c>
    </row>
    <row r="15" spans="2:16" x14ac:dyDescent="0.45">
      <c r="C15" s="63">
        <v>0</v>
      </c>
      <c r="D15" s="63">
        <v>346480.61426332477</v>
      </c>
    </row>
    <row r="16" spans="2:16" x14ac:dyDescent="0.45">
      <c r="C16" s="63">
        <v>110360.04879070772</v>
      </c>
      <c r="D16" s="63">
        <v>-110360.04879070772</v>
      </c>
    </row>
    <row r="17" spans="3:4" x14ac:dyDescent="0.45">
      <c r="C17" s="63">
        <v>0</v>
      </c>
      <c r="D17" s="63">
        <v>613098.86663350463</v>
      </c>
    </row>
    <row r="18" spans="3:4" x14ac:dyDescent="0.45">
      <c r="C18" s="63">
        <v>0</v>
      </c>
      <c r="D18" s="63">
        <v>2779557.3970414163</v>
      </c>
    </row>
    <row r="19" spans="3:4" x14ac:dyDescent="0.45">
      <c r="C19" s="63">
        <v>478164.98865885451</v>
      </c>
      <c r="D19" s="63">
        <v>-478164.98865885451</v>
      </c>
    </row>
    <row r="20" spans="3:4" x14ac:dyDescent="0.45">
      <c r="C20" s="63">
        <v>0</v>
      </c>
      <c r="D20" s="63">
        <v>20384.539234087104</v>
      </c>
    </row>
    <row r="21" spans="3:4" x14ac:dyDescent="0.45">
      <c r="C21" s="63">
        <v>189616.60939325904</v>
      </c>
      <c r="D21" s="63">
        <v>-189616.60939325904</v>
      </c>
    </row>
    <row r="22" spans="3:4" x14ac:dyDescent="0.45">
      <c r="C22" s="63">
        <v>0</v>
      </c>
      <c r="D22" s="63">
        <v>465900.58055924415</v>
      </c>
    </row>
    <row r="23" spans="3:4" x14ac:dyDescent="0.45">
      <c r="C23" s="63">
        <v>0</v>
      </c>
      <c r="D23" s="63">
        <v>449259.26557715959</v>
      </c>
    </row>
    <row r="24" spans="3:4" x14ac:dyDescent="0.45">
      <c r="C24" s="63">
        <v>0</v>
      </c>
      <c r="D24" s="63">
        <v>481383.69149038079</v>
      </c>
    </row>
    <row r="25" spans="3:4" x14ac:dyDescent="0.45">
      <c r="C25" s="63">
        <v>45435.968540926813</v>
      </c>
      <c r="D25" s="63">
        <v>-45435.968540926813</v>
      </c>
    </row>
    <row r="26" spans="3:4" x14ac:dyDescent="0.45">
      <c r="C26" s="63">
        <v>0</v>
      </c>
      <c r="D26" s="63">
        <v>1727077.9204690144</v>
      </c>
    </row>
    <row r="27" spans="3:4" x14ac:dyDescent="0.45">
      <c r="C27" s="63">
        <v>479214.84839969268</v>
      </c>
      <c r="D27" s="63">
        <v>-479214.84839969268</v>
      </c>
    </row>
    <row r="28" spans="3:4" x14ac:dyDescent="0.45">
      <c r="C28" s="63">
        <v>0</v>
      </c>
      <c r="D28" s="63">
        <v>922169.40000410913</v>
      </c>
    </row>
    <row r="29" spans="3:4" x14ac:dyDescent="0.45">
      <c r="C29" s="63">
        <v>0</v>
      </c>
      <c r="D29" s="63">
        <v>441174.00546340272</v>
      </c>
    </row>
    <row r="30" spans="3:4" x14ac:dyDescent="0.45">
      <c r="C30" s="63">
        <v>330385.49319671583</v>
      </c>
      <c r="D30" s="63">
        <v>-330385.49319671583</v>
      </c>
    </row>
    <row r="31" spans="3:4" x14ac:dyDescent="0.45">
      <c r="C31" s="63">
        <v>0</v>
      </c>
      <c r="D31" s="63">
        <v>2285208.3938137018</v>
      </c>
    </row>
    <row r="32" spans="3:4" x14ac:dyDescent="0.45">
      <c r="C32" s="63">
        <v>0</v>
      </c>
      <c r="D32" s="63">
        <v>255236.56334543671</v>
      </c>
    </row>
    <row r="33" spans="3:4" x14ac:dyDescent="0.45">
      <c r="C33" s="63">
        <v>0</v>
      </c>
      <c r="D33" s="63">
        <v>856091.43663866073</v>
      </c>
    </row>
    <row r="34" spans="3:4" x14ac:dyDescent="0.45">
      <c r="C34" s="63">
        <v>621008.3839500621</v>
      </c>
      <c r="D34" s="63">
        <v>-621008.3839500621</v>
      </c>
    </row>
    <row r="35" spans="3:4" x14ac:dyDescent="0.45">
      <c r="C35" s="63">
        <v>0</v>
      </c>
      <c r="D35" s="63">
        <v>1890382.145256293</v>
      </c>
    </row>
    <row r="36" spans="3:4" x14ac:dyDescent="0.45">
      <c r="C36" s="63">
        <v>0</v>
      </c>
      <c r="D36" s="63">
        <v>1665548.5128070847</v>
      </c>
    </row>
    <row r="37" spans="3:4" x14ac:dyDescent="0.45">
      <c r="C37" s="63">
        <v>176445.92840450106</v>
      </c>
      <c r="D37" s="63">
        <v>-176445.92840450106</v>
      </c>
    </row>
    <row r="38" spans="3:4" x14ac:dyDescent="0.45">
      <c r="C38" s="63">
        <v>0</v>
      </c>
      <c r="D38" s="63">
        <v>111864.38709761912</v>
      </c>
    </row>
    <row r="39" spans="3:4" x14ac:dyDescent="0.45">
      <c r="C39" s="63">
        <v>0</v>
      </c>
      <c r="D39" s="63">
        <v>306187.73711066367</v>
      </c>
    </row>
    <row r="40" spans="3:4" x14ac:dyDescent="0.45">
      <c r="C40" s="63">
        <v>0</v>
      </c>
      <c r="D40" s="63">
        <v>765252.54477007268</v>
      </c>
    </row>
    <row r="41" spans="3:4" x14ac:dyDescent="0.45">
      <c r="C41" s="63">
        <v>0</v>
      </c>
      <c r="D41" s="63">
        <v>795880.57621759782</v>
      </c>
    </row>
    <row r="42" spans="3:4" x14ac:dyDescent="0.45">
      <c r="C42" s="63">
        <v>0</v>
      </c>
      <c r="D42" s="63">
        <v>109069.97482947481</v>
      </c>
    </row>
    <row r="43" spans="3:4" x14ac:dyDescent="0.45">
      <c r="C43" s="63">
        <v>0</v>
      </c>
      <c r="D43" s="63">
        <v>70980.984175984981</v>
      </c>
    </row>
    <row r="44" spans="3:4" x14ac:dyDescent="0.45">
      <c r="C44" s="63">
        <v>0</v>
      </c>
      <c r="D44" s="63">
        <v>857678.63988974877</v>
      </c>
    </row>
    <row r="45" spans="3:4" x14ac:dyDescent="0.45">
      <c r="C45" s="63">
        <v>0</v>
      </c>
      <c r="D45" s="63">
        <v>1195099.2630372394</v>
      </c>
    </row>
    <row r="46" spans="3:4" x14ac:dyDescent="0.45">
      <c r="C46" s="63">
        <v>64533.790661467239</v>
      </c>
      <c r="D46" s="63">
        <v>-64533.790661467239</v>
      </c>
    </row>
    <row r="47" spans="3:4" x14ac:dyDescent="0.45">
      <c r="C47" s="63">
        <v>0</v>
      </c>
      <c r="D47" s="63">
        <v>260703.98094701674</v>
      </c>
    </row>
    <row r="48" spans="3:4" x14ac:dyDescent="0.45">
      <c r="C48" s="63">
        <v>0</v>
      </c>
      <c r="D48" s="63">
        <v>505635.22708543949</v>
      </c>
    </row>
    <row r="49" spans="3:4" x14ac:dyDescent="0.45">
      <c r="C49" s="63">
        <v>178401.92445128993</v>
      </c>
      <c r="D49" s="63">
        <v>-178401.92445128993</v>
      </c>
    </row>
    <row r="50" spans="3:4" x14ac:dyDescent="0.45">
      <c r="C50" s="63">
        <v>0</v>
      </c>
      <c r="D50" s="63">
        <v>176462.14024045807</v>
      </c>
    </row>
    <row r="51" spans="3:4" x14ac:dyDescent="0.45">
      <c r="C51" s="63">
        <v>59782.35998980538</v>
      </c>
      <c r="D51" s="63">
        <v>-59782.35998980538</v>
      </c>
    </row>
    <row r="52" spans="3:4" x14ac:dyDescent="0.45">
      <c r="C52" s="63">
        <v>0</v>
      </c>
      <c r="D52" s="63">
        <v>627063.08618856058</v>
      </c>
    </row>
    <row r="53" spans="3:4" x14ac:dyDescent="0.45">
      <c r="C53" s="63">
        <v>0</v>
      </c>
      <c r="D53" s="63">
        <v>457908.68932741741</v>
      </c>
    </row>
    <row r="54" spans="3:4" x14ac:dyDescent="0.45">
      <c r="C54" s="63">
        <v>0</v>
      </c>
      <c r="D54" s="63">
        <v>937105.57386923954</v>
      </c>
    </row>
    <row r="55" spans="3:4" x14ac:dyDescent="0.45">
      <c r="C55" s="63">
        <v>0</v>
      </c>
      <c r="D55" s="63">
        <v>1517525.8054304835</v>
      </c>
    </row>
    <row r="56" spans="3:4" x14ac:dyDescent="0.45">
      <c r="C56" s="63">
        <v>0</v>
      </c>
      <c r="D56" s="63">
        <v>3623648.8846925655</v>
      </c>
    </row>
    <row r="57" spans="3:4" x14ac:dyDescent="0.45">
      <c r="C57" s="63">
        <v>539567.58286724309</v>
      </c>
      <c r="D57" s="63">
        <v>-539567.58286724309</v>
      </c>
    </row>
    <row r="58" spans="3:4" x14ac:dyDescent="0.45">
      <c r="C58" s="63">
        <v>0</v>
      </c>
      <c r="D58" s="63">
        <v>2243620.2390611488</v>
      </c>
    </row>
    <row r="59" spans="3:4" x14ac:dyDescent="0.45">
      <c r="C59" s="63">
        <v>0</v>
      </c>
      <c r="D59" s="63">
        <v>213020.28495951858</v>
      </c>
    </row>
    <row r="60" spans="3:4" x14ac:dyDescent="0.45">
      <c r="C60" s="63">
        <v>0</v>
      </c>
      <c r="D60" s="63">
        <v>834806.23890804499</v>
      </c>
    </row>
    <row r="61" spans="3:4" x14ac:dyDescent="0.45">
      <c r="C61" s="63">
        <v>380525.00104959728</v>
      </c>
      <c r="D61" s="63">
        <v>-380525.00104959728</v>
      </c>
    </row>
    <row r="62" spans="3:4" x14ac:dyDescent="0.45">
      <c r="C62" s="63">
        <v>286146.4100414908</v>
      </c>
      <c r="D62" s="63">
        <v>-286146.4100414908</v>
      </c>
    </row>
    <row r="63" spans="3:4" x14ac:dyDescent="0.45">
      <c r="C63" s="63">
        <v>389010.99527538987</v>
      </c>
      <c r="D63" s="63">
        <v>-389010.99527538987</v>
      </c>
    </row>
    <row r="64" spans="3:4" x14ac:dyDescent="0.45">
      <c r="C64" s="63">
        <v>0</v>
      </c>
      <c r="D64" s="63">
        <v>201186.46756035322</v>
      </c>
    </row>
    <row r="65" spans="3:4" x14ac:dyDescent="0.45">
      <c r="C65" s="63">
        <v>0</v>
      </c>
      <c r="D65" s="63">
        <v>800111.30763264233</v>
      </c>
    </row>
    <row r="66" spans="3:4" x14ac:dyDescent="0.45">
      <c r="C66" s="63">
        <v>0</v>
      </c>
      <c r="D66" s="63">
        <v>1016922.9651953005</v>
      </c>
    </row>
    <row r="67" spans="3:4" x14ac:dyDescent="0.45">
      <c r="C67" s="63">
        <v>0</v>
      </c>
      <c r="D67" s="63">
        <v>1116595.5908211991</v>
      </c>
    </row>
    <row r="68" spans="3:4" x14ac:dyDescent="0.45">
      <c r="C68" s="63">
        <v>0</v>
      </c>
      <c r="D68" s="63">
        <v>2600686.490720327</v>
      </c>
    </row>
    <row r="69" spans="3:4" x14ac:dyDescent="0.45">
      <c r="C69" s="63">
        <v>0</v>
      </c>
      <c r="D69" s="63">
        <v>68783.060510374838</v>
      </c>
    </row>
    <row r="70" spans="3:4" x14ac:dyDescent="0.45">
      <c r="C70" s="63">
        <v>0</v>
      </c>
      <c r="D70" s="63">
        <v>304462.7700686669</v>
      </c>
    </row>
    <row r="71" spans="3:4" x14ac:dyDescent="0.45">
      <c r="C71" s="63">
        <v>18587.136144776596</v>
      </c>
      <c r="D71" s="63">
        <v>-18587.136144776596</v>
      </c>
    </row>
    <row r="72" spans="3:4" x14ac:dyDescent="0.45">
      <c r="C72" s="63">
        <v>0</v>
      </c>
      <c r="D72" s="63">
        <v>897779.1566357885</v>
      </c>
    </row>
    <row r="73" spans="3:4" x14ac:dyDescent="0.45">
      <c r="C73" s="63">
        <v>0</v>
      </c>
      <c r="D73" s="63">
        <v>332996.14259377285</v>
      </c>
    </row>
    <row r="74" spans="3:4" x14ac:dyDescent="0.45">
      <c r="C74" s="63">
        <v>29968.255608749809</v>
      </c>
      <c r="D74" s="63">
        <v>-29968.255608749809</v>
      </c>
    </row>
    <row r="75" spans="3:4" x14ac:dyDescent="0.45">
      <c r="C75" s="63">
        <v>0</v>
      </c>
      <c r="D75" s="63">
        <v>871821.61378096533</v>
      </c>
    </row>
    <row r="76" spans="3:4" x14ac:dyDescent="0.45">
      <c r="C76" s="63">
        <v>38889.58126942534</v>
      </c>
      <c r="D76" s="63">
        <v>-38889.58126942534</v>
      </c>
    </row>
    <row r="77" spans="3:4" x14ac:dyDescent="0.45">
      <c r="C77" s="63">
        <v>73254.366208443535</v>
      </c>
      <c r="D77" s="63">
        <v>-73254.366208443535</v>
      </c>
    </row>
    <row r="78" spans="3:4" x14ac:dyDescent="0.45">
      <c r="C78" s="63">
        <v>0</v>
      </c>
      <c r="D78" s="63">
        <v>496605.25020840368</v>
      </c>
    </row>
    <row r="79" spans="3:4" x14ac:dyDescent="0.45">
      <c r="C79" s="63">
        <v>0</v>
      </c>
      <c r="D79" s="63">
        <v>2682766.292576056</v>
      </c>
    </row>
    <row r="80" spans="3:4" x14ac:dyDescent="0.45">
      <c r="C80" s="63">
        <v>0</v>
      </c>
      <c r="D80" s="63">
        <v>1110306.4645651127</v>
      </c>
    </row>
    <row r="81" spans="3:4" x14ac:dyDescent="0.45">
      <c r="C81" s="63">
        <v>0</v>
      </c>
      <c r="D81" s="63">
        <v>972807.31962400069</v>
      </c>
    </row>
    <row r="82" spans="3:4" x14ac:dyDescent="0.45">
      <c r="C82" s="63">
        <v>0</v>
      </c>
      <c r="D82" s="63">
        <v>474442.29944398836</v>
      </c>
    </row>
    <row r="83" spans="3:4" x14ac:dyDescent="0.45">
      <c r="C83" s="63">
        <v>0</v>
      </c>
      <c r="D83" s="63">
        <v>169766.36607848993</v>
      </c>
    </row>
    <row r="84" spans="3:4" x14ac:dyDescent="0.45">
      <c r="C84" s="63">
        <v>0</v>
      </c>
      <c r="D84" s="63">
        <v>2144362.13013758</v>
      </c>
    </row>
    <row r="85" spans="3:4" x14ac:dyDescent="0.45">
      <c r="C85" s="63">
        <v>0</v>
      </c>
      <c r="D85" s="63">
        <v>337247.99191793823</v>
      </c>
    </row>
    <row r="86" spans="3:4" x14ac:dyDescent="0.45">
      <c r="C86" s="63">
        <v>283831.00246061187</v>
      </c>
      <c r="D86" s="63">
        <v>-283831.00246061187</v>
      </c>
    </row>
    <row r="87" spans="3:4" x14ac:dyDescent="0.45">
      <c r="C87" s="63">
        <v>0</v>
      </c>
      <c r="D87" s="63">
        <v>190636.0494821982</v>
      </c>
    </row>
    <row r="88" spans="3:4" x14ac:dyDescent="0.45">
      <c r="C88" s="63">
        <v>0</v>
      </c>
      <c r="D88" s="63">
        <v>307033.83453730377</v>
      </c>
    </row>
    <row r="89" spans="3:4" x14ac:dyDescent="0.45">
      <c r="C89" s="63">
        <v>0</v>
      </c>
      <c r="D89" s="63">
        <v>352577.10268200142</v>
      </c>
    </row>
    <row r="90" spans="3:4" x14ac:dyDescent="0.45">
      <c r="C90" s="63">
        <v>0</v>
      </c>
      <c r="D90" s="63">
        <v>47982.773408049135</v>
      </c>
    </row>
    <row r="91" spans="3:4" x14ac:dyDescent="0.45">
      <c r="C91" s="63">
        <v>0</v>
      </c>
      <c r="D91" s="63">
        <v>2945873.8701256746</v>
      </c>
    </row>
    <row r="92" spans="3:4" x14ac:dyDescent="0.45">
      <c r="C92" s="63">
        <v>0</v>
      </c>
      <c r="D92" s="63">
        <v>64257.399464156711</v>
      </c>
    </row>
    <row r="93" spans="3:4" x14ac:dyDescent="0.45">
      <c r="C93" s="63">
        <v>0</v>
      </c>
      <c r="D93" s="63">
        <v>26607.804536846234</v>
      </c>
    </row>
    <row r="94" spans="3:4" x14ac:dyDescent="0.45">
      <c r="C94" s="63">
        <v>510205.00904422486</v>
      </c>
      <c r="D94" s="63">
        <v>-510205.00904422486</v>
      </c>
    </row>
    <row r="95" spans="3:4" x14ac:dyDescent="0.45">
      <c r="C95" s="63">
        <v>1640.1367360351142</v>
      </c>
      <c r="D95" s="63">
        <v>-1640.1367360351142</v>
      </c>
    </row>
    <row r="96" spans="3:4" x14ac:dyDescent="0.45">
      <c r="C96" s="63">
        <v>178758.53712088719</v>
      </c>
      <c r="D96" s="63">
        <v>-178758.53712088719</v>
      </c>
    </row>
    <row r="97" spans="3:4" x14ac:dyDescent="0.45">
      <c r="C97" s="63">
        <v>0</v>
      </c>
      <c r="D97" s="63">
        <v>372227.81442040601</v>
      </c>
    </row>
    <row r="98" spans="3:4" x14ac:dyDescent="0.45">
      <c r="C98" s="63">
        <v>0</v>
      </c>
      <c r="D98" s="63">
        <v>1737497.9590025684</v>
      </c>
    </row>
    <row r="99" spans="3:4" x14ac:dyDescent="0.45">
      <c r="C99" s="63">
        <v>0</v>
      </c>
      <c r="D99" s="63">
        <v>653345.48312785197</v>
      </c>
    </row>
    <row r="100" spans="3:4" x14ac:dyDescent="0.45">
      <c r="C100" s="63">
        <v>0</v>
      </c>
      <c r="D100" s="63">
        <v>529512.59624740132</v>
      </c>
    </row>
    <row r="101" spans="3:4" x14ac:dyDescent="0.45">
      <c r="C101" s="63">
        <v>0</v>
      </c>
      <c r="D101" s="63">
        <v>950966.02470401092</v>
      </c>
    </row>
    <row r="102" spans="3:4" x14ac:dyDescent="0.45">
      <c r="C102" s="63">
        <v>22312.742556641693</v>
      </c>
      <c r="D102" s="63">
        <v>-22312.742556641693</v>
      </c>
    </row>
    <row r="103" spans="3:4" x14ac:dyDescent="0.45">
      <c r="C103" s="63">
        <v>31456.883044485119</v>
      </c>
      <c r="D103" s="63">
        <v>-31456.883044485119</v>
      </c>
    </row>
    <row r="104" spans="3:4" x14ac:dyDescent="0.45">
      <c r="C104" s="63">
        <v>0</v>
      </c>
      <c r="D104" s="63">
        <v>791219.88443519501</v>
      </c>
    </row>
    <row r="105" spans="3:4" x14ac:dyDescent="0.45">
      <c r="C105" s="63">
        <v>494223.25813267857</v>
      </c>
      <c r="D105" s="63">
        <v>-494223.25813267857</v>
      </c>
    </row>
    <row r="106" spans="3:4" x14ac:dyDescent="0.45">
      <c r="C106" s="63">
        <v>311500.47484685446</v>
      </c>
      <c r="D106" s="63">
        <v>-311500.47484685446</v>
      </c>
    </row>
    <row r="107" spans="3:4" x14ac:dyDescent="0.45">
      <c r="C107" s="63">
        <v>0</v>
      </c>
      <c r="D107" s="63">
        <v>350931.5733044818</v>
      </c>
    </row>
    <row r="108" spans="3:4" x14ac:dyDescent="0.45">
      <c r="C108" s="63">
        <v>0</v>
      </c>
      <c r="D108" s="63">
        <v>1034275.1403021789</v>
      </c>
    </row>
    <row r="109" spans="3:4" x14ac:dyDescent="0.45">
      <c r="C109" s="63">
        <v>97676.986306374427</v>
      </c>
      <c r="D109" s="63">
        <v>-97676.986306374427</v>
      </c>
    </row>
    <row r="110" spans="3:4" x14ac:dyDescent="0.45">
      <c r="C110" s="63">
        <v>0</v>
      </c>
      <c r="D110" s="63">
        <v>1306106.4835880217</v>
      </c>
    </row>
    <row r="111" spans="3:4" x14ac:dyDescent="0.45">
      <c r="C111" s="63">
        <v>0</v>
      </c>
      <c r="D111" s="63">
        <v>109245.7080264528</v>
      </c>
    </row>
    <row r="112" spans="3:4" x14ac:dyDescent="0.45">
      <c r="C112" s="63">
        <v>213236.62967335817</v>
      </c>
      <c r="D112" s="63">
        <v>-213236.62967335817</v>
      </c>
    </row>
    <row r="113" spans="3:4" x14ac:dyDescent="0.45">
      <c r="C113">
        <v>99529.317913789768</v>
      </c>
      <c r="D113">
        <v>-99529.317913789768</v>
      </c>
    </row>
    <row r="114" spans="3:4" x14ac:dyDescent="0.45">
      <c r="C114">
        <v>0</v>
      </c>
      <c r="D114">
        <v>35157.30786280008</v>
      </c>
    </row>
    <row r="115" spans="3:4" x14ac:dyDescent="0.45">
      <c r="C115">
        <v>255237.1155619591</v>
      </c>
      <c r="D115">
        <v>-255237.1155619591</v>
      </c>
    </row>
    <row r="116" spans="3:4" x14ac:dyDescent="0.45">
      <c r="C116">
        <v>0</v>
      </c>
      <c r="D116">
        <v>180638.30505583831</v>
      </c>
    </row>
    <row r="117" spans="3:4" x14ac:dyDescent="0.45">
      <c r="C117">
        <v>2460.2999343763804</v>
      </c>
      <c r="D117">
        <v>-2460.2999343763804</v>
      </c>
    </row>
    <row r="118" spans="3:4" x14ac:dyDescent="0.45">
      <c r="C118">
        <v>0</v>
      </c>
      <c r="D118">
        <v>735492.78519460023</v>
      </c>
    </row>
    <row r="119" spans="3:4" x14ac:dyDescent="0.45">
      <c r="C119">
        <v>20158.092624226352</v>
      </c>
      <c r="D119">
        <v>-20158.092624226352</v>
      </c>
    </row>
    <row r="120" spans="3:4" x14ac:dyDescent="0.45">
      <c r="C120">
        <v>0</v>
      </c>
      <c r="D120">
        <v>731985.49431528011</v>
      </c>
    </row>
    <row r="121" spans="3:4" x14ac:dyDescent="0.45">
      <c r="C121">
        <v>0</v>
      </c>
      <c r="D121">
        <v>3314133.3277741792</v>
      </c>
    </row>
    <row r="122" spans="3:4" x14ac:dyDescent="0.45">
      <c r="C122">
        <v>483571.95481471578</v>
      </c>
      <c r="D122">
        <v>-483571.95481471578</v>
      </c>
    </row>
    <row r="123" spans="3:4" x14ac:dyDescent="0.45">
      <c r="C123">
        <v>0</v>
      </c>
      <c r="D123">
        <v>1458529.678354973</v>
      </c>
    </row>
    <row r="124" spans="3:4" x14ac:dyDescent="0.45">
      <c r="C124">
        <v>445309.483616899</v>
      </c>
      <c r="D124">
        <v>-445309.483616899</v>
      </c>
    </row>
    <row r="125" spans="3:4" x14ac:dyDescent="0.45">
      <c r="C125">
        <v>13639.35669172497</v>
      </c>
      <c r="D125">
        <v>-13639.35669172497</v>
      </c>
    </row>
    <row r="126" spans="3:4" x14ac:dyDescent="0.45">
      <c r="C126">
        <v>259666.29929554358</v>
      </c>
      <c r="D126">
        <v>-259666.29929554358</v>
      </c>
    </row>
    <row r="127" spans="3:4" x14ac:dyDescent="0.45">
      <c r="C127">
        <v>0</v>
      </c>
      <c r="D127">
        <v>646939.3200086616</v>
      </c>
    </row>
    <row r="128" spans="3:4" x14ac:dyDescent="0.45">
      <c r="C128">
        <v>0</v>
      </c>
      <c r="D128">
        <v>883445.71888146596</v>
      </c>
    </row>
    <row r="129" spans="3:4" x14ac:dyDescent="0.45">
      <c r="C129">
        <v>0</v>
      </c>
      <c r="D129">
        <v>131893.97238244512</v>
      </c>
    </row>
    <row r="130" spans="3:4" x14ac:dyDescent="0.45">
      <c r="C130">
        <v>0</v>
      </c>
      <c r="D130">
        <v>225227.70224274136</v>
      </c>
    </row>
    <row r="131" spans="3:4" x14ac:dyDescent="0.45">
      <c r="C131">
        <v>0</v>
      </c>
      <c r="D131">
        <v>761710.83680666424</v>
      </c>
    </row>
    <row r="132" spans="3:4" x14ac:dyDescent="0.45">
      <c r="C132">
        <v>0</v>
      </c>
      <c r="D132">
        <v>286871.66204753146</v>
      </c>
    </row>
    <row r="133" spans="3:4" x14ac:dyDescent="0.45">
      <c r="C133">
        <v>174212.88140617334</v>
      </c>
      <c r="D133">
        <v>-174212.88140617334</v>
      </c>
    </row>
    <row r="134" spans="3:4" x14ac:dyDescent="0.45">
      <c r="C134">
        <v>0</v>
      </c>
      <c r="D134">
        <v>362886.32587902294</v>
      </c>
    </row>
    <row r="135" spans="3:4" x14ac:dyDescent="0.45">
      <c r="C135">
        <v>153630.50492346357</v>
      </c>
      <c r="D135">
        <v>-153630.50492346357</v>
      </c>
    </row>
    <row r="136" spans="3:4" x14ac:dyDescent="0.45">
      <c r="C136">
        <v>0</v>
      </c>
      <c r="D136">
        <v>667665.04754072498</v>
      </c>
    </row>
    <row r="137" spans="3:4" x14ac:dyDescent="0.45">
      <c r="C137">
        <v>0</v>
      </c>
      <c r="D137">
        <v>120475.02805223293</v>
      </c>
    </row>
    <row r="138" spans="3:4" x14ac:dyDescent="0.45">
      <c r="C138">
        <v>94290.732484354987</v>
      </c>
      <c r="D138">
        <v>-94290.732484354987</v>
      </c>
    </row>
    <row r="139" spans="3:4" x14ac:dyDescent="0.45">
      <c r="C139">
        <v>0</v>
      </c>
      <c r="D139">
        <v>1300687.3738473966</v>
      </c>
    </row>
    <row r="140" spans="3:4" x14ac:dyDescent="0.45">
      <c r="C140">
        <v>123590.6791909812</v>
      </c>
      <c r="D140">
        <v>-123590.6791909812</v>
      </c>
    </row>
    <row r="141" spans="3:4" x14ac:dyDescent="0.45">
      <c r="C141">
        <v>0</v>
      </c>
      <c r="D141">
        <v>339459.12575769681</v>
      </c>
    </row>
    <row r="142" spans="3:4" x14ac:dyDescent="0.45">
      <c r="C142">
        <v>0</v>
      </c>
      <c r="D142">
        <v>119005.65097887791</v>
      </c>
    </row>
    <row r="143" spans="3:4" x14ac:dyDescent="0.45">
      <c r="C143">
        <v>120712.43386789528</v>
      </c>
      <c r="D143">
        <v>-120712.43386789528</v>
      </c>
    </row>
    <row r="144" spans="3:4" x14ac:dyDescent="0.45">
      <c r="C144">
        <v>0</v>
      </c>
      <c r="D144">
        <v>1870560.992675731</v>
      </c>
    </row>
    <row r="145" spans="3:4" x14ac:dyDescent="0.45">
      <c r="C145">
        <v>0</v>
      </c>
      <c r="D145">
        <v>393007.4519006086</v>
      </c>
    </row>
    <row r="146" spans="3:4" x14ac:dyDescent="0.45">
      <c r="C146">
        <v>0</v>
      </c>
      <c r="D146">
        <v>822887.80625939602</v>
      </c>
    </row>
    <row r="147" spans="3:4" x14ac:dyDescent="0.45">
      <c r="C147">
        <v>0</v>
      </c>
      <c r="D147">
        <v>1313064.8156909598</v>
      </c>
    </row>
    <row r="148" spans="3:4" x14ac:dyDescent="0.45">
      <c r="C148">
        <v>0</v>
      </c>
      <c r="D148">
        <v>461363.66885775654</v>
      </c>
    </row>
    <row r="149" spans="3:4" x14ac:dyDescent="0.45">
      <c r="C149">
        <v>387162.75705488992</v>
      </c>
      <c r="D149">
        <v>-387162.75705488992</v>
      </c>
    </row>
    <row r="150" spans="3:4" x14ac:dyDescent="0.45">
      <c r="C150">
        <v>0</v>
      </c>
      <c r="D150">
        <v>243122.59467763966</v>
      </c>
    </row>
    <row r="151" spans="3:4" x14ac:dyDescent="0.45">
      <c r="C151">
        <v>0</v>
      </c>
      <c r="D151">
        <v>3085481.67039942</v>
      </c>
    </row>
    <row r="152" spans="3:4" x14ac:dyDescent="0.45">
      <c r="C152">
        <v>623708.24204934784</v>
      </c>
      <c r="D152">
        <v>-623708.24204934784</v>
      </c>
    </row>
    <row r="153" spans="3:4" x14ac:dyDescent="0.45">
      <c r="C153">
        <v>15440.287334191846</v>
      </c>
      <c r="D153">
        <v>-15440.287334191846</v>
      </c>
    </row>
    <row r="154" spans="3:4" x14ac:dyDescent="0.45">
      <c r="C154">
        <v>0</v>
      </c>
      <c r="D154">
        <v>5569168.0081737926</v>
      </c>
    </row>
    <row r="155" spans="3:4" x14ac:dyDescent="0.45">
      <c r="C155">
        <v>0</v>
      </c>
      <c r="D155">
        <v>1366433.5694255955</v>
      </c>
    </row>
    <row r="156" spans="3:4" x14ac:dyDescent="0.45">
      <c r="C156">
        <v>0</v>
      </c>
      <c r="D156">
        <v>693814.05217689765</v>
      </c>
    </row>
    <row r="157" spans="3:4" x14ac:dyDescent="0.45">
      <c r="C157">
        <v>0</v>
      </c>
      <c r="D157">
        <v>39378.987255312502</v>
      </c>
    </row>
    <row r="158" spans="3:4" x14ac:dyDescent="0.45">
      <c r="C158">
        <v>0</v>
      </c>
      <c r="D158">
        <v>1724946.9860675256</v>
      </c>
    </row>
    <row r="159" spans="3:4" x14ac:dyDescent="0.45">
      <c r="C159">
        <v>0</v>
      </c>
      <c r="D159">
        <v>25967.68317385437</v>
      </c>
    </row>
    <row r="160" spans="3:4" x14ac:dyDescent="0.45">
      <c r="C160">
        <v>0</v>
      </c>
      <c r="D160">
        <v>2645324.4028263516</v>
      </c>
    </row>
    <row r="161" spans="3:4" x14ac:dyDescent="0.45">
      <c r="C161">
        <v>166775.76254310715</v>
      </c>
      <c r="D161">
        <v>-166775.76254310715</v>
      </c>
    </row>
    <row r="162" spans="3:4" x14ac:dyDescent="0.45">
      <c r="C162">
        <v>93079.758827732992</v>
      </c>
      <c r="D162">
        <v>-93079.758827732992</v>
      </c>
    </row>
    <row r="163" spans="3:4" x14ac:dyDescent="0.45">
      <c r="C163">
        <v>0</v>
      </c>
      <c r="D163">
        <v>3812833.3776755724</v>
      </c>
    </row>
    <row r="164" spans="3:4" x14ac:dyDescent="0.45">
      <c r="C164">
        <v>0</v>
      </c>
      <c r="D164">
        <v>355409.55387934973</v>
      </c>
    </row>
    <row r="165" spans="3:4" x14ac:dyDescent="0.45">
      <c r="C165">
        <v>0</v>
      </c>
      <c r="D165">
        <v>81218.720843733521</v>
      </c>
    </row>
    <row r="166" spans="3:4" x14ac:dyDescent="0.45">
      <c r="C166">
        <v>191028.19086955744</v>
      </c>
      <c r="D166">
        <v>-191028.19086955744</v>
      </c>
    </row>
    <row r="167" spans="3:4" x14ac:dyDescent="0.45">
      <c r="C167">
        <v>0</v>
      </c>
      <c r="D167">
        <v>125949.25614239718</v>
      </c>
    </row>
    <row r="168" spans="3:4" x14ac:dyDescent="0.45">
      <c r="C168">
        <v>262935.31426494045</v>
      </c>
      <c r="D168">
        <v>-262935.31426494045</v>
      </c>
    </row>
    <row r="169" spans="3:4" x14ac:dyDescent="0.45">
      <c r="C169">
        <v>0</v>
      </c>
      <c r="D169">
        <v>636606.77065354027</v>
      </c>
    </row>
    <row r="170" spans="3:4" x14ac:dyDescent="0.45">
      <c r="C170">
        <v>0</v>
      </c>
      <c r="D170">
        <v>32551.348419484217</v>
      </c>
    </row>
    <row r="171" spans="3:4" x14ac:dyDescent="0.45">
      <c r="C171">
        <v>0</v>
      </c>
      <c r="D171">
        <v>929072.84458150878</v>
      </c>
    </row>
    <row r="172" spans="3:4" x14ac:dyDescent="0.45">
      <c r="C172">
        <v>0</v>
      </c>
      <c r="D172">
        <v>869037.0866769175</v>
      </c>
    </row>
    <row r="173" spans="3:4" x14ac:dyDescent="0.45">
      <c r="C173">
        <v>0</v>
      </c>
      <c r="D173">
        <v>1294406.1705466071</v>
      </c>
    </row>
    <row r="174" spans="3:4" x14ac:dyDescent="0.45">
      <c r="C174">
        <v>379324.01046118722</v>
      </c>
      <c r="D174">
        <v>-379324.01046118722</v>
      </c>
    </row>
    <row r="175" spans="3:4" x14ac:dyDescent="0.45">
      <c r="C175">
        <v>0</v>
      </c>
      <c r="D175">
        <v>1100877.4466924989</v>
      </c>
    </row>
    <row r="176" spans="3:4" x14ac:dyDescent="0.45">
      <c r="C176">
        <v>195380.80167090625</v>
      </c>
      <c r="D176">
        <v>-195380.80167090625</v>
      </c>
    </row>
    <row r="177" spans="3:4" x14ac:dyDescent="0.45">
      <c r="C177">
        <v>0</v>
      </c>
      <c r="D177">
        <v>409866.7608828661</v>
      </c>
    </row>
    <row r="178" spans="3:4" x14ac:dyDescent="0.45">
      <c r="C178">
        <v>0</v>
      </c>
      <c r="D178">
        <v>684340.90899957856</v>
      </c>
    </row>
    <row r="179" spans="3:4" x14ac:dyDescent="0.45">
      <c r="C179">
        <v>0</v>
      </c>
      <c r="D179">
        <v>151101.48618109687</v>
      </c>
    </row>
    <row r="180" spans="3:4" x14ac:dyDescent="0.45">
      <c r="C180">
        <v>0</v>
      </c>
      <c r="D180">
        <v>2038779.1930494998</v>
      </c>
    </row>
    <row r="181" spans="3:4" x14ac:dyDescent="0.45">
      <c r="C181">
        <v>0</v>
      </c>
      <c r="D181">
        <v>5304317.6697235927</v>
      </c>
    </row>
    <row r="182" spans="3:4" x14ac:dyDescent="0.45">
      <c r="C182">
        <v>82164.613095223089</v>
      </c>
      <c r="D182">
        <v>-82164.613095223089</v>
      </c>
    </row>
    <row r="183" spans="3:4" x14ac:dyDescent="0.45">
      <c r="C183">
        <v>0</v>
      </c>
      <c r="D183">
        <v>10220.19323753193</v>
      </c>
    </row>
    <row r="184" spans="3:4" x14ac:dyDescent="0.45">
      <c r="C184">
        <v>0</v>
      </c>
      <c r="D184">
        <v>494994.71937748976</v>
      </c>
    </row>
    <row r="185" spans="3:4" x14ac:dyDescent="0.45">
      <c r="C185">
        <v>0</v>
      </c>
      <c r="D185">
        <v>1602205.9418747514</v>
      </c>
    </row>
    <row r="186" spans="3:4" x14ac:dyDescent="0.45">
      <c r="C186">
        <v>607962.39321071294</v>
      </c>
      <c r="D186">
        <v>-607962.39321071294</v>
      </c>
    </row>
    <row r="187" spans="3:4" x14ac:dyDescent="0.45">
      <c r="C187">
        <v>0</v>
      </c>
      <c r="D187">
        <v>112281.87479477434</v>
      </c>
    </row>
    <row r="188" spans="3:4" x14ac:dyDescent="0.45">
      <c r="C188">
        <v>0</v>
      </c>
      <c r="D188">
        <v>431972.12808581116</v>
      </c>
    </row>
    <row r="189" spans="3:4" x14ac:dyDescent="0.45">
      <c r="C189">
        <v>0</v>
      </c>
      <c r="D189">
        <v>1385371.8924648496</v>
      </c>
    </row>
    <row r="190" spans="3:4" x14ac:dyDescent="0.45">
      <c r="C190">
        <v>0</v>
      </c>
      <c r="D190">
        <v>352390.29956603656</v>
      </c>
    </row>
    <row r="191" spans="3:4" x14ac:dyDescent="0.45">
      <c r="C191">
        <v>411790.33343735884</v>
      </c>
      <c r="D191">
        <v>-411790.33343735884</v>
      </c>
    </row>
    <row r="192" spans="3:4" x14ac:dyDescent="0.45">
      <c r="C192">
        <v>0</v>
      </c>
      <c r="D192">
        <v>2516414.8082943754</v>
      </c>
    </row>
    <row r="193" spans="3:4" x14ac:dyDescent="0.45">
      <c r="C193">
        <v>29423.396708825603</v>
      </c>
      <c r="D193">
        <v>-29423.396708825603</v>
      </c>
    </row>
    <row r="194" spans="3:4" x14ac:dyDescent="0.45">
      <c r="C194">
        <v>0</v>
      </c>
      <c r="D194">
        <v>699797.34195637377</v>
      </c>
    </row>
    <row r="195" spans="3:4" x14ac:dyDescent="0.45">
      <c r="C195">
        <v>0</v>
      </c>
      <c r="D195">
        <v>206893.78795538214</v>
      </c>
    </row>
    <row r="196" spans="3:4" x14ac:dyDescent="0.45">
      <c r="C196">
        <v>0</v>
      </c>
      <c r="D196">
        <v>20103.282816608436</v>
      </c>
    </row>
    <row r="197" spans="3:4" x14ac:dyDescent="0.45">
      <c r="C197">
        <v>0</v>
      </c>
      <c r="D197">
        <v>464403.395724901</v>
      </c>
    </row>
    <row r="198" spans="3:4" x14ac:dyDescent="0.45">
      <c r="C198">
        <v>35128.865398985567</v>
      </c>
      <c r="D198">
        <v>-35128.865398985567</v>
      </c>
    </row>
    <row r="199" spans="3:4" x14ac:dyDescent="0.45">
      <c r="C199">
        <v>0</v>
      </c>
      <c r="D199">
        <v>488481.26168865198</v>
      </c>
    </row>
    <row r="200" spans="3:4" x14ac:dyDescent="0.45">
      <c r="C200">
        <v>0</v>
      </c>
      <c r="D200">
        <v>1990981.2194390302</v>
      </c>
    </row>
    <row r="201" spans="3:4" x14ac:dyDescent="0.45">
      <c r="C201">
        <v>0</v>
      </c>
      <c r="D201">
        <v>1435226.1301593762</v>
      </c>
    </row>
    <row r="202" spans="3:4" x14ac:dyDescent="0.45">
      <c r="C202">
        <v>0</v>
      </c>
      <c r="D202">
        <v>84650.63036259939</v>
      </c>
    </row>
    <row r="203" spans="3:4" x14ac:dyDescent="0.45">
      <c r="C203">
        <v>0</v>
      </c>
      <c r="D203">
        <v>243971.8360554222</v>
      </c>
    </row>
    <row r="204" spans="3:4" x14ac:dyDescent="0.45">
      <c r="C204">
        <v>0</v>
      </c>
      <c r="D204">
        <v>3444110.8726639468</v>
      </c>
    </row>
    <row r="205" spans="3:4" x14ac:dyDescent="0.45">
      <c r="C205">
        <v>0</v>
      </c>
      <c r="D205">
        <v>175058.07680763048</v>
      </c>
    </row>
    <row r="206" spans="3:4" x14ac:dyDescent="0.45">
      <c r="C206">
        <v>169322.39762878942</v>
      </c>
      <c r="D206">
        <v>-169322.39762878942</v>
      </c>
    </row>
    <row r="207" spans="3:4" x14ac:dyDescent="0.45">
      <c r="C207">
        <v>0</v>
      </c>
      <c r="D207">
        <v>2648113.077758933</v>
      </c>
    </row>
    <row r="208" spans="3:4" x14ac:dyDescent="0.45">
      <c r="C208">
        <v>0</v>
      </c>
      <c r="D208">
        <v>544838.77706408617</v>
      </c>
    </row>
    <row r="209" spans="3:4" x14ac:dyDescent="0.45">
      <c r="C209">
        <v>0</v>
      </c>
      <c r="D209">
        <v>1925993.8502308526</v>
      </c>
    </row>
    <row r="210" spans="3:4" x14ac:dyDescent="0.45">
      <c r="C210">
        <v>0</v>
      </c>
      <c r="D210">
        <v>6611.8526170584373</v>
      </c>
    </row>
    <row r="211" spans="3:4" x14ac:dyDescent="0.45">
      <c r="C211">
        <v>202822.30979555566</v>
      </c>
      <c r="D211">
        <v>-202822.30979555566</v>
      </c>
    </row>
    <row r="212" spans="3:4" x14ac:dyDescent="0.45">
      <c r="C212">
        <v>533198.46266535053</v>
      </c>
      <c r="D212">
        <v>-533198.46266535053</v>
      </c>
    </row>
    <row r="213" spans="3:4" x14ac:dyDescent="0.45">
      <c r="C213">
        <v>0</v>
      </c>
      <c r="D213">
        <v>1231734.9017861206</v>
      </c>
    </row>
    <row r="214" spans="3:4" x14ac:dyDescent="0.45">
      <c r="C214">
        <v>0</v>
      </c>
      <c r="D214">
        <v>3069.75383902248</v>
      </c>
    </row>
    <row r="215" spans="3:4" x14ac:dyDescent="0.45">
      <c r="C215">
        <v>0</v>
      </c>
      <c r="D215">
        <v>854187.52543230471</v>
      </c>
    </row>
    <row r="216" spans="3:4" x14ac:dyDescent="0.45">
      <c r="C216">
        <v>0</v>
      </c>
      <c r="D216">
        <v>3095091.7303514034</v>
      </c>
    </row>
    <row r="217" spans="3:4" x14ac:dyDescent="0.45">
      <c r="C217">
        <v>0</v>
      </c>
      <c r="D217">
        <v>1928162.8705426301</v>
      </c>
    </row>
    <row r="218" spans="3:4" x14ac:dyDescent="0.45">
      <c r="C218">
        <v>0</v>
      </c>
      <c r="D218">
        <v>420803.33574558818</v>
      </c>
    </row>
    <row r="219" spans="3:4" x14ac:dyDescent="0.45">
      <c r="C219">
        <v>0</v>
      </c>
      <c r="D219">
        <v>102917.25174942031</v>
      </c>
    </row>
    <row r="220" spans="3:4" x14ac:dyDescent="0.45">
      <c r="C220">
        <v>0</v>
      </c>
      <c r="D220">
        <v>1678472.1928612553</v>
      </c>
    </row>
    <row r="221" spans="3:4" x14ac:dyDescent="0.45">
      <c r="C221">
        <v>80030.449223916046</v>
      </c>
      <c r="D221">
        <v>-80030.449223916046</v>
      </c>
    </row>
    <row r="222" spans="3:4" x14ac:dyDescent="0.45">
      <c r="C222">
        <v>0</v>
      </c>
      <c r="D222">
        <v>2210176.6897796942</v>
      </c>
    </row>
    <row r="223" spans="3:4" x14ac:dyDescent="0.45">
      <c r="C223">
        <v>55862.84806586511</v>
      </c>
      <c r="D223">
        <v>-55862.84806586511</v>
      </c>
    </row>
    <row r="224" spans="3:4" x14ac:dyDescent="0.45">
      <c r="C224">
        <v>0</v>
      </c>
      <c r="D224">
        <v>531035.92782849749</v>
      </c>
    </row>
    <row r="225" spans="3:4" x14ac:dyDescent="0.45">
      <c r="C225">
        <v>234194.71004520101</v>
      </c>
      <c r="D225">
        <v>-234194.71004520101</v>
      </c>
    </row>
    <row r="226" spans="3:4" x14ac:dyDescent="0.45">
      <c r="C226">
        <v>0</v>
      </c>
      <c r="D226">
        <v>1575112.6071575899</v>
      </c>
    </row>
    <row r="227" spans="3:4" x14ac:dyDescent="0.45">
      <c r="C227">
        <v>0</v>
      </c>
      <c r="D227">
        <v>53160.021831799182</v>
      </c>
    </row>
    <row r="228" spans="3:4" x14ac:dyDescent="0.45">
      <c r="C228">
        <v>0</v>
      </c>
      <c r="D228">
        <v>249536.83776874235</v>
      </c>
    </row>
    <row r="229" spans="3:4" x14ac:dyDescent="0.45">
      <c r="C229">
        <v>0</v>
      </c>
      <c r="D229">
        <v>487105.45009173476</v>
      </c>
    </row>
    <row r="230" spans="3:4" x14ac:dyDescent="0.45">
      <c r="C230">
        <v>0</v>
      </c>
      <c r="D230">
        <v>288575.78669612412</v>
      </c>
    </row>
    <row r="231" spans="3:4" x14ac:dyDescent="0.45">
      <c r="C231">
        <v>0</v>
      </c>
      <c r="D231">
        <v>46307.626417557709</v>
      </c>
    </row>
    <row r="232" spans="3:4" x14ac:dyDescent="0.45">
      <c r="C232">
        <v>173877.50302568625</v>
      </c>
      <c r="D232">
        <v>-173877.50302568625</v>
      </c>
    </row>
    <row r="233" spans="3:4" x14ac:dyDescent="0.45">
      <c r="C233">
        <v>51128.084154388867</v>
      </c>
      <c r="D233">
        <v>-51128.084154388867</v>
      </c>
    </row>
    <row r="234" spans="3:4" x14ac:dyDescent="0.45">
      <c r="C234">
        <v>231251.22628233349</v>
      </c>
      <c r="D234">
        <v>-231251.22628233349</v>
      </c>
    </row>
    <row r="235" spans="3:4" x14ac:dyDescent="0.45">
      <c r="C235">
        <v>0</v>
      </c>
      <c r="D235">
        <v>84061.062554328702</v>
      </c>
    </row>
    <row r="236" spans="3:4" x14ac:dyDescent="0.45">
      <c r="C236">
        <v>0</v>
      </c>
      <c r="D236">
        <v>237219.83151985821</v>
      </c>
    </row>
    <row r="237" spans="3:4" x14ac:dyDescent="0.45">
      <c r="C237">
        <v>0</v>
      </c>
      <c r="D237">
        <v>91955.838310444495</v>
      </c>
    </row>
    <row r="238" spans="3:4" x14ac:dyDescent="0.45">
      <c r="C238">
        <v>79444.169401260209</v>
      </c>
      <c r="D238">
        <v>-79444.169401260209</v>
      </c>
    </row>
    <row r="239" spans="3:4" x14ac:dyDescent="0.45">
      <c r="C239">
        <v>0</v>
      </c>
      <c r="D239">
        <v>32441.100921242265</v>
      </c>
    </row>
    <row r="240" spans="3:4" x14ac:dyDescent="0.45">
      <c r="C240">
        <v>0</v>
      </c>
      <c r="D240">
        <v>1233459.1096941559</v>
      </c>
    </row>
    <row r="241" spans="3:4" x14ac:dyDescent="0.45">
      <c r="C241">
        <v>0</v>
      </c>
      <c r="D241">
        <v>922869.57925864449</v>
      </c>
    </row>
    <row r="242" spans="3:4" x14ac:dyDescent="0.45">
      <c r="C242">
        <v>0</v>
      </c>
      <c r="D242">
        <v>28237.303944096202</v>
      </c>
    </row>
    <row r="243" spans="3:4" x14ac:dyDescent="0.45">
      <c r="C243">
        <v>223207.07961033168</v>
      </c>
      <c r="D243">
        <v>-223207.07961033168</v>
      </c>
    </row>
    <row r="244" spans="3:4" x14ac:dyDescent="0.45">
      <c r="C244">
        <v>0</v>
      </c>
      <c r="D244">
        <v>147606.30874592124</v>
      </c>
    </row>
    <row r="245" spans="3:4" x14ac:dyDescent="0.45">
      <c r="C245">
        <v>0</v>
      </c>
      <c r="D245">
        <v>242593.70891247876</v>
      </c>
    </row>
    <row r="246" spans="3:4" x14ac:dyDescent="0.45">
      <c r="C246">
        <v>0</v>
      </c>
      <c r="D246">
        <v>791929.53835059865</v>
      </c>
    </row>
    <row r="247" spans="3:4" x14ac:dyDescent="0.45">
      <c r="C247">
        <v>442587.86689538928</v>
      </c>
      <c r="D247">
        <v>-442587.86689538928</v>
      </c>
    </row>
    <row r="248" spans="3:4" x14ac:dyDescent="0.45">
      <c r="C248">
        <v>0</v>
      </c>
      <c r="D248">
        <v>44644.829356053146</v>
      </c>
    </row>
    <row r="249" spans="3:4" x14ac:dyDescent="0.45">
      <c r="C249">
        <v>0</v>
      </c>
      <c r="D249">
        <v>947642.37959986692</v>
      </c>
    </row>
    <row r="250" spans="3:4" x14ac:dyDescent="0.45">
      <c r="C250">
        <v>0</v>
      </c>
      <c r="D250">
        <v>537651.79760833201</v>
      </c>
    </row>
    <row r="251" spans="3:4" x14ac:dyDescent="0.45">
      <c r="C251">
        <v>0</v>
      </c>
      <c r="D251">
        <v>479501.88969689701</v>
      </c>
    </row>
    <row r="252" spans="3:4" x14ac:dyDescent="0.45">
      <c r="C252">
        <v>0</v>
      </c>
      <c r="D252">
        <v>102489.09183807974</v>
      </c>
    </row>
    <row r="253" spans="3:4" x14ac:dyDescent="0.45">
      <c r="C253">
        <v>0</v>
      </c>
      <c r="D253">
        <v>471039.64896293334</v>
      </c>
    </row>
    <row r="254" spans="3:4" x14ac:dyDescent="0.45">
      <c r="C254">
        <v>0</v>
      </c>
      <c r="D254">
        <v>824268.19837431004</v>
      </c>
    </row>
    <row r="255" spans="3:4" x14ac:dyDescent="0.45">
      <c r="C255">
        <v>0</v>
      </c>
      <c r="D255">
        <v>4558513.0925030326</v>
      </c>
    </row>
    <row r="256" spans="3:4" x14ac:dyDescent="0.45">
      <c r="C256">
        <v>0</v>
      </c>
      <c r="D256">
        <v>936065.12458979362</v>
      </c>
    </row>
    <row r="257" spans="3:4" x14ac:dyDescent="0.45">
      <c r="C257">
        <v>147195.09348341846</v>
      </c>
      <c r="D257">
        <v>-147195.09348341846</v>
      </c>
    </row>
    <row r="258" spans="3:4" x14ac:dyDescent="0.45">
      <c r="C258">
        <v>1289409.4826500071</v>
      </c>
      <c r="D258">
        <v>-1289409.4826500071</v>
      </c>
    </row>
    <row r="259" spans="3:4" x14ac:dyDescent="0.45">
      <c r="C259">
        <v>0</v>
      </c>
      <c r="D259">
        <v>912542.76003095973</v>
      </c>
    </row>
    <row r="260" spans="3:4" x14ac:dyDescent="0.45">
      <c r="C260">
        <v>0</v>
      </c>
      <c r="D260">
        <v>254503.13299741736</v>
      </c>
    </row>
    <row r="261" spans="3:4" x14ac:dyDescent="0.45">
      <c r="C261">
        <v>0</v>
      </c>
      <c r="D261">
        <v>1676657.3280179226</v>
      </c>
    </row>
    <row r="262" spans="3:4" x14ac:dyDescent="0.45">
      <c r="C262">
        <v>0</v>
      </c>
      <c r="D262">
        <v>230370.07876211521</v>
      </c>
    </row>
    <row r="263" spans="3:4" x14ac:dyDescent="0.45">
      <c r="C263">
        <v>8507.543245560606</v>
      </c>
      <c r="D263">
        <v>-8507.543245560606</v>
      </c>
    </row>
    <row r="264" spans="3:4" x14ac:dyDescent="0.45">
      <c r="C264">
        <v>0</v>
      </c>
      <c r="D264">
        <v>575264.1123119921</v>
      </c>
    </row>
    <row r="265" spans="3:4" x14ac:dyDescent="0.45">
      <c r="C265">
        <v>0</v>
      </c>
      <c r="D265">
        <v>44816.360567406053</v>
      </c>
    </row>
    <row r="266" spans="3:4" x14ac:dyDescent="0.45">
      <c r="C266">
        <v>0</v>
      </c>
      <c r="D266">
        <v>1153424.515166546</v>
      </c>
    </row>
    <row r="267" spans="3:4" x14ac:dyDescent="0.45">
      <c r="C267">
        <v>0</v>
      </c>
      <c r="D267">
        <v>1587067.37484759</v>
      </c>
    </row>
    <row r="268" spans="3:4" x14ac:dyDescent="0.45">
      <c r="C268">
        <v>0</v>
      </c>
      <c r="D268">
        <v>209981.22431930946</v>
      </c>
    </row>
    <row r="269" spans="3:4" x14ac:dyDescent="0.45">
      <c r="C269">
        <v>68026.864646448055</v>
      </c>
      <c r="D269">
        <v>-68026.864646448055</v>
      </c>
    </row>
    <row r="270" spans="3:4" x14ac:dyDescent="0.45">
      <c r="C270">
        <v>0</v>
      </c>
      <c r="D270">
        <v>150867.17928658589</v>
      </c>
    </row>
    <row r="271" spans="3:4" x14ac:dyDescent="0.45">
      <c r="C271">
        <v>0</v>
      </c>
      <c r="D271">
        <v>1427186.0944345705</v>
      </c>
    </row>
    <row r="272" spans="3:4" x14ac:dyDescent="0.45">
      <c r="C272">
        <v>0</v>
      </c>
      <c r="D272">
        <v>378239.56965616345</v>
      </c>
    </row>
    <row r="273" spans="3:4" x14ac:dyDescent="0.45">
      <c r="C273">
        <v>0</v>
      </c>
      <c r="D273">
        <v>1852264.2153667156</v>
      </c>
    </row>
    <row r="274" spans="3:4" x14ac:dyDescent="0.45">
      <c r="C274">
        <v>0</v>
      </c>
      <c r="D274">
        <v>76770.085624771193</v>
      </c>
    </row>
    <row r="275" spans="3:4" x14ac:dyDescent="0.45">
      <c r="C275">
        <v>0</v>
      </c>
      <c r="D275">
        <v>103919.45052480709</v>
      </c>
    </row>
    <row r="276" spans="3:4" x14ac:dyDescent="0.45">
      <c r="C276">
        <v>0</v>
      </c>
      <c r="D276">
        <v>1543841.4723917292</v>
      </c>
    </row>
    <row r="277" spans="3:4" x14ac:dyDescent="0.45">
      <c r="C277">
        <v>0</v>
      </c>
      <c r="D277">
        <v>943452.57954605203</v>
      </c>
    </row>
    <row r="278" spans="3:4" x14ac:dyDescent="0.45">
      <c r="C278">
        <v>25347.316775358049</v>
      </c>
      <c r="D278">
        <v>-25347.316775358049</v>
      </c>
    </row>
    <row r="279" spans="3:4" x14ac:dyDescent="0.45">
      <c r="C279">
        <v>494509.04932804941</v>
      </c>
      <c r="D279">
        <v>-494509.04932804941</v>
      </c>
    </row>
    <row r="280" spans="3:4" x14ac:dyDescent="0.45">
      <c r="C280">
        <v>120266.48000645707</v>
      </c>
      <c r="D280">
        <v>-120266.48000645707</v>
      </c>
    </row>
    <row r="281" spans="3:4" x14ac:dyDescent="0.45">
      <c r="C281">
        <v>0</v>
      </c>
      <c r="D281">
        <v>99317.023712233175</v>
      </c>
    </row>
    <row r="282" spans="3:4" x14ac:dyDescent="0.45">
      <c r="C282">
        <v>0</v>
      </c>
      <c r="D282">
        <v>819637.26762834471</v>
      </c>
    </row>
    <row r="283" spans="3:4" x14ac:dyDescent="0.45">
      <c r="C283">
        <v>0</v>
      </c>
      <c r="D283">
        <v>221603.17303090752</v>
      </c>
    </row>
    <row r="284" spans="3:4" x14ac:dyDescent="0.45">
      <c r="C284">
        <v>0</v>
      </c>
      <c r="D284">
        <v>1468023.0351896766</v>
      </c>
    </row>
    <row r="285" spans="3:4" x14ac:dyDescent="0.45">
      <c r="C285">
        <v>0</v>
      </c>
      <c r="D285">
        <v>489537.54487603973</v>
      </c>
    </row>
    <row r="286" spans="3:4" x14ac:dyDescent="0.45">
      <c r="C286">
        <v>0</v>
      </c>
      <c r="D286">
        <v>257229.75225053355</v>
      </c>
    </row>
    <row r="287" spans="3:4" x14ac:dyDescent="0.45">
      <c r="C287">
        <v>0</v>
      </c>
      <c r="D287">
        <v>569315.86748830485</v>
      </c>
    </row>
    <row r="288" spans="3:4" x14ac:dyDescent="0.45">
      <c r="C288">
        <v>441879.07889504672</v>
      </c>
      <c r="D288">
        <v>-441879.07889504672</v>
      </c>
    </row>
    <row r="289" spans="3:4" x14ac:dyDescent="0.45">
      <c r="C289">
        <v>0</v>
      </c>
      <c r="D289">
        <v>1289208.6941117882</v>
      </c>
    </row>
    <row r="290" spans="3:4" x14ac:dyDescent="0.45">
      <c r="C290">
        <v>369667.84628709441</v>
      </c>
      <c r="D290">
        <v>-369667.84628709441</v>
      </c>
    </row>
    <row r="291" spans="3:4" x14ac:dyDescent="0.45">
      <c r="C291">
        <v>0</v>
      </c>
      <c r="D291">
        <v>854842.62096175901</v>
      </c>
    </row>
    <row r="292" spans="3:4" x14ac:dyDescent="0.45">
      <c r="C292">
        <v>0</v>
      </c>
      <c r="D292">
        <v>80596.576851045014</v>
      </c>
    </row>
    <row r="293" spans="3:4" x14ac:dyDescent="0.45">
      <c r="C293">
        <v>0</v>
      </c>
      <c r="D293">
        <v>361477.86662798724</v>
      </c>
    </row>
    <row r="294" spans="3:4" x14ac:dyDescent="0.45">
      <c r="C294">
        <v>180157.86953187466</v>
      </c>
      <c r="D294">
        <v>-180157.86953187466</v>
      </c>
    </row>
    <row r="295" spans="3:4" x14ac:dyDescent="0.45">
      <c r="C295">
        <v>0</v>
      </c>
      <c r="D295">
        <v>65970.014545615879</v>
      </c>
    </row>
    <row r="296" spans="3:4" x14ac:dyDescent="0.45">
      <c r="C296">
        <v>0</v>
      </c>
      <c r="D296">
        <v>233808.73233311297</v>
      </c>
    </row>
    <row r="297" spans="3:4" x14ac:dyDescent="0.45">
      <c r="C297">
        <v>82219.657764570089</v>
      </c>
      <c r="D297">
        <v>-82219.657764570089</v>
      </c>
    </row>
    <row r="298" spans="3:4" x14ac:dyDescent="0.45">
      <c r="C298">
        <v>0</v>
      </c>
      <c r="D298">
        <v>4409350.2910287939</v>
      </c>
    </row>
    <row r="299" spans="3:4" x14ac:dyDescent="0.45">
      <c r="C299">
        <v>0</v>
      </c>
      <c r="D299">
        <v>105782.12318200013</v>
      </c>
    </row>
    <row r="300" spans="3:4" x14ac:dyDescent="0.45">
      <c r="C300">
        <v>0</v>
      </c>
      <c r="D300">
        <v>145983.28157425369</v>
      </c>
    </row>
    <row r="301" spans="3:4" x14ac:dyDescent="0.45">
      <c r="C301">
        <v>0</v>
      </c>
      <c r="D301">
        <v>4874088.1636098241</v>
      </c>
    </row>
    <row r="302" spans="3:4" x14ac:dyDescent="0.45">
      <c r="C302">
        <v>0</v>
      </c>
      <c r="D302">
        <v>360256.48423608439</v>
      </c>
    </row>
    <row r="303" spans="3:4" x14ac:dyDescent="0.45">
      <c r="C303">
        <v>0</v>
      </c>
      <c r="D303">
        <v>1316693.2575948406</v>
      </c>
    </row>
    <row r="304" spans="3:4" x14ac:dyDescent="0.45">
      <c r="C304">
        <v>0</v>
      </c>
      <c r="D304">
        <v>30053.948645615485</v>
      </c>
    </row>
    <row r="305" spans="3:4" x14ac:dyDescent="0.45">
      <c r="C305">
        <v>0</v>
      </c>
      <c r="D305">
        <v>250219.14281238429</v>
      </c>
    </row>
    <row r="306" spans="3:4" x14ac:dyDescent="0.45">
      <c r="C306">
        <v>0</v>
      </c>
      <c r="D306">
        <v>321265.44903284987</v>
      </c>
    </row>
    <row r="307" spans="3:4" x14ac:dyDescent="0.45">
      <c r="C307">
        <v>0</v>
      </c>
      <c r="D307">
        <v>335930.30502913124</v>
      </c>
    </row>
    <row r="308" spans="3:4" x14ac:dyDescent="0.45">
      <c r="C308">
        <v>0</v>
      </c>
      <c r="D308">
        <v>124100.62357851048</v>
      </c>
    </row>
    <row r="309" spans="3:4" x14ac:dyDescent="0.45">
      <c r="C309">
        <v>21322.917695235112</v>
      </c>
      <c r="D309">
        <v>-21322.917695235112</v>
      </c>
    </row>
    <row r="310" spans="3:4" x14ac:dyDescent="0.45">
      <c r="C310">
        <v>210343.25827501866</v>
      </c>
      <c r="D310">
        <v>-210343.25827501866</v>
      </c>
    </row>
    <row r="311" spans="3:4" x14ac:dyDescent="0.45">
      <c r="C311">
        <v>35645.274550252827</v>
      </c>
      <c r="D311">
        <v>-35645.274550252827</v>
      </c>
    </row>
    <row r="312" spans="3:4" x14ac:dyDescent="0.45">
      <c r="C312">
        <v>0</v>
      </c>
      <c r="D312">
        <v>559803.97836817522</v>
      </c>
    </row>
    <row r="313" spans="3:4" x14ac:dyDescent="0.45">
      <c r="C313">
        <v>0</v>
      </c>
      <c r="D313">
        <v>427189.41521154228</v>
      </c>
    </row>
    <row r="314" spans="3:4" x14ac:dyDescent="0.45">
      <c r="C314">
        <v>37916.850731140585</v>
      </c>
      <c r="D314">
        <v>-37916.850731140585</v>
      </c>
    </row>
    <row r="315" spans="3:4" x14ac:dyDescent="0.45">
      <c r="C315">
        <v>110930.56176296098</v>
      </c>
      <c r="D315">
        <v>-110930.56176296098</v>
      </c>
    </row>
    <row r="316" spans="3:4" x14ac:dyDescent="0.45">
      <c r="C316">
        <v>0</v>
      </c>
      <c r="D316">
        <v>287311.17457258445</v>
      </c>
    </row>
    <row r="317" spans="3:4" x14ac:dyDescent="0.45">
      <c r="C317">
        <v>72672.221395211993</v>
      </c>
      <c r="D317">
        <v>-72672.221395211993</v>
      </c>
    </row>
    <row r="318" spans="3:4" x14ac:dyDescent="0.45">
      <c r="C318">
        <v>0</v>
      </c>
      <c r="D318">
        <v>297398.22479580017</v>
      </c>
    </row>
    <row r="319" spans="3:4" x14ac:dyDescent="0.45">
      <c r="C319">
        <v>818606.4622149585</v>
      </c>
      <c r="D319">
        <v>-818606.4622149585</v>
      </c>
    </row>
    <row r="320" spans="3:4" x14ac:dyDescent="0.45">
      <c r="C320">
        <v>0</v>
      </c>
      <c r="D320">
        <v>221428.73932032869</v>
      </c>
    </row>
    <row r="321" spans="3:4" x14ac:dyDescent="0.45">
      <c r="C321">
        <v>0</v>
      </c>
      <c r="D321">
        <v>2220229.3544151015</v>
      </c>
    </row>
    <row r="322" spans="3:4" x14ac:dyDescent="0.45">
      <c r="C322">
        <v>0</v>
      </c>
      <c r="D322">
        <v>77961.231109654764</v>
      </c>
    </row>
    <row r="323" spans="3:4" x14ac:dyDescent="0.45">
      <c r="C323">
        <v>0</v>
      </c>
      <c r="D323">
        <v>982609.52315240609</v>
      </c>
    </row>
    <row r="324" spans="3:4" x14ac:dyDescent="0.45">
      <c r="C324">
        <v>0</v>
      </c>
      <c r="D324">
        <v>638899.0911921747</v>
      </c>
    </row>
    <row r="325" spans="3:4" x14ac:dyDescent="0.45">
      <c r="C325">
        <v>0</v>
      </c>
      <c r="D325">
        <v>452686.17837310862</v>
      </c>
    </row>
    <row r="326" spans="3:4" x14ac:dyDescent="0.45">
      <c r="C326">
        <v>182268.90136874362</v>
      </c>
      <c r="D326">
        <v>-182268.90136874362</v>
      </c>
    </row>
    <row r="327" spans="3:4" x14ac:dyDescent="0.45">
      <c r="C327">
        <v>80783.604303280008</v>
      </c>
      <c r="D327">
        <v>-80783.604303280008</v>
      </c>
    </row>
    <row r="328" spans="3:4" x14ac:dyDescent="0.45">
      <c r="C328">
        <v>0</v>
      </c>
      <c r="D328">
        <v>2334051.5418259939</v>
      </c>
    </row>
    <row r="329" spans="3:4" x14ac:dyDescent="0.45">
      <c r="C329">
        <v>72220.832048709039</v>
      </c>
      <c r="D329">
        <v>-72220.832048709039</v>
      </c>
    </row>
    <row r="330" spans="3:4" x14ac:dyDescent="0.45">
      <c r="C330">
        <v>0</v>
      </c>
      <c r="D330">
        <v>266752.9340095201</v>
      </c>
    </row>
    <row r="331" spans="3:4" x14ac:dyDescent="0.45">
      <c r="C331">
        <v>0</v>
      </c>
      <c r="D331">
        <v>378025.61619966989</v>
      </c>
    </row>
    <row r="332" spans="3:4" x14ac:dyDescent="0.45">
      <c r="C332">
        <v>0</v>
      </c>
      <c r="D332">
        <v>93979.389945313451</v>
      </c>
    </row>
    <row r="333" spans="3:4" x14ac:dyDescent="0.45">
      <c r="C333">
        <v>64126.249603901291</v>
      </c>
      <c r="D333">
        <v>-64126.249603901291</v>
      </c>
    </row>
    <row r="334" spans="3:4" x14ac:dyDescent="0.45">
      <c r="C334">
        <v>0</v>
      </c>
      <c r="D334">
        <v>799765.48838374042</v>
      </c>
    </row>
    <row r="335" spans="3:4" x14ac:dyDescent="0.45">
      <c r="C335">
        <v>0</v>
      </c>
      <c r="D335">
        <v>1079630.7542741876</v>
      </c>
    </row>
    <row r="336" spans="3:4" x14ac:dyDescent="0.45">
      <c r="C336">
        <v>0</v>
      </c>
      <c r="D336">
        <v>204076.75674616848</v>
      </c>
    </row>
    <row r="337" spans="3:4" x14ac:dyDescent="0.45">
      <c r="C337">
        <v>0</v>
      </c>
      <c r="D337">
        <v>496673.8927068999</v>
      </c>
    </row>
    <row r="338" spans="3:4" x14ac:dyDescent="0.45">
      <c r="C338">
        <v>0</v>
      </c>
      <c r="D338">
        <v>2255011.8269910812</v>
      </c>
    </row>
    <row r="339" spans="3:4" x14ac:dyDescent="0.45">
      <c r="C339">
        <v>0</v>
      </c>
      <c r="D339">
        <v>342881.96511142724</v>
      </c>
    </row>
    <row r="340" spans="3:4" x14ac:dyDescent="0.45">
      <c r="C340">
        <v>0</v>
      </c>
      <c r="D340">
        <v>815061.20802378515</v>
      </c>
    </row>
    <row r="341" spans="3:4" x14ac:dyDescent="0.45">
      <c r="C341">
        <v>0</v>
      </c>
      <c r="D341">
        <v>138546.56027557841</v>
      </c>
    </row>
    <row r="342" spans="3:4" x14ac:dyDescent="0.45">
      <c r="C342">
        <v>102345.93895340222</v>
      </c>
      <c r="D342">
        <v>-102345.93895340222</v>
      </c>
    </row>
    <row r="343" spans="3:4" x14ac:dyDescent="0.45">
      <c r="C343">
        <v>0</v>
      </c>
      <c r="D343">
        <v>844261.60639812844</v>
      </c>
    </row>
    <row r="344" spans="3:4" x14ac:dyDescent="0.45">
      <c r="C344">
        <v>0</v>
      </c>
      <c r="D344">
        <v>130497.16652013187</v>
      </c>
    </row>
    <row r="345" spans="3:4" x14ac:dyDescent="0.45">
      <c r="C345">
        <v>0</v>
      </c>
      <c r="D345">
        <v>217393.24481705227</v>
      </c>
    </row>
    <row r="346" spans="3:4" x14ac:dyDescent="0.45">
      <c r="C346">
        <v>0</v>
      </c>
      <c r="D346">
        <v>1383247.1762394696</v>
      </c>
    </row>
    <row r="347" spans="3:4" x14ac:dyDescent="0.45">
      <c r="C347">
        <v>0</v>
      </c>
      <c r="D347">
        <v>5232.4231959511526</v>
      </c>
    </row>
    <row r="348" spans="3:4" x14ac:dyDescent="0.45">
      <c r="C348">
        <v>0</v>
      </c>
      <c r="D348">
        <v>214415.32811322273</v>
      </c>
    </row>
    <row r="349" spans="3:4" x14ac:dyDescent="0.45">
      <c r="C349">
        <v>275084.84125831258</v>
      </c>
      <c r="D349">
        <v>-275084.84125831258</v>
      </c>
    </row>
    <row r="350" spans="3:4" x14ac:dyDescent="0.45">
      <c r="C350">
        <v>30550.207617890555</v>
      </c>
      <c r="D350">
        <v>-30550.207617890555</v>
      </c>
    </row>
    <row r="351" spans="3:4" x14ac:dyDescent="0.45">
      <c r="C351">
        <v>0</v>
      </c>
      <c r="D351">
        <v>1078469.965421248</v>
      </c>
    </row>
    <row r="352" spans="3:4" x14ac:dyDescent="0.45">
      <c r="C352">
        <v>0</v>
      </c>
      <c r="D352">
        <v>3467545.3914166559</v>
      </c>
    </row>
    <row r="353" spans="3:4" x14ac:dyDescent="0.45">
      <c r="C353">
        <v>0</v>
      </c>
      <c r="D353">
        <v>60914.801027448382</v>
      </c>
    </row>
    <row r="354" spans="3:4" x14ac:dyDescent="0.45">
      <c r="C354">
        <v>0</v>
      </c>
      <c r="D354">
        <v>759015.56607808894</v>
      </c>
    </row>
    <row r="355" spans="3:4" x14ac:dyDescent="0.45">
      <c r="C355">
        <v>0</v>
      </c>
      <c r="D355">
        <v>353172.23703692039</v>
      </c>
    </row>
    <row r="356" spans="3:4" x14ac:dyDescent="0.45">
      <c r="C356">
        <v>0</v>
      </c>
      <c r="D356">
        <v>647448.66111481586</v>
      </c>
    </row>
    <row r="357" spans="3:4" x14ac:dyDescent="0.45">
      <c r="C357">
        <v>864818.30928075942</v>
      </c>
      <c r="D357">
        <v>-864818.30928075942</v>
      </c>
    </row>
    <row r="358" spans="3:4" x14ac:dyDescent="0.45">
      <c r="C358">
        <v>0</v>
      </c>
      <c r="D358">
        <v>1361886.6735413508</v>
      </c>
    </row>
    <row r="359" spans="3:4" x14ac:dyDescent="0.45">
      <c r="C359">
        <v>0</v>
      </c>
      <c r="D359">
        <v>1020884.4206830864</v>
      </c>
    </row>
    <row r="360" spans="3:4" x14ac:dyDescent="0.45">
      <c r="C360">
        <v>0</v>
      </c>
      <c r="D360">
        <v>1190854.0259576058</v>
      </c>
    </row>
    <row r="361" spans="3:4" x14ac:dyDescent="0.45">
      <c r="C361">
        <v>0</v>
      </c>
      <c r="D361">
        <v>1497825.2801766391</v>
      </c>
    </row>
    <row r="362" spans="3:4" x14ac:dyDescent="0.45">
      <c r="C362">
        <v>191160.10068541858</v>
      </c>
      <c r="D362">
        <v>-191160.10068541858</v>
      </c>
    </row>
    <row r="363" spans="3:4" x14ac:dyDescent="0.45">
      <c r="C363">
        <v>0</v>
      </c>
      <c r="D363">
        <v>386295.58592760214</v>
      </c>
    </row>
    <row r="364" spans="3:4" x14ac:dyDescent="0.45">
      <c r="C364">
        <v>0</v>
      </c>
      <c r="D364">
        <v>237036.03545501828</v>
      </c>
    </row>
    <row r="365" spans="3:4" x14ac:dyDescent="0.45">
      <c r="C365">
        <v>383397.50835956726</v>
      </c>
      <c r="D365">
        <v>-383397.50835956726</v>
      </c>
    </row>
    <row r="366" spans="3:4" x14ac:dyDescent="0.45">
      <c r="C366">
        <v>0</v>
      </c>
      <c r="D366">
        <v>807970.16732733301</v>
      </c>
    </row>
    <row r="367" spans="3:4" x14ac:dyDescent="0.45">
      <c r="C367">
        <v>0</v>
      </c>
      <c r="D367">
        <v>450718.34692137945</v>
      </c>
    </row>
    <row r="368" spans="3:4" x14ac:dyDescent="0.45">
      <c r="C368">
        <v>0</v>
      </c>
      <c r="D368">
        <v>405855.59029329056</v>
      </c>
    </row>
    <row r="369" spans="3:4" x14ac:dyDescent="0.45">
      <c r="C369">
        <v>0</v>
      </c>
      <c r="D369">
        <v>1935240.2389687076</v>
      </c>
    </row>
    <row r="370" spans="3:4" x14ac:dyDescent="0.45">
      <c r="C370">
        <v>0</v>
      </c>
      <c r="D370">
        <v>713803.24547303258</v>
      </c>
    </row>
    <row r="371" spans="3:4" x14ac:dyDescent="0.45">
      <c r="C371">
        <v>0</v>
      </c>
      <c r="D371">
        <v>54970.800850830739</v>
      </c>
    </row>
    <row r="372" spans="3:4" x14ac:dyDescent="0.45">
      <c r="C372">
        <v>353743.7140665534</v>
      </c>
      <c r="D372">
        <v>-353743.7140665534</v>
      </c>
    </row>
    <row r="373" spans="3:4" x14ac:dyDescent="0.45">
      <c r="C373">
        <v>0</v>
      </c>
      <c r="D373">
        <v>22373.174529888434</v>
      </c>
    </row>
    <row r="374" spans="3:4" x14ac:dyDescent="0.45">
      <c r="C374">
        <v>0</v>
      </c>
      <c r="D374">
        <v>310121.98416474601</v>
      </c>
    </row>
    <row r="375" spans="3:4" x14ac:dyDescent="0.45">
      <c r="C375">
        <v>0</v>
      </c>
      <c r="D375">
        <v>867870.88396141375</v>
      </c>
    </row>
    <row r="376" spans="3:4" x14ac:dyDescent="0.45">
      <c r="C376">
        <v>0</v>
      </c>
      <c r="D376">
        <v>581005.61773145827</v>
      </c>
    </row>
    <row r="377" spans="3:4" x14ac:dyDescent="0.45">
      <c r="C377">
        <v>0</v>
      </c>
      <c r="D377">
        <v>423706.48197072814</v>
      </c>
    </row>
    <row r="378" spans="3:4" x14ac:dyDescent="0.45">
      <c r="C378">
        <v>283088.97627593263</v>
      </c>
      <c r="D378">
        <v>-283088.97627593263</v>
      </c>
    </row>
    <row r="379" spans="3:4" x14ac:dyDescent="0.45">
      <c r="C379">
        <v>206884.44503058598</v>
      </c>
      <c r="D379">
        <v>-206884.44503058598</v>
      </c>
    </row>
    <row r="380" spans="3:4" x14ac:dyDescent="0.45">
      <c r="C380">
        <v>0</v>
      </c>
      <c r="D380">
        <v>619116.42705593351</v>
      </c>
    </row>
    <row r="381" spans="3:4" x14ac:dyDescent="0.45">
      <c r="C381">
        <v>53402.549030861584</v>
      </c>
      <c r="D381">
        <v>-53402.549030861584</v>
      </c>
    </row>
    <row r="382" spans="3:4" x14ac:dyDescent="0.45">
      <c r="C382">
        <v>1434.7432071564253</v>
      </c>
      <c r="D382">
        <v>-1434.7432071564253</v>
      </c>
    </row>
    <row r="383" spans="3:4" x14ac:dyDescent="0.45">
      <c r="C383">
        <v>0</v>
      </c>
      <c r="D383">
        <v>419664.76311859768</v>
      </c>
    </row>
    <row r="384" spans="3:4" x14ac:dyDescent="0.45">
      <c r="C384">
        <v>0</v>
      </c>
      <c r="D384">
        <v>1086062.0744236393</v>
      </c>
    </row>
    <row r="385" spans="3:4" x14ac:dyDescent="0.45">
      <c r="C385">
        <v>0</v>
      </c>
      <c r="D385">
        <v>446954.30463644862</v>
      </c>
    </row>
    <row r="386" spans="3:4" x14ac:dyDescent="0.45">
      <c r="C386">
        <v>0</v>
      </c>
      <c r="D386">
        <v>1019602.2288880479</v>
      </c>
    </row>
    <row r="387" spans="3:4" x14ac:dyDescent="0.45">
      <c r="C387">
        <v>649501.73492674925</v>
      </c>
      <c r="D387">
        <v>-649501.73492674925</v>
      </c>
    </row>
    <row r="388" spans="3:4" x14ac:dyDescent="0.45">
      <c r="C388">
        <v>0</v>
      </c>
      <c r="D388">
        <v>831811.52332315338</v>
      </c>
    </row>
    <row r="389" spans="3:4" x14ac:dyDescent="0.45">
      <c r="C389">
        <v>0</v>
      </c>
      <c r="D389">
        <v>8973.5333527247421</v>
      </c>
    </row>
    <row r="390" spans="3:4" x14ac:dyDescent="0.45">
      <c r="C390">
        <v>0</v>
      </c>
      <c r="D390">
        <v>349008.65271957335</v>
      </c>
    </row>
    <row r="391" spans="3:4" x14ac:dyDescent="0.45">
      <c r="C391">
        <v>0</v>
      </c>
      <c r="D391">
        <v>29226.37076944788</v>
      </c>
    </row>
    <row r="392" spans="3:4" x14ac:dyDescent="0.45">
      <c r="C392">
        <v>0</v>
      </c>
      <c r="D392">
        <v>2604581.1068298733</v>
      </c>
    </row>
    <row r="393" spans="3:4" x14ac:dyDescent="0.45">
      <c r="C393">
        <v>0</v>
      </c>
      <c r="D393">
        <v>21498.480727817398</v>
      </c>
    </row>
    <row r="394" spans="3:4" x14ac:dyDescent="0.45">
      <c r="C394">
        <v>0</v>
      </c>
      <c r="D394">
        <v>849455.80930369091</v>
      </c>
    </row>
    <row r="395" spans="3:4" x14ac:dyDescent="0.45">
      <c r="C395">
        <v>0</v>
      </c>
      <c r="D395">
        <v>797643.59422387765</v>
      </c>
    </row>
    <row r="396" spans="3:4" x14ac:dyDescent="0.45">
      <c r="C396">
        <v>293747.09963553795</v>
      </c>
      <c r="D396">
        <v>-293747.09963553795</v>
      </c>
    </row>
    <row r="397" spans="3:4" x14ac:dyDescent="0.45">
      <c r="C397">
        <v>0</v>
      </c>
      <c r="D397">
        <v>350809.4011402363</v>
      </c>
    </row>
    <row r="398" spans="3:4" x14ac:dyDescent="0.45">
      <c r="C398">
        <v>0</v>
      </c>
      <c r="D398">
        <v>925670.54518865235</v>
      </c>
    </row>
    <row r="399" spans="3:4" x14ac:dyDescent="0.45">
      <c r="C399">
        <v>202541.08504397026</v>
      </c>
      <c r="D399">
        <v>-202541.08504397026</v>
      </c>
    </row>
    <row r="400" spans="3:4" x14ac:dyDescent="0.45">
      <c r="C400">
        <v>0</v>
      </c>
      <c r="D400">
        <v>971401.3186779141</v>
      </c>
    </row>
    <row r="401" spans="3:4" x14ac:dyDescent="0.45">
      <c r="C401">
        <v>222779.92362855165</v>
      </c>
      <c r="D401">
        <v>-222779.92362855165</v>
      </c>
    </row>
    <row r="402" spans="3:4" x14ac:dyDescent="0.45">
      <c r="C402">
        <v>45715.582942701411</v>
      </c>
      <c r="D402">
        <v>-45715.582942701411</v>
      </c>
    </row>
    <row r="403" spans="3:4" x14ac:dyDescent="0.45">
      <c r="C403">
        <v>0</v>
      </c>
      <c r="D403">
        <v>858664.24187187618</v>
      </c>
    </row>
    <row r="404" spans="3:4" x14ac:dyDescent="0.45">
      <c r="C404">
        <v>0</v>
      </c>
      <c r="D404">
        <v>370546.21070979303</v>
      </c>
    </row>
    <row r="405" spans="3:4" x14ac:dyDescent="0.45">
      <c r="C405">
        <v>422916.38211466814</v>
      </c>
      <c r="D405">
        <v>-422916.38211466814</v>
      </c>
    </row>
    <row r="406" spans="3:4" x14ac:dyDescent="0.45">
      <c r="C406">
        <v>0</v>
      </c>
      <c r="D406">
        <v>1013297.1732950856</v>
      </c>
    </row>
    <row r="407" spans="3:4" x14ac:dyDescent="0.45">
      <c r="C407">
        <v>0</v>
      </c>
      <c r="D407">
        <v>102817.12647603103</v>
      </c>
    </row>
    <row r="408" spans="3:4" x14ac:dyDescent="0.45">
      <c r="C408">
        <v>0</v>
      </c>
      <c r="D408">
        <v>470684.34261592175</v>
      </c>
    </row>
    <row r="409" spans="3:4" x14ac:dyDescent="0.45">
      <c r="C409">
        <v>803038.492545877</v>
      </c>
      <c r="D409">
        <v>-803038.492545877</v>
      </c>
    </row>
    <row r="410" spans="3:4" x14ac:dyDescent="0.45">
      <c r="C410">
        <v>138757.38425495557</v>
      </c>
      <c r="D410">
        <v>-138757.38425495557</v>
      </c>
    </row>
    <row r="411" spans="3:4" x14ac:dyDescent="0.45">
      <c r="C411">
        <v>13425.517114256625</v>
      </c>
      <c r="D411">
        <v>-13425.517114256625</v>
      </c>
    </row>
    <row r="412" spans="3:4" x14ac:dyDescent="0.45">
      <c r="C412">
        <v>0</v>
      </c>
      <c r="D412">
        <v>267044.8579847964</v>
      </c>
    </row>
    <row r="413" spans="3:4" x14ac:dyDescent="0.45">
      <c r="C413">
        <v>0</v>
      </c>
      <c r="D413">
        <v>39123.891145654139</v>
      </c>
    </row>
    <row r="414" spans="3:4" x14ac:dyDescent="0.45">
      <c r="C414">
        <v>116589.43024909461</v>
      </c>
      <c r="D414">
        <v>-116589.43024909461</v>
      </c>
    </row>
    <row r="415" spans="3:4" x14ac:dyDescent="0.45">
      <c r="C415">
        <v>0</v>
      </c>
      <c r="D415">
        <v>118708.34433655685</v>
      </c>
    </row>
    <row r="416" spans="3:4" x14ac:dyDescent="0.45">
      <c r="C416">
        <v>0</v>
      </c>
      <c r="D416">
        <v>1921591.8514833869</v>
      </c>
    </row>
    <row r="417" spans="3:4" x14ac:dyDescent="0.45">
      <c r="C417">
        <v>268351.00596749061</v>
      </c>
      <c r="D417">
        <v>-268351.00596749061</v>
      </c>
    </row>
    <row r="418" spans="3:4" x14ac:dyDescent="0.45">
      <c r="C418">
        <v>0</v>
      </c>
      <c r="D418">
        <v>321366.8537353212</v>
      </c>
    </row>
    <row r="419" spans="3:4" x14ac:dyDescent="0.45">
      <c r="C419">
        <v>0</v>
      </c>
      <c r="D419">
        <v>2726103.7220026157</v>
      </c>
    </row>
    <row r="420" spans="3:4" x14ac:dyDescent="0.45">
      <c r="C420">
        <v>0</v>
      </c>
      <c r="D420">
        <v>260905.09475530102</v>
      </c>
    </row>
    <row r="421" spans="3:4" x14ac:dyDescent="0.45">
      <c r="C421">
        <v>433119.50909009727</v>
      </c>
      <c r="D421">
        <v>-433119.50909009727</v>
      </c>
    </row>
    <row r="422" spans="3:4" x14ac:dyDescent="0.45">
      <c r="C422">
        <v>0</v>
      </c>
      <c r="D422">
        <v>799617.5937240785</v>
      </c>
    </row>
    <row r="423" spans="3:4" x14ac:dyDescent="0.45">
      <c r="C423">
        <v>0</v>
      </c>
      <c r="D423">
        <v>1469860.8441630821</v>
      </c>
    </row>
    <row r="424" spans="3:4" x14ac:dyDescent="0.45">
      <c r="C424">
        <v>0</v>
      </c>
      <c r="D424">
        <v>36646.033692538738</v>
      </c>
    </row>
    <row r="425" spans="3:4" x14ac:dyDescent="0.45">
      <c r="C425">
        <v>0</v>
      </c>
      <c r="D425">
        <v>229593.41757524223</v>
      </c>
    </row>
    <row r="426" spans="3:4" x14ac:dyDescent="0.45">
      <c r="C426">
        <v>0</v>
      </c>
      <c r="D426">
        <v>764226.06871816027</v>
      </c>
    </row>
    <row r="427" spans="3:4" x14ac:dyDescent="0.45">
      <c r="C427">
        <v>370208.29385535989</v>
      </c>
      <c r="D427">
        <v>-370208.29385535989</v>
      </c>
    </row>
    <row r="428" spans="3:4" x14ac:dyDescent="0.45">
      <c r="C428">
        <v>202420.28088843939</v>
      </c>
      <c r="D428">
        <v>-202420.28088843939</v>
      </c>
    </row>
    <row r="429" spans="3:4" x14ac:dyDescent="0.45">
      <c r="C429">
        <v>573247.54808812239</v>
      </c>
      <c r="D429">
        <v>-573247.54808812239</v>
      </c>
    </row>
    <row r="430" spans="3:4" x14ac:dyDescent="0.45">
      <c r="C430">
        <v>0</v>
      </c>
      <c r="D430">
        <v>514259.57390768267</v>
      </c>
    </row>
    <row r="431" spans="3:4" x14ac:dyDescent="0.45">
      <c r="C431">
        <v>79577.960074028117</v>
      </c>
      <c r="D431">
        <v>-79577.960074028117</v>
      </c>
    </row>
    <row r="432" spans="3:4" x14ac:dyDescent="0.45">
      <c r="C432">
        <v>97768.999898850452</v>
      </c>
      <c r="D432">
        <v>-97768.999898850452</v>
      </c>
    </row>
    <row r="433" spans="3:4" x14ac:dyDescent="0.45">
      <c r="C433">
        <v>216387.11144006252</v>
      </c>
      <c r="D433">
        <v>-216387.11144006252</v>
      </c>
    </row>
    <row r="434" spans="3:4" x14ac:dyDescent="0.45">
      <c r="C434">
        <v>0</v>
      </c>
      <c r="D434">
        <v>1636846.4557300685</v>
      </c>
    </row>
    <row r="435" spans="3:4" x14ac:dyDescent="0.45">
      <c r="C435">
        <v>223813.67398605833</v>
      </c>
      <c r="D435">
        <v>-223813.67398605833</v>
      </c>
    </row>
    <row r="436" spans="3:4" x14ac:dyDescent="0.45">
      <c r="C436">
        <v>163925.64841315069</v>
      </c>
      <c r="D436">
        <v>-163925.64841315069</v>
      </c>
    </row>
    <row r="437" spans="3:4" x14ac:dyDescent="0.45">
      <c r="C437">
        <v>0</v>
      </c>
      <c r="D437">
        <v>775205.29278152552</v>
      </c>
    </row>
    <row r="438" spans="3:4" x14ac:dyDescent="0.45">
      <c r="C438">
        <v>0</v>
      </c>
      <c r="D438">
        <v>602927.49964503804</v>
      </c>
    </row>
    <row r="439" spans="3:4" x14ac:dyDescent="0.45">
      <c r="C439">
        <v>0</v>
      </c>
      <c r="D439">
        <v>180913.69335977919</v>
      </c>
    </row>
    <row r="440" spans="3:4" x14ac:dyDescent="0.45">
      <c r="C440">
        <v>0</v>
      </c>
      <c r="D440">
        <v>558900.06350433384</v>
      </c>
    </row>
    <row r="441" spans="3:4" x14ac:dyDescent="0.45">
      <c r="C441">
        <v>0</v>
      </c>
      <c r="D441">
        <v>1400818.0196403321</v>
      </c>
    </row>
    <row r="442" spans="3:4" x14ac:dyDescent="0.45">
      <c r="C442">
        <v>0</v>
      </c>
      <c r="D442">
        <v>760821.06937358365</v>
      </c>
    </row>
    <row r="443" spans="3:4" x14ac:dyDescent="0.45">
      <c r="C443">
        <v>0</v>
      </c>
      <c r="D443">
        <v>782263.66182690649</v>
      </c>
    </row>
    <row r="444" spans="3:4" x14ac:dyDescent="0.45">
      <c r="C444">
        <v>19587.172696783557</v>
      </c>
      <c r="D444">
        <v>-19587.172696783557</v>
      </c>
    </row>
    <row r="445" spans="3:4" x14ac:dyDescent="0.45">
      <c r="C445">
        <v>0</v>
      </c>
      <c r="D445">
        <v>559692.68960059877</v>
      </c>
    </row>
    <row r="446" spans="3:4" x14ac:dyDescent="0.45">
      <c r="C446">
        <v>0</v>
      </c>
      <c r="D446">
        <v>420367.08920135768</v>
      </c>
    </row>
    <row r="447" spans="3:4" x14ac:dyDescent="0.45">
      <c r="C447">
        <v>0</v>
      </c>
      <c r="D447">
        <v>2889124.657148886</v>
      </c>
    </row>
    <row r="448" spans="3:4" x14ac:dyDescent="0.45">
      <c r="C448">
        <v>0</v>
      </c>
      <c r="D448">
        <v>485988.61099608848</v>
      </c>
    </row>
    <row r="449" spans="3:4" x14ac:dyDescent="0.45">
      <c r="C449">
        <v>0</v>
      </c>
      <c r="D449">
        <v>371099.81447751052</v>
      </c>
    </row>
    <row r="450" spans="3:4" x14ac:dyDescent="0.45">
      <c r="C450">
        <v>0</v>
      </c>
      <c r="D450">
        <v>59557.553051605821</v>
      </c>
    </row>
    <row r="451" spans="3:4" x14ac:dyDescent="0.45">
      <c r="C451">
        <v>132814.26637551771</v>
      </c>
      <c r="D451">
        <v>-132814.26637551771</v>
      </c>
    </row>
    <row r="452" spans="3:4" x14ac:dyDescent="0.45">
      <c r="C452">
        <v>0</v>
      </c>
      <c r="D452">
        <v>1322295.4224917265</v>
      </c>
    </row>
    <row r="453" spans="3:4" x14ac:dyDescent="0.45">
      <c r="C453">
        <v>0</v>
      </c>
      <c r="D453">
        <v>77058.264224500628</v>
      </c>
    </row>
    <row r="454" spans="3:4" x14ac:dyDescent="0.45">
      <c r="C454">
        <v>225525.94369706197</v>
      </c>
      <c r="D454">
        <v>-225525.94369706197</v>
      </c>
    </row>
    <row r="455" spans="3:4" x14ac:dyDescent="0.45">
      <c r="C455">
        <v>0</v>
      </c>
      <c r="D455">
        <v>772547.49167586328</v>
      </c>
    </row>
    <row r="456" spans="3:4" x14ac:dyDescent="0.45">
      <c r="C456">
        <v>0</v>
      </c>
      <c r="D456">
        <v>1200512.9381202334</v>
      </c>
    </row>
    <row r="457" spans="3:4" x14ac:dyDescent="0.45">
      <c r="C457">
        <v>0</v>
      </c>
      <c r="D457">
        <v>2804662.7604490649</v>
      </c>
    </row>
    <row r="458" spans="3:4" x14ac:dyDescent="0.45">
      <c r="C458">
        <v>0</v>
      </c>
      <c r="D458">
        <v>383853.76364455628</v>
      </c>
    </row>
    <row r="459" spans="3:4" x14ac:dyDescent="0.45">
      <c r="C459">
        <v>440233.41189367021</v>
      </c>
      <c r="D459">
        <v>-440233.41189367021</v>
      </c>
    </row>
    <row r="460" spans="3:4" x14ac:dyDescent="0.45">
      <c r="C460">
        <v>76244.83816721756</v>
      </c>
      <c r="D460">
        <v>-76244.83816721756</v>
      </c>
    </row>
    <row r="461" spans="3:4" x14ac:dyDescent="0.45">
      <c r="C461">
        <v>0</v>
      </c>
      <c r="D461">
        <v>116418.31426793837</v>
      </c>
    </row>
    <row r="462" spans="3:4" x14ac:dyDescent="0.45">
      <c r="C462">
        <v>0</v>
      </c>
      <c r="D462">
        <v>747393.530285588</v>
      </c>
    </row>
    <row r="463" spans="3:4" x14ac:dyDescent="0.45">
      <c r="C463">
        <v>0</v>
      </c>
      <c r="D463">
        <v>1580820.9432807304</v>
      </c>
    </row>
    <row r="464" spans="3:4" x14ac:dyDescent="0.45">
      <c r="C464">
        <v>0</v>
      </c>
      <c r="D464">
        <v>272069.91367673432</v>
      </c>
    </row>
    <row r="465" spans="3:4" x14ac:dyDescent="0.45">
      <c r="C465">
        <v>0</v>
      </c>
      <c r="D465">
        <v>378204.39117827499</v>
      </c>
    </row>
    <row r="466" spans="3:4" x14ac:dyDescent="0.45">
      <c r="C466">
        <v>97850.457449409645</v>
      </c>
      <c r="D466">
        <v>-97850.457449409645</v>
      </c>
    </row>
    <row r="467" spans="3:4" x14ac:dyDescent="0.45">
      <c r="C467">
        <v>253835.16113996797</v>
      </c>
      <c r="D467">
        <v>-253835.16113996797</v>
      </c>
    </row>
    <row r="468" spans="3:4" x14ac:dyDescent="0.45">
      <c r="C468">
        <v>0</v>
      </c>
      <c r="D468">
        <v>232348.83253261889</v>
      </c>
    </row>
    <row r="469" spans="3:4" x14ac:dyDescent="0.45">
      <c r="C469">
        <v>0</v>
      </c>
      <c r="D469">
        <v>64747.432900134008</v>
      </c>
    </row>
    <row r="470" spans="3:4" x14ac:dyDescent="0.45">
      <c r="C470">
        <v>0</v>
      </c>
      <c r="D470">
        <v>282521.976033794</v>
      </c>
    </row>
    <row r="471" spans="3:4" x14ac:dyDescent="0.45">
      <c r="C471">
        <v>442258.64382288593</v>
      </c>
      <c r="D471">
        <v>-442258.64382288593</v>
      </c>
    </row>
    <row r="472" spans="3:4" x14ac:dyDescent="0.45">
      <c r="C472">
        <v>0</v>
      </c>
      <c r="D472">
        <v>1128923.468970869</v>
      </c>
    </row>
    <row r="473" spans="3:4" x14ac:dyDescent="0.45">
      <c r="C473">
        <v>0</v>
      </c>
      <c r="D473">
        <v>520857.48776071565</v>
      </c>
    </row>
    <row r="474" spans="3:4" x14ac:dyDescent="0.45">
      <c r="C474">
        <v>0</v>
      </c>
      <c r="D474">
        <v>1398627.5228650691</v>
      </c>
    </row>
    <row r="475" spans="3:4" x14ac:dyDescent="0.45">
      <c r="C475">
        <v>37802.379466907354</v>
      </c>
      <c r="D475">
        <v>-37802.379466907354</v>
      </c>
    </row>
    <row r="476" spans="3:4" x14ac:dyDescent="0.45">
      <c r="C476">
        <v>86998.226685207803</v>
      </c>
      <c r="D476">
        <v>-86998.226685207803</v>
      </c>
    </row>
    <row r="477" spans="3:4" x14ac:dyDescent="0.45">
      <c r="C477">
        <v>0</v>
      </c>
      <c r="D477">
        <v>115268.87508968473</v>
      </c>
    </row>
    <row r="478" spans="3:4" x14ac:dyDescent="0.45">
      <c r="C478">
        <v>0</v>
      </c>
      <c r="D478">
        <v>1339620.22841577</v>
      </c>
    </row>
    <row r="479" spans="3:4" x14ac:dyDescent="0.45">
      <c r="C479">
        <v>0</v>
      </c>
      <c r="D479">
        <v>336991.04094280931</v>
      </c>
    </row>
    <row r="480" spans="3:4" x14ac:dyDescent="0.45">
      <c r="C480">
        <v>0</v>
      </c>
      <c r="D480">
        <v>358292.51891014422</v>
      </c>
    </row>
    <row r="481" spans="3:4" x14ac:dyDescent="0.45">
      <c r="C481">
        <v>0</v>
      </c>
      <c r="D481">
        <v>1776313.9761970169</v>
      </c>
    </row>
    <row r="482" spans="3:4" x14ac:dyDescent="0.45">
      <c r="C482">
        <v>0</v>
      </c>
      <c r="D482">
        <v>1307432.5537460782</v>
      </c>
    </row>
    <row r="483" spans="3:4" x14ac:dyDescent="0.45">
      <c r="C483">
        <v>0</v>
      </c>
      <c r="D483">
        <v>316203.08779399609</v>
      </c>
    </row>
    <row r="484" spans="3:4" x14ac:dyDescent="0.45">
      <c r="C484">
        <v>0</v>
      </c>
      <c r="D484">
        <v>1601039.2602265254</v>
      </c>
    </row>
    <row r="485" spans="3:4" x14ac:dyDescent="0.45">
      <c r="C485">
        <v>4513.9943235625979</v>
      </c>
      <c r="D485">
        <v>-4513.9943235625979</v>
      </c>
    </row>
    <row r="486" spans="3:4" x14ac:dyDescent="0.45">
      <c r="C486">
        <v>18248.300011052983</v>
      </c>
      <c r="D486">
        <v>-18248.300011052983</v>
      </c>
    </row>
    <row r="487" spans="3:4" x14ac:dyDescent="0.45">
      <c r="C487">
        <v>0</v>
      </c>
      <c r="D487">
        <v>162439.11957426509</v>
      </c>
    </row>
    <row r="488" spans="3:4" x14ac:dyDescent="0.45">
      <c r="C488">
        <v>0</v>
      </c>
      <c r="D488">
        <v>104098.01337219786</v>
      </c>
    </row>
    <row r="489" spans="3:4" x14ac:dyDescent="0.45">
      <c r="C489">
        <v>0</v>
      </c>
      <c r="D489">
        <v>220569.12216996122</v>
      </c>
    </row>
    <row r="490" spans="3:4" x14ac:dyDescent="0.45">
      <c r="C490">
        <v>115150.83144025202</v>
      </c>
      <c r="D490">
        <v>-115150.83144025202</v>
      </c>
    </row>
    <row r="491" spans="3:4" x14ac:dyDescent="0.45">
      <c r="C491">
        <v>128227.00103226688</v>
      </c>
      <c r="D491">
        <v>-128227.00103226688</v>
      </c>
    </row>
    <row r="492" spans="3:4" x14ac:dyDescent="0.45">
      <c r="C492">
        <v>0</v>
      </c>
      <c r="D492">
        <v>600459.26954228524</v>
      </c>
    </row>
    <row r="493" spans="3:4" x14ac:dyDescent="0.45">
      <c r="C493">
        <v>33790.547106443439</v>
      </c>
      <c r="D493">
        <v>-33790.547106443439</v>
      </c>
    </row>
    <row r="494" spans="3:4" x14ac:dyDescent="0.45">
      <c r="C494">
        <v>0</v>
      </c>
      <c r="D494">
        <v>2478805.917909231</v>
      </c>
    </row>
    <row r="495" spans="3:4" x14ac:dyDescent="0.45">
      <c r="C495">
        <v>0</v>
      </c>
      <c r="D495">
        <v>1178762.6347875365</v>
      </c>
    </row>
    <row r="496" spans="3:4" x14ac:dyDescent="0.45">
      <c r="C496">
        <v>0</v>
      </c>
      <c r="D496">
        <v>1172398.6998092588</v>
      </c>
    </row>
    <row r="497" spans="3:4" x14ac:dyDescent="0.45">
      <c r="C497">
        <v>0</v>
      </c>
      <c r="D497">
        <v>3343830.9148911349</v>
      </c>
    </row>
    <row r="498" spans="3:4" x14ac:dyDescent="0.45">
      <c r="C498">
        <v>288914.39672238531</v>
      </c>
      <c r="D498">
        <v>-288914.39672238531</v>
      </c>
    </row>
    <row r="499" spans="3:4" x14ac:dyDescent="0.45">
      <c r="C499">
        <v>433510.8389900967</v>
      </c>
      <c r="D499">
        <v>-433510.8389900967</v>
      </c>
    </row>
    <row r="500" spans="3:4" x14ac:dyDescent="0.45">
      <c r="C500">
        <v>534011.52292353241</v>
      </c>
      <c r="D500">
        <v>-534011.52292353241</v>
      </c>
    </row>
    <row r="501" spans="3:4" x14ac:dyDescent="0.45">
      <c r="C501">
        <v>0</v>
      </c>
      <c r="D501">
        <v>761017.31926759193</v>
      </c>
    </row>
    <row r="502" spans="3:4" x14ac:dyDescent="0.45">
      <c r="C502">
        <v>114098.38237435755</v>
      </c>
      <c r="D502">
        <v>-114098.38237435755</v>
      </c>
    </row>
    <row r="503" spans="3:4" x14ac:dyDescent="0.45">
      <c r="C503">
        <v>0</v>
      </c>
      <c r="D503">
        <v>3384.405467153294</v>
      </c>
    </row>
    <row r="504" spans="3:4" x14ac:dyDescent="0.45">
      <c r="C504">
        <v>0</v>
      </c>
      <c r="D504">
        <v>136443.44432526105</v>
      </c>
    </row>
    <row r="505" spans="3:4" x14ac:dyDescent="0.45">
      <c r="C505">
        <v>0</v>
      </c>
      <c r="D505">
        <v>278114.07423515478</v>
      </c>
    </row>
    <row r="506" spans="3:4" x14ac:dyDescent="0.45">
      <c r="C506">
        <v>496349.06877885899</v>
      </c>
      <c r="D506">
        <v>-496349.06877885899</v>
      </c>
    </row>
    <row r="507" spans="3:4" x14ac:dyDescent="0.45">
      <c r="C507">
        <v>0</v>
      </c>
      <c r="D507">
        <v>444880.28412763961</v>
      </c>
    </row>
    <row r="508" spans="3:4" x14ac:dyDescent="0.45">
      <c r="C508">
        <v>106489.70391833736</v>
      </c>
      <c r="D508">
        <v>-106489.70391833736</v>
      </c>
    </row>
    <row r="509" spans="3:4" x14ac:dyDescent="0.45">
      <c r="C509">
        <v>0</v>
      </c>
      <c r="D509">
        <v>1953392.548037061</v>
      </c>
    </row>
    <row r="510" spans="3:4" x14ac:dyDescent="0.45">
      <c r="C510">
        <v>167566.49312968133</v>
      </c>
      <c r="D510">
        <v>-167566.49312968133</v>
      </c>
    </row>
    <row r="511" spans="3:4" x14ac:dyDescent="0.45">
      <c r="C511">
        <v>0</v>
      </c>
      <c r="D511">
        <v>2370.273653778946</v>
      </c>
    </row>
    <row r="512" spans="3:4" x14ac:dyDescent="0.45">
      <c r="C512">
        <v>0</v>
      </c>
      <c r="D512">
        <v>384958.1002401046</v>
      </c>
    </row>
    <row r="513" spans="3:4" x14ac:dyDescent="0.45">
      <c r="C513">
        <v>672944.79245209019</v>
      </c>
      <c r="D513">
        <v>-672944.79245209019</v>
      </c>
    </row>
    <row r="514" spans="3:4" x14ac:dyDescent="0.45">
      <c r="C514">
        <v>0</v>
      </c>
      <c r="D514">
        <v>269149.10919263121</v>
      </c>
    </row>
    <row r="515" spans="3:4" x14ac:dyDescent="0.45">
      <c r="C515">
        <v>0</v>
      </c>
      <c r="D515">
        <v>1244908.8380601755</v>
      </c>
    </row>
    <row r="516" spans="3:4" x14ac:dyDescent="0.45">
      <c r="C516">
        <v>0</v>
      </c>
      <c r="D516">
        <v>51012.505012500333</v>
      </c>
    </row>
    <row r="517" spans="3:4" x14ac:dyDescent="0.45">
      <c r="C517">
        <v>0</v>
      </c>
      <c r="D517">
        <v>34453.707821880002</v>
      </c>
    </row>
    <row r="518" spans="3:4" x14ac:dyDescent="0.45">
      <c r="C518">
        <v>97963.38505514455</v>
      </c>
      <c r="D518">
        <v>-97963.38505514455</v>
      </c>
    </row>
    <row r="519" spans="3:4" x14ac:dyDescent="0.45">
      <c r="C519">
        <v>0</v>
      </c>
      <c r="D519">
        <v>9255.3005426838063</v>
      </c>
    </row>
    <row r="520" spans="3:4" x14ac:dyDescent="0.45">
      <c r="C520">
        <v>0</v>
      </c>
      <c r="D520">
        <v>1997685.2457422814</v>
      </c>
    </row>
    <row r="521" spans="3:4" x14ac:dyDescent="0.45">
      <c r="C521">
        <v>33807.574790782761</v>
      </c>
      <c r="D521">
        <v>-33807.574790782761</v>
      </c>
    </row>
    <row r="522" spans="3:4" x14ac:dyDescent="0.45">
      <c r="C522">
        <v>0</v>
      </c>
      <c r="D522">
        <v>206798.49346986203</v>
      </c>
    </row>
    <row r="523" spans="3:4" x14ac:dyDescent="0.45">
      <c r="C523">
        <v>1501501.8338725325</v>
      </c>
      <c r="D523">
        <v>-1501501.8338725325</v>
      </c>
    </row>
    <row r="524" spans="3:4" x14ac:dyDescent="0.45">
      <c r="C524">
        <v>0</v>
      </c>
      <c r="D524">
        <v>592745.6634202511</v>
      </c>
    </row>
    <row r="525" spans="3:4" x14ac:dyDescent="0.45">
      <c r="C525">
        <v>0</v>
      </c>
      <c r="D525">
        <v>154287.14536963706</v>
      </c>
    </row>
    <row r="526" spans="3:4" x14ac:dyDescent="0.45">
      <c r="C526">
        <v>0</v>
      </c>
      <c r="D526">
        <v>583070.16900312621</v>
      </c>
    </row>
    <row r="527" spans="3:4" x14ac:dyDescent="0.45">
      <c r="C527">
        <v>0</v>
      </c>
      <c r="D527">
        <v>774020.73158508167</v>
      </c>
    </row>
    <row r="528" spans="3:4" x14ac:dyDescent="0.45">
      <c r="C528">
        <v>0</v>
      </c>
      <c r="D528">
        <v>2320269.2789825783</v>
      </c>
    </row>
    <row r="529" spans="3:4" x14ac:dyDescent="0.45">
      <c r="C529">
        <v>0</v>
      </c>
      <c r="D529">
        <v>1103600.7800155508</v>
      </c>
    </row>
    <row r="530" spans="3:4" x14ac:dyDescent="0.45">
      <c r="C530">
        <v>31773.934730568901</v>
      </c>
      <c r="D530">
        <v>-31773.934730568901</v>
      </c>
    </row>
    <row r="531" spans="3:4" x14ac:dyDescent="0.45">
      <c r="C531">
        <v>97419.986884874525</v>
      </c>
      <c r="D531">
        <v>-97419.986884874525</v>
      </c>
    </row>
    <row r="532" spans="3:4" x14ac:dyDescent="0.45">
      <c r="C532">
        <v>0</v>
      </c>
      <c r="D532">
        <v>1442719.1941032601</v>
      </c>
    </row>
    <row r="533" spans="3:4" x14ac:dyDescent="0.45">
      <c r="C533">
        <v>0</v>
      </c>
      <c r="D533">
        <v>281888.27635648544</v>
      </c>
    </row>
    <row r="534" spans="3:4" x14ac:dyDescent="0.45">
      <c r="C534">
        <v>0</v>
      </c>
      <c r="D534">
        <v>1311867.7944468041</v>
      </c>
    </row>
    <row r="535" spans="3:4" x14ac:dyDescent="0.45">
      <c r="C535">
        <v>0</v>
      </c>
      <c r="D535">
        <v>10583.714155646507</v>
      </c>
    </row>
    <row r="536" spans="3:4" x14ac:dyDescent="0.45">
      <c r="C536">
        <v>0</v>
      </c>
      <c r="D536">
        <v>462601.67777643073</v>
      </c>
    </row>
    <row r="537" spans="3:4" x14ac:dyDescent="0.45">
      <c r="C537">
        <v>0</v>
      </c>
      <c r="D537">
        <v>2200102.2359222588</v>
      </c>
    </row>
    <row r="538" spans="3:4" x14ac:dyDescent="0.45">
      <c r="C538">
        <v>0</v>
      </c>
      <c r="D538">
        <v>416819.77203313424</v>
      </c>
    </row>
    <row r="539" spans="3:4" x14ac:dyDescent="0.45">
      <c r="C539">
        <v>0</v>
      </c>
      <c r="D539">
        <v>491151.03297185712</v>
      </c>
    </row>
    <row r="540" spans="3:4" x14ac:dyDescent="0.45">
      <c r="C540">
        <v>0</v>
      </c>
      <c r="D540">
        <v>33160.604441377567</v>
      </c>
    </row>
    <row r="541" spans="3:4" x14ac:dyDescent="0.45">
      <c r="C541">
        <v>0</v>
      </c>
      <c r="D541">
        <v>464835.80962147936</v>
      </c>
    </row>
    <row r="542" spans="3:4" x14ac:dyDescent="0.45">
      <c r="C542">
        <v>0</v>
      </c>
      <c r="D542">
        <v>728467.626501441</v>
      </c>
    </row>
    <row r="543" spans="3:4" x14ac:dyDescent="0.45">
      <c r="C543">
        <v>529741.89346302929</v>
      </c>
      <c r="D543">
        <v>-529741.89346302929</v>
      </c>
    </row>
    <row r="544" spans="3:4" x14ac:dyDescent="0.45">
      <c r="C544">
        <v>0</v>
      </c>
      <c r="D544">
        <v>2838063.3114188914</v>
      </c>
    </row>
    <row r="545" spans="3:4" x14ac:dyDescent="0.45">
      <c r="C545">
        <v>0</v>
      </c>
      <c r="D545">
        <v>79871.362032697187</v>
      </c>
    </row>
    <row r="546" spans="3:4" x14ac:dyDescent="0.45">
      <c r="C546">
        <v>102091.52163283573</v>
      </c>
      <c r="D546">
        <v>-102091.52163283573</v>
      </c>
    </row>
    <row r="547" spans="3:4" x14ac:dyDescent="0.45">
      <c r="C547">
        <v>282011.13192205748</v>
      </c>
      <c r="D547">
        <v>-282011.13192205748</v>
      </c>
    </row>
    <row r="548" spans="3:4" x14ac:dyDescent="0.45">
      <c r="C548">
        <v>0</v>
      </c>
      <c r="D548">
        <v>78931.518677726388</v>
      </c>
    </row>
    <row r="549" spans="3:4" x14ac:dyDescent="0.45">
      <c r="C549">
        <v>0</v>
      </c>
      <c r="D549">
        <v>130846.11333080672</v>
      </c>
    </row>
    <row r="550" spans="3:4" x14ac:dyDescent="0.45">
      <c r="C550">
        <v>0</v>
      </c>
      <c r="D550">
        <v>406800.56054207799</v>
      </c>
    </row>
    <row r="551" spans="3:4" x14ac:dyDescent="0.45">
      <c r="C551">
        <v>436558.9997495868</v>
      </c>
      <c r="D551">
        <v>-436558.9997495868</v>
      </c>
    </row>
    <row r="552" spans="3:4" x14ac:dyDescent="0.45">
      <c r="C552">
        <v>0</v>
      </c>
      <c r="D552">
        <v>2043019.2760136449</v>
      </c>
    </row>
    <row r="553" spans="3:4" x14ac:dyDescent="0.45">
      <c r="C553">
        <v>0</v>
      </c>
      <c r="D553">
        <v>303750.47097819508</v>
      </c>
    </row>
    <row r="554" spans="3:4" x14ac:dyDescent="0.45">
      <c r="C554">
        <v>0</v>
      </c>
      <c r="D554">
        <v>1153775.0225755756</v>
      </c>
    </row>
    <row r="555" spans="3:4" x14ac:dyDescent="0.45">
      <c r="C555">
        <v>0</v>
      </c>
      <c r="D555">
        <v>3775396.6041615019</v>
      </c>
    </row>
    <row r="556" spans="3:4" x14ac:dyDescent="0.45">
      <c r="C556">
        <v>0</v>
      </c>
      <c r="D556">
        <v>1930709.0685386513</v>
      </c>
    </row>
    <row r="557" spans="3:4" x14ac:dyDescent="0.45">
      <c r="C557">
        <v>0</v>
      </c>
      <c r="D557">
        <v>1662251.091012063</v>
      </c>
    </row>
    <row r="558" spans="3:4" x14ac:dyDescent="0.45">
      <c r="C558">
        <v>0</v>
      </c>
      <c r="D558">
        <v>953788.35048915143</v>
      </c>
    </row>
    <row r="559" spans="3:4" x14ac:dyDescent="0.45">
      <c r="C559">
        <v>0</v>
      </c>
      <c r="D559">
        <v>431477.67260389263</v>
      </c>
    </row>
    <row r="560" spans="3:4" x14ac:dyDescent="0.45">
      <c r="C560">
        <v>0</v>
      </c>
      <c r="D560">
        <v>198817.96180977835</v>
      </c>
    </row>
    <row r="561" spans="3:4" x14ac:dyDescent="0.45">
      <c r="C561">
        <v>0</v>
      </c>
      <c r="D561">
        <v>1082297.8516449099</v>
      </c>
    </row>
    <row r="562" spans="3:4" x14ac:dyDescent="0.45">
      <c r="C562">
        <v>0</v>
      </c>
      <c r="D562">
        <v>195655.4917652579</v>
      </c>
    </row>
    <row r="563" spans="3:4" x14ac:dyDescent="0.45">
      <c r="C563">
        <v>0</v>
      </c>
      <c r="D563">
        <v>1323196.8201603582</v>
      </c>
    </row>
    <row r="564" spans="3:4" x14ac:dyDescent="0.45">
      <c r="C564">
        <v>237914.85807968886</v>
      </c>
      <c r="D564">
        <v>-237914.85807968886</v>
      </c>
    </row>
    <row r="565" spans="3:4" x14ac:dyDescent="0.45">
      <c r="C565">
        <v>0</v>
      </c>
      <c r="D565">
        <v>387996.82854414429</v>
      </c>
    </row>
    <row r="566" spans="3:4" x14ac:dyDescent="0.45">
      <c r="C566">
        <v>0</v>
      </c>
      <c r="D566">
        <v>636290.89813816221</v>
      </c>
    </row>
    <row r="567" spans="3:4" x14ac:dyDescent="0.45">
      <c r="C567">
        <v>0</v>
      </c>
      <c r="D567">
        <v>1238716.9600738278</v>
      </c>
    </row>
    <row r="568" spans="3:4" x14ac:dyDescent="0.45">
      <c r="C568">
        <v>0</v>
      </c>
      <c r="D568">
        <v>851648.48614023742</v>
      </c>
    </row>
    <row r="569" spans="3:4" x14ac:dyDescent="0.45">
      <c r="C569">
        <v>0</v>
      </c>
      <c r="D569">
        <v>13935.437451576581</v>
      </c>
    </row>
    <row r="570" spans="3:4" x14ac:dyDescent="0.45">
      <c r="C570">
        <v>0</v>
      </c>
      <c r="D570">
        <v>475782.11243161908</v>
      </c>
    </row>
    <row r="571" spans="3:4" x14ac:dyDescent="0.45">
      <c r="C571">
        <v>0</v>
      </c>
      <c r="D571">
        <v>391258.7775941086</v>
      </c>
    </row>
    <row r="572" spans="3:4" x14ac:dyDescent="0.45">
      <c r="C572">
        <v>186946.86805276806</v>
      </c>
      <c r="D572">
        <v>-186946.86805276806</v>
      </c>
    </row>
    <row r="573" spans="3:4" x14ac:dyDescent="0.45">
      <c r="C573">
        <v>0</v>
      </c>
      <c r="D573">
        <v>566996.22291939519</v>
      </c>
    </row>
    <row r="574" spans="3:4" x14ac:dyDescent="0.45">
      <c r="C574">
        <v>0</v>
      </c>
      <c r="D574">
        <v>318670.06688133674</v>
      </c>
    </row>
    <row r="575" spans="3:4" x14ac:dyDescent="0.45">
      <c r="C575">
        <v>0</v>
      </c>
      <c r="D575">
        <v>839943.17009951384</v>
      </c>
    </row>
    <row r="576" spans="3:4" x14ac:dyDescent="0.45">
      <c r="C576">
        <v>92513.388694897294</v>
      </c>
      <c r="D576">
        <v>-92513.388694897294</v>
      </c>
    </row>
    <row r="577" spans="3:4" x14ac:dyDescent="0.45">
      <c r="C577">
        <v>32302.638174592983</v>
      </c>
      <c r="D577">
        <v>-32302.638174592983</v>
      </c>
    </row>
    <row r="578" spans="3:4" x14ac:dyDescent="0.45">
      <c r="C578">
        <v>0</v>
      </c>
      <c r="D578">
        <v>1650389.2149385293</v>
      </c>
    </row>
    <row r="579" spans="3:4" x14ac:dyDescent="0.45">
      <c r="C579">
        <v>0</v>
      </c>
      <c r="D579">
        <v>206526.73883604724</v>
      </c>
    </row>
    <row r="580" spans="3:4" x14ac:dyDescent="0.45">
      <c r="C580">
        <v>0</v>
      </c>
      <c r="D580">
        <v>635278.48255214561</v>
      </c>
    </row>
    <row r="581" spans="3:4" x14ac:dyDescent="0.45">
      <c r="C581">
        <v>122883.32881807117</v>
      </c>
      <c r="D581">
        <v>-122883.32881807117</v>
      </c>
    </row>
    <row r="582" spans="3:4" x14ac:dyDescent="0.45">
      <c r="C582">
        <v>0</v>
      </c>
      <c r="D582">
        <v>436535.88734337385</v>
      </c>
    </row>
    <row r="583" spans="3:4" x14ac:dyDescent="0.45">
      <c r="C583">
        <v>0</v>
      </c>
      <c r="D583">
        <v>1429193.4741128972</v>
      </c>
    </row>
    <row r="584" spans="3:4" x14ac:dyDescent="0.45">
      <c r="C584">
        <v>169415.08321060915</v>
      </c>
      <c r="D584">
        <v>-169415.08321060915</v>
      </c>
    </row>
    <row r="585" spans="3:4" x14ac:dyDescent="0.45">
      <c r="C585">
        <v>0</v>
      </c>
      <c r="D585">
        <v>275502.96428253176</v>
      </c>
    </row>
    <row r="586" spans="3:4" x14ac:dyDescent="0.45">
      <c r="C586">
        <v>0</v>
      </c>
      <c r="D586">
        <v>712668.73598218826</v>
      </c>
    </row>
    <row r="587" spans="3:4" x14ac:dyDescent="0.45">
      <c r="C587">
        <v>0</v>
      </c>
      <c r="D587">
        <v>262165.35806900705</v>
      </c>
    </row>
    <row r="588" spans="3:4" x14ac:dyDescent="0.45">
      <c r="C588">
        <v>0</v>
      </c>
      <c r="D588">
        <v>3798961.7055538464</v>
      </c>
    </row>
    <row r="589" spans="3:4" x14ac:dyDescent="0.45">
      <c r="C589">
        <v>0</v>
      </c>
      <c r="D589">
        <v>2173556.2713910718</v>
      </c>
    </row>
    <row r="590" spans="3:4" x14ac:dyDescent="0.45">
      <c r="C590">
        <v>0</v>
      </c>
      <c r="D590">
        <v>818962.80989699461</v>
      </c>
    </row>
    <row r="591" spans="3:4" x14ac:dyDescent="0.45">
      <c r="C591">
        <v>0</v>
      </c>
      <c r="D591">
        <v>285808.86490928475</v>
      </c>
    </row>
    <row r="592" spans="3:4" x14ac:dyDescent="0.45">
      <c r="C592">
        <v>0</v>
      </c>
      <c r="D592">
        <v>1127570.7365261181</v>
      </c>
    </row>
    <row r="593" spans="3:4" x14ac:dyDescent="0.45">
      <c r="C593">
        <v>0</v>
      </c>
      <c r="D593">
        <v>266957.24015997606</v>
      </c>
    </row>
    <row r="594" spans="3:4" x14ac:dyDescent="0.45">
      <c r="C594">
        <v>0</v>
      </c>
      <c r="D594">
        <v>572165.06431639008</v>
      </c>
    </row>
    <row r="595" spans="3:4" x14ac:dyDescent="0.45">
      <c r="C595">
        <v>159981.04462066642</v>
      </c>
      <c r="D595">
        <v>-159981.04462066642</v>
      </c>
    </row>
    <row r="596" spans="3:4" x14ac:dyDescent="0.45">
      <c r="C596">
        <v>0</v>
      </c>
      <c r="D596">
        <v>380048.9570398354</v>
      </c>
    </row>
    <row r="597" spans="3:4" x14ac:dyDescent="0.45">
      <c r="C597">
        <v>0</v>
      </c>
      <c r="D597">
        <v>662910.17882211925</v>
      </c>
    </row>
    <row r="598" spans="3:4" x14ac:dyDescent="0.45">
      <c r="C598">
        <v>0</v>
      </c>
      <c r="D598">
        <v>443043.07764644292</v>
      </c>
    </row>
    <row r="599" spans="3:4" x14ac:dyDescent="0.45">
      <c r="C599">
        <v>382209.04168975202</v>
      </c>
      <c r="D599">
        <v>-382209.04168975202</v>
      </c>
    </row>
    <row r="600" spans="3:4" x14ac:dyDescent="0.45">
      <c r="C600">
        <v>0</v>
      </c>
      <c r="D600">
        <v>646881.12233276549</v>
      </c>
    </row>
    <row r="601" spans="3:4" x14ac:dyDescent="0.45">
      <c r="C601">
        <v>0</v>
      </c>
      <c r="D601">
        <v>89688.149882641505</v>
      </c>
    </row>
    <row r="602" spans="3:4" x14ac:dyDescent="0.45">
      <c r="C602">
        <v>0</v>
      </c>
      <c r="D602">
        <v>2569313.2281355904</v>
      </c>
    </row>
    <row r="603" spans="3:4" x14ac:dyDescent="0.45">
      <c r="C603">
        <v>0</v>
      </c>
      <c r="D603">
        <v>461370.42431441904</v>
      </c>
    </row>
    <row r="604" spans="3:4" x14ac:dyDescent="0.45">
      <c r="C604">
        <v>0</v>
      </c>
      <c r="D604">
        <v>1200060.5447688769</v>
      </c>
    </row>
    <row r="605" spans="3:4" x14ac:dyDescent="0.45">
      <c r="C605">
        <v>172723.50633636722</v>
      </c>
      <c r="D605">
        <v>-172723.50633636722</v>
      </c>
    </row>
    <row r="606" spans="3:4" x14ac:dyDescent="0.45">
      <c r="C606">
        <v>137497.65493059682</v>
      </c>
      <c r="D606">
        <v>-137497.65493059682</v>
      </c>
    </row>
    <row r="607" spans="3:4" x14ac:dyDescent="0.45">
      <c r="C607">
        <v>71828.611471333657</v>
      </c>
      <c r="D607">
        <v>-71828.611471333657</v>
      </c>
    </row>
    <row r="608" spans="3:4" x14ac:dyDescent="0.45">
      <c r="C608">
        <v>0</v>
      </c>
      <c r="D608">
        <v>1473094.1414306499</v>
      </c>
    </row>
    <row r="609" spans="3:4" x14ac:dyDescent="0.45">
      <c r="C609">
        <v>0</v>
      </c>
      <c r="D609">
        <v>21110.119428451639</v>
      </c>
    </row>
    <row r="610" spans="3:4" x14ac:dyDescent="0.45">
      <c r="C610">
        <v>0</v>
      </c>
      <c r="D610">
        <v>74.060111987404525</v>
      </c>
    </row>
    <row r="611" spans="3:4" x14ac:dyDescent="0.45">
      <c r="C611">
        <v>292141.72168733575</v>
      </c>
      <c r="D611">
        <v>-292141.72168733575</v>
      </c>
    </row>
    <row r="612" spans="3:4" x14ac:dyDescent="0.45">
      <c r="C612">
        <v>998022.91258681833</v>
      </c>
      <c r="D612">
        <v>-998022.91258681833</v>
      </c>
    </row>
    <row r="613" spans="3:4" x14ac:dyDescent="0.45">
      <c r="C613">
        <v>0</v>
      </c>
      <c r="D613">
        <v>331249.63668226218</v>
      </c>
    </row>
    <row r="614" spans="3:4" x14ac:dyDescent="0.45">
      <c r="C614">
        <v>0</v>
      </c>
      <c r="D614">
        <v>1086596.8724727863</v>
      </c>
    </row>
    <row r="615" spans="3:4" x14ac:dyDescent="0.45">
      <c r="C615">
        <v>0</v>
      </c>
      <c r="D615">
        <v>1772868.1543395217</v>
      </c>
    </row>
    <row r="616" spans="3:4" x14ac:dyDescent="0.45">
      <c r="C616">
        <v>0</v>
      </c>
      <c r="D616">
        <v>1084003.7261684546</v>
      </c>
    </row>
    <row r="617" spans="3:4" x14ac:dyDescent="0.45">
      <c r="C617">
        <v>0</v>
      </c>
      <c r="D617">
        <v>2863.0222056104103</v>
      </c>
    </row>
    <row r="618" spans="3:4" x14ac:dyDescent="0.45">
      <c r="C618">
        <v>0</v>
      </c>
      <c r="D618">
        <v>444256.42758027557</v>
      </c>
    </row>
    <row r="619" spans="3:4" x14ac:dyDescent="0.45">
      <c r="C619">
        <v>0</v>
      </c>
      <c r="D619">
        <v>1439778.0207296284</v>
      </c>
    </row>
    <row r="620" spans="3:4" x14ac:dyDescent="0.45">
      <c r="C620">
        <v>0</v>
      </c>
      <c r="D620">
        <v>147423.92792461102</v>
      </c>
    </row>
    <row r="621" spans="3:4" x14ac:dyDescent="0.45">
      <c r="C621">
        <v>0</v>
      </c>
      <c r="D621">
        <v>999778.82023710967</v>
      </c>
    </row>
    <row r="622" spans="3:4" x14ac:dyDescent="0.45">
      <c r="C622">
        <v>259972.51311413362</v>
      </c>
      <c r="D622">
        <v>-259972.51311413362</v>
      </c>
    </row>
    <row r="623" spans="3:4" x14ac:dyDescent="0.45">
      <c r="C623">
        <v>0</v>
      </c>
      <c r="D623">
        <v>141042.39750604681</v>
      </c>
    </row>
    <row r="624" spans="3:4" x14ac:dyDescent="0.45">
      <c r="C624">
        <v>0</v>
      </c>
      <c r="D624">
        <v>1515801.8429122209</v>
      </c>
    </row>
    <row r="625" spans="3:4" x14ac:dyDescent="0.45">
      <c r="C625">
        <v>0</v>
      </c>
      <c r="D625">
        <v>587914.47176295356</v>
      </c>
    </row>
    <row r="626" spans="3:4" x14ac:dyDescent="0.45">
      <c r="C626">
        <v>0</v>
      </c>
      <c r="D626">
        <v>275460.80344912224</v>
      </c>
    </row>
    <row r="627" spans="3:4" x14ac:dyDescent="0.45">
      <c r="C627">
        <v>439615.02854020963</v>
      </c>
      <c r="D627">
        <v>-439615.02854020963</v>
      </c>
    </row>
    <row r="628" spans="3:4" x14ac:dyDescent="0.45">
      <c r="C628">
        <v>0</v>
      </c>
      <c r="D628">
        <v>1060553.892083812</v>
      </c>
    </row>
    <row r="629" spans="3:4" x14ac:dyDescent="0.45">
      <c r="C629">
        <v>0</v>
      </c>
      <c r="D629">
        <v>326304.93245128822</v>
      </c>
    </row>
    <row r="630" spans="3:4" x14ac:dyDescent="0.45">
      <c r="C630">
        <v>0</v>
      </c>
      <c r="D630">
        <v>285436.29921498569</v>
      </c>
    </row>
    <row r="631" spans="3:4" x14ac:dyDescent="0.45">
      <c r="C631">
        <v>0</v>
      </c>
      <c r="D631">
        <v>3653122.1587124374</v>
      </c>
    </row>
    <row r="632" spans="3:4" x14ac:dyDescent="0.45">
      <c r="C632">
        <v>0</v>
      </c>
      <c r="D632">
        <v>1594561.2764752735</v>
      </c>
    </row>
    <row r="633" spans="3:4" x14ac:dyDescent="0.45">
      <c r="C633">
        <v>0</v>
      </c>
      <c r="D633">
        <v>1015478.7250677997</v>
      </c>
    </row>
    <row r="634" spans="3:4" x14ac:dyDescent="0.45">
      <c r="C634">
        <v>17147.530547173927</v>
      </c>
      <c r="D634">
        <v>-17147.530547173927</v>
      </c>
    </row>
    <row r="635" spans="3:4" x14ac:dyDescent="0.45">
      <c r="C635">
        <v>0</v>
      </c>
      <c r="D635">
        <v>999772.18993859761</v>
      </c>
    </row>
    <row r="636" spans="3:4" x14ac:dyDescent="0.45">
      <c r="C636">
        <v>0</v>
      </c>
      <c r="D636">
        <v>11151.011642957572</v>
      </c>
    </row>
    <row r="637" spans="3:4" x14ac:dyDescent="0.45">
      <c r="C637">
        <v>335971.27238442446</v>
      </c>
      <c r="D637">
        <v>-335971.27238442446</v>
      </c>
    </row>
    <row r="638" spans="3:4" x14ac:dyDescent="0.45">
      <c r="C638">
        <v>39298.377508381382</v>
      </c>
      <c r="D638">
        <v>-39298.377508381382</v>
      </c>
    </row>
    <row r="639" spans="3:4" x14ac:dyDescent="0.45">
      <c r="C639">
        <v>677141.2959294857</v>
      </c>
      <c r="D639">
        <v>-677141.2959294857</v>
      </c>
    </row>
    <row r="640" spans="3:4" x14ac:dyDescent="0.45">
      <c r="C640">
        <v>0</v>
      </c>
      <c r="D640">
        <v>74808.657644917024</v>
      </c>
    </row>
    <row r="641" spans="3:4" x14ac:dyDescent="0.45">
      <c r="C641">
        <v>281455.21132374206</v>
      </c>
      <c r="D641">
        <v>-281455.21132374206</v>
      </c>
    </row>
    <row r="642" spans="3:4" x14ac:dyDescent="0.45">
      <c r="C642">
        <v>236793.14454903523</v>
      </c>
      <c r="D642">
        <v>-236793.14454903523</v>
      </c>
    </row>
    <row r="643" spans="3:4" x14ac:dyDescent="0.45">
      <c r="C643">
        <v>0</v>
      </c>
      <c r="D643">
        <v>1066009.4821998759</v>
      </c>
    </row>
    <row r="644" spans="3:4" x14ac:dyDescent="0.45">
      <c r="C644">
        <v>133156.48466455669</v>
      </c>
      <c r="D644">
        <v>-133156.48466455669</v>
      </c>
    </row>
    <row r="645" spans="3:4" x14ac:dyDescent="0.45">
      <c r="C645">
        <v>0</v>
      </c>
      <c r="D645">
        <v>328332.64330440294</v>
      </c>
    </row>
    <row r="646" spans="3:4" x14ac:dyDescent="0.45">
      <c r="C646">
        <v>0</v>
      </c>
      <c r="D646">
        <v>584907.08098565834</v>
      </c>
    </row>
    <row r="647" spans="3:4" x14ac:dyDescent="0.45">
      <c r="C647">
        <v>0</v>
      </c>
      <c r="D647">
        <v>391338.19781417213</v>
      </c>
    </row>
    <row r="648" spans="3:4" x14ac:dyDescent="0.45">
      <c r="C648">
        <v>0</v>
      </c>
      <c r="D648">
        <v>60232.741386018461</v>
      </c>
    </row>
    <row r="649" spans="3:4" x14ac:dyDescent="0.45">
      <c r="C649">
        <v>0</v>
      </c>
      <c r="D649">
        <v>583779.42441408033</v>
      </c>
    </row>
    <row r="650" spans="3:4" x14ac:dyDescent="0.45">
      <c r="C650">
        <v>341208.08091688738</v>
      </c>
      <c r="D650">
        <v>-341208.08091688738</v>
      </c>
    </row>
    <row r="651" spans="3:4" x14ac:dyDescent="0.45">
      <c r="C651">
        <v>0</v>
      </c>
      <c r="D651">
        <v>448774.19079060666</v>
      </c>
    </row>
    <row r="652" spans="3:4" x14ac:dyDescent="0.45">
      <c r="C652">
        <v>0</v>
      </c>
      <c r="D652">
        <v>160862.81970226974</v>
      </c>
    </row>
    <row r="653" spans="3:4" x14ac:dyDescent="0.45">
      <c r="C653">
        <v>236481.87122746848</v>
      </c>
      <c r="D653">
        <v>-236481.87122746848</v>
      </c>
    </row>
    <row r="654" spans="3:4" x14ac:dyDescent="0.45">
      <c r="C654">
        <v>0</v>
      </c>
      <c r="D654">
        <v>1521227.6018972853</v>
      </c>
    </row>
    <row r="655" spans="3:4" x14ac:dyDescent="0.45">
      <c r="C655">
        <v>234433.90386726114</v>
      </c>
      <c r="D655">
        <v>-234433.90386726114</v>
      </c>
    </row>
    <row r="656" spans="3:4" x14ac:dyDescent="0.45">
      <c r="C656">
        <v>0</v>
      </c>
      <c r="D656">
        <v>567598.04043720337</v>
      </c>
    </row>
    <row r="657" spans="3:4" x14ac:dyDescent="0.45">
      <c r="C657">
        <v>0</v>
      </c>
      <c r="D657">
        <v>1750482.2054632893</v>
      </c>
    </row>
    <row r="658" spans="3:4" x14ac:dyDescent="0.45">
      <c r="C658">
        <v>0</v>
      </c>
      <c r="D658">
        <v>903118.03537325887</v>
      </c>
    </row>
    <row r="659" spans="3:4" x14ac:dyDescent="0.45">
      <c r="C659">
        <v>274297.48093485949</v>
      </c>
      <c r="D659">
        <v>-274297.48093485949</v>
      </c>
    </row>
    <row r="660" spans="3:4" x14ac:dyDescent="0.45">
      <c r="C660">
        <v>491260.55138153129</v>
      </c>
      <c r="D660">
        <v>-491260.55138153129</v>
      </c>
    </row>
    <row r="661" spans="3:4" x14ac:dyDescent="0.45">
      <c r="C661">
        <v>0</v>
      </c>
      <c r="D661">
        <v>2906991.0146470121</v>
      </c>
    </row>
    <row r="662" spans="3:4" x14ac:dyDescent="0.45">
      <c r="C662">
        <v>140627.8431886083</v>
      </c>
      <c r="D662">
        <v>-140627.8431886083</v>
      </c>
    </row>
    <row r="663" spans="3:4" x14ac:dyDescent="0.45">
      <c r="C663">
        <v>0</v>
      </c>
      <c r="D663">
        <v>1497420.5060356501</v>
      </c>
    </row>
    <row r="664" spans="3:4" x14ac:dyDescent="0.45">
      <c r="C664">
        <v>0</v>
      </c>
      <c r="D664">
        <v>614547.0066449279</v>
      </c>
    </row>
    <row r="665" spans="3:4" x14ac:dyDescent="0.45">
      <c r="C665">
        <v>50810.57252140739</v>
      </c>
      <c r="D665">
        <v>-50810.57252140739</v>
      </c>
    </row>
    <row r="666" spans="3:4" x14ac:dyDescent="0.45">
      <c r="C666">
        <v>34699.471184757655</v>
      </c>
      <c r="D666">
        <v>-34699.471184757655</v>
      </c>
    </row>
    <row r="667" spans="3:4" x14ac:dyDescent="0.45">
      <c r="C667">
        <v>0</v>
      </c>
      <c r="D667">
        <v>282075.12045266293</v>
      </c>
    </row>
    <row r="668" spans="3:4" x14ac:dyDescent="0.45">
      <c r="C668">
        <v>0</v>
      </c>
      <c r="D668">
        <v>177308.9074264688</v>
      </c>
    </row>
    <row r="669" spans="3:4" x14ac:dyDescent="0.45">
      <c r="C669">
        <v>13994.009197807638</v>
      </c>
      <c r="D669">
        <v>-13994.009197807638</v>
      </c>
    </row>
    <row r="670" spans="3:4" x14ac:dyDescent="0.45">
      <c r="C670">
        <v>0</v>
      </c>
      <c r="D670">
        <v>1165561.4661509909</v>
      </c>
    </row>
    <row r="671" spans="3:4" x14ac:dyDescent="0.45">
      <c r="C671">
        <v>264634.19506158517</v>
      </c>
      <c r="D671">
        <v>-264634.19506158517</v>
      </c>
    </row>
    <row r="672" spans="3:4" x14ac:dyDescent="0.45">
      <c r="C672">
        <v>135433.65295099083</v>
      </c>
      <c r="D672">
        <v>-135433.65295099083</v>
      </c>
    </row>
    <row r="673" spans="3:4" x14ac:dyDescent="0.45">
      <c r="C673">
        <v>0</v>
      </c>
      <c r="D673">
        <v>1004104.05664806</v>
      </c>
    </row>
    <row r="674" spans="3:4" x14ac:dyDescent="0.45">
      <c r="C674">
        <v>0</v>
      </c>
      <c r="D674">
        <v>196968.76332677086</v>
      </c>
    </row>
    <row r="675" spans="3:4" x14ac:dyDescent="0.45">
      <c r="C675">
        <v>0</v>
      </c>
      <c r="D675">
        <v>2210769.5782600124</v>
      </c>
    </row>
    <row r="676" spans="3:4" x14ac:dyDescent="0.45">
      <c r="C676">
        <v>269406.65751477913</v>
      </c>
      <c r="D676">
        <v>-269406.65751477913</v>
      </c>
    </row>
    <row r="677" spans="3:4" x14ac:dyDescent="0.45">
      <c r="C677">
        <v>44821.94994377438</v>
      </c>
      <c r="D677">
        <v>-44821.94994377438</v>
      </c>
    </row>
    <row r="678" spans="3:4" x14ac:dyDescent="0.45">
      <c r="C678">
        <v>32835.409191848827</v>
      </c>
      <c r="D678">
        <v>-32835.409191848827</v>
      </c>
    </row>
    <row r="679" spans="3:4" x14ac:dyDescent="0.45">
      <c r="C679">
        <v>124808.69412879611</v>
      </c>
      <c r="D679">
        <v>-124808.69412879611</v>
      </c>
    </row>
    <row r="680" spans="3:4" x14ac:dyDescent="0.45">
      <c r="C680">
        <v>0</v>
      </c>
      <c r="D680">
        <v>834017.86249614856</v>
      </c>
    </row>
    <row r="681" spans="3:4" x14ac:dyDescent="0.45">
      <c r="C681">
        <v>0</v>
      </c>
      <c r="D681">
        <v>482236.52306319796</v>
      </c>
    </row>
    <row r="682" spans="3:4" x14ac:dyDescent="0.45">
      <c r="C682">
        <v>0</v>
      </c>
      <c r="D682">
        <v>16311.701560980175</v>
      </c>
    </row>
    <row r="683" spans="3:4" x14ac:dyDescent="0.45">
      <c r="C683">
        <v>140270.88764530048</v>
      </c>
      <c r="D683">
        <v>-140270.88764530048</v>
      </c>
    </row>
    <row r="684" spans="3:4" x14ac:dyDescent="0.45">
      <c r="C684">
        <v>0</v>
      </c>
      <c r="D684">
        <v>3601343.9035482155</v>
      </c>
    </row>
    <row r="685" spans="3:4" x14ac:dyDescent="0.45">
      <c r="C685">
        <v>0</v>
      </c>
      <c r="D685">
        <v>220664.21429214417</v>
      </c>
    </row>
    <row r="686" spans="3:4" x14ac:dyDescent="0.45">
      <c r="C686">
        <v>131079.53116849158</v>
      </c>
      <c r="D686">
        <v>-131079.53116849158</v>
      </c>
    </row>
    <row r="687" spans="3:4" x14ac:dyDescent="0.45">
      <c r="C687">
        <v>0</v>
      </c>
      <c r="D687">
        <v>27546.603464246495</v>
      </c>
    </row>
    <row r="688" spans="3:4" x14ac:dyDescent="0.45">
      <c r="C688">
        <v>0</v>
      </c>
      <c r="D688">
        <v>302501.81321352115</v>
      </c>
    </row>
    <row r="689" spans="3:4" x14ac:dyDescent="0.45">
      <c r="C689">
        <v>263483.90348351886</v>
      </c>
      <c r="D689">
        <v>-263483.90348351886</v>
      </c>
    </row>
    <row r="690" spans="3:4" x14ac:dyDescent="0.45">
      <c r="C690">
        <v>296011.6146534736</v>
      </c>
      <c r="D690">
        <v>-296011.6146534736</v>
      </c>
    </row>
    <row r="691" spans="3:4" x14ac:dyDescent="0.45">
      <c r="C691">
        <v>0</v>
      </c>
      <c r="D691">
        <v>1900232.2045537555</v>
      </c>
    </row>
    <row r="692" spans="3:4" x14ac:dyDescent="0.45">
      <c r="C692">
        <v>22510.226630749879</v>
      </c>
      <c r="D692">
        <v>-22510.226630749879</v>
      </c>
    </row>
    <row r="693" spans="3:4" x14ac:dyDescent="0.45">
      <c r="C693">
        <v>0</v>
      </c>
      <c r="D693">
        <v>61229.447226912365</v>
      </c>
    </row>
    <row r="694" spans="3:4" x14ac:dyDescent="0.45">
      <c r="C694">
        <v>375861.62626878591</v>
      </c>
      <c r="D694">
        <v>-375861.62626878591</v>
      </c>
    </row>
    <row r="695" spans="3:4" x14ac:dyDescent="0.45">
      <c r="C695">
        <v>0</v>
      </c>
      <c r="D695">
        <v>566771.32975128549</v>
      </c>
    </row>
    <row r="696" spans="3:4" x14ac:dyDescent="0.45">
      <c r="C696">
        <v>0</v>
      </c>
      <c r="D696">
        <v>89711.08541055466</v>
      </c>
    </row>
    <row r="697" spans="3:4" x14ac:dyDescent="0.45">
      <c r="C697">
        <v>0</v>
      </c>
      <c r="D697">
        <v>154879.77924932679</v>
      </c>
    </row>
    <row r="698" spans="3:4" x14ac:dyDescent="0.45">
      <c r="C698">
        <v>0</v>
      </c>
      <c r="D698">
        <v>209594.60968067474</v>
      </c>
    </row>
    <row r="699" spans="3:4" x14ac:dyDescent="0.45">
      <c r="C699">
        <v>0</v>
      </c>
      <c r="D699">
        <v>1076371.886070567</v>
      </c>
    </row>
    <row r="700" spans="3:4" x14ac:dyDescent="0.45">
      <c r="C700">
        <v>0</v>
      </c>
      <c r="D700">
        <v>188905.93734855624</v>
      </c>
    </row>
    <row r="701" spans="3:4" x14ac:dyDescent="0.45">
      <c r="C701">
        <v>206031.95879165467</v>
      </c>
      <c r="D701">
        <v>-206031.95879165467</v>
      </c>
    </row>
    <row r="702" spans="3:4" x14ac:dyDescent="0.45">
      <c r="C702">
        <v>0</v>
      </c>
      <c r="D702">
        <v>338426.78547329269</v>
      </c>
    </row>
    <row r="703" spans="3:4" x14ac:dyDescent="0.45">
      <c r="C703">
        <v>0</v>
      </c>
      <c r="D703">
        <v>327184.41700919718</v>
      </c>
    </row>
    <row r="704" spans="3:4" x14ac:dyDescent="0.45">
      <c r="C704">
        <v>18246.910145875183</v>
      </c>
      <c r="D704">
        <v>-18246.910145875183</v>
      </c>
    </row>
    <row r="705" spans="3:4" x14ac:dyDescent="0.45">
      <c r="C705">
        <v>0</v>
      </c>
      <c r="D705">
        <v>3329496.5237717088</v>
      </c>
    </row>
    <row r="706" spans="3:4" x14ac:dyDescent="0.45">
      <c r="C706">
        <v>0</v>
      </c>
      <c r="D706">
        <v>48789.320079744561</v>
      </c>
    </row>
    <row r="707" spans="3:4" x14ac:dyDescent="0.45">
      <c r="C707">
        <v>0</v>
      </c>
      <c r="D707">
        <v>179555.70580062293</v>
      </c>
    </row>
    <row r="708" spans="3:4" x14ac:dyDescent="0.45">
      <c r="C708">
        <v>0</v>
      </c>
      <c r="D708">
        <v>93021.578466129722</v>
      </c>
    </row>
    <row r="709" spans="3:4" x14ac:dyDescent="0.45">
      <c r="C709">
        <v>0</v>
      </c>
      <c r="D709">
        <v>3756897.3885912523</v>
      </c>
    </row>
    <row r="710" spans="3:4" x14ac:dyDescent="0.45">
      <c r="C710">
        <v>152792.98777016881</v>
      </c>
      <c r="D710">
        <v>-152792.98777016881</v>
      </c>
    </row>
    <row r="711" spans="3:4" x14ac:dyDescent="0.45">
      <c r="C711">
        <v>0</v>
      </c>
      <c r="D711">
        <v>248111.69882603805</v>
      </c>
    </row>
    <row r="712" spans="3:4" x14ac:dyDescent="0.45">
      <c r="C712">
        <v>59087.502802023664</v>
      </c>
      <c r="D712">
        <v>-59087.502802023664</v>
      </c>
    </row>
    <row r="713" spans="3:4" x14ac:dyDescent="0.45">
      <c r="C713">
        <v>171446.04373179236</v>
      </c>
      <c r="D713">
        <v>-171446.04373179236</v>
      </c>
    </row>
    <row r="714" spans="3:4" x14ac:dyDescent="0.45">
      <c r="C714">
        <v>0</v>
      </c>
      <c r="D714">
        <v>1197512.1121778823</v>
      </c>
    </row>
    <row r="715" spans="3:4" x14ac:dyDescent="0.45">
      <c r="C715">
        <v>0</v>
      </c>
      <c r="D715">
        <v>121782.45446386421</v>
      </c>
    </row>
    <row r="716" spans="3:4" x14ac:dyDescent="0.45">
      <c r="C716">
        <v>0</v>
      </c>
      <c r="D716">
        <v>50909.050031584105</v>
      </c>
    </row>
    <row r="717" spans="3:4" x14ac:dyDescent="0.45">
      <c r="C717">
        <v>221636.11623248155</v>
      </c>
      <c r="D717">
        <v>-221636.11623248155</v>
      </c>
    </row>
    <row r="718" spans="3:4" x14ac:dyDescent="0.45">
      <c r="C718">
        <v>0</v>
      </c>
      <c r="D718">
        <v>923108.23772122082</v>
      </c>
    </row>
    <row r="719" spans="3:4" x14ac:dyDescent="0.45">
      <c r="C719">
        <v>0</v>
      </c>
      <c r="D719">
        <v>207872.94644337031</v>
      </c>
    </row>
    <row r="720" spans="3:4" x14ac:dyDescent="0.45">
      <c r="C720">
        <v>0</v>
      </c>
      <c r="D720">
        <v>386619.13843875239</v>
      </c>
    </row>
    <row r="721" spans="3:4" x14ac:dyDescent="0.45">
      <c r="C721">
        <v>0</v>
      </c>
      <c r="D721">
        <v>397197.55318900221</v>
      </c>
    </row>
    <row r="722" spans="3:4" x14ac:dyDescent="0.45">
      <c r="C722">
        <v>0</v>
      </c>
      <c r="D722">
        <v>2056175.0349097177</v>
      </c>
    </row>
    <row r="723" spans="3:4" x14ac:dyDescent="0.45">
      <c r="C723">
        <v>0</v>
      </c>
      <c r="D723">
        <v>189400.78725898429</v>
      </c>
    </row>
    <row r="724" spans="3:4" x14ac:dyDescent="0.45">
      <c r="C724">
        <v>0</v>
      </c>
      <c r="D724">
        <v>133286.77040345559</v>
      </c>
    </row>
    <row r="725" spans="3:4" x14ac:dyDescent="0.45">
      <c r="C725">
        <v>0</v>
      </c>
      <c r="D725">
        <v>117775.6150538146</v>
      </c>
    </row>
    <row r="726" spans="3:4" x14ac:dyDescent="0.45">
      <c r="C726">
        <v>0</v>
      </c>
      <c r="D726">
        <v>1919941.7820348013</v>
      </c>
    </row>
    <row r="727" spans="3:4" x14ac:dyDescent="0.45">
      <c r="C727">
        <v>0</v>
      </c>
      <c r="D727">
        <v>1182458.1179235694</v>
      </c>
    </row>
    <row r="728" spans="3:4" x14ac:dyDescent="0.45">
      <c r="C728">
        <v>0</v>
      </c>
      <c r="D728">
        <v>809242.94977433281</v>
      </c>
    </row>
    <row r="729" spans="3:4" x14ac:dyDescent="0.45">
      <c r="C729">
        <v>626396.06062752532</v>
      </c>
      <c r="D729">
        <v>-626396.06062752532</v>
      </c>
    </row>
    <row r="730" spans="3:4" x14ac:dyDescent="0.45">
      <c r="C730">
        <v>561818.12235198752</v>
      </c>
      <c r="D730">
        <v>-561818.12235198752</v>
      </c>
    </row>
    <row r="731" spans="3:4" x14ac:dyDescent="0.45">
      <c r="C731">
        <v>0</v>
      </c>
      <c r="D731">
        <v>203094.14001194597</v>
      </c>
    </row>
    <row r="732" spans="3:4" x14ac:dyDescent="0.45">
      <c r="C732">
        <v>0</v>
      </c>
      <c r="D732">
        <v>3136513.1506459708</v>
      </c>
    </row>
    <row r="733" spans="3:4" x14ac:dyDescent="0.45">
      <c r="C733">
        <v>245516.56286920339</v>
      </c>
      <c r="D733">
        <v>-245516.56286920339</v>
      </c>
    </row>
    <row r="734" spans="3:4" x14ac:dyDescent="0.45">
      <c r="C734">
        <v>0</v>
      </c>
      <c r="D734">
        <v>38837.213860352989</v>
      </c>
    </row>
    <row r="735" spans="3:4" x14ac:dyDescent="0.45">
      <c r="C735">
        <v>0</v>
      </c>
      <c r="D735">
        <v>730448.83925057878</v>
      </c>
    </row>
    <row r="736" spans="3:4" x14ac:dyDescent="0.45">
      <c r="C736">
        <v>0</v>
      </c>
      <c r="D736">
        <v>948152.05666354811</v>
      </c>
    </row>
    <row r="737" spans="3:4" x14ac:dyDescent="0.45">
      <c r="C737">
        <v>0</v>
      </c>
      <c r="D737">
        <v>1168938.8072478536</v>
      </c>
    </row>
    <row r="738" spans="3:4" x14ac:dyDescent="0.45">
      <c r="C738">
        <v>0</v>
      </c>
      <c r="D738">
        <v>182737.5116734358</v>
      </c>
    </row>
    <row r="739" spans="3:4" x14ac:dyDescent="0.45">
      <c r="C739">
        <v>0</v>
      </c>
      <c r="D739">
        <v>607797.86669243965</v>
      </c>
    </row>
    <row r="740" spans="3:4" x14ac:dyDescent="0.45">
      <c r="C740">
        <v>0</v>
      </c>
      <c r="D740">
        <v>791101.91361943237</v>
      </c>
    </row>
    <row r="741" spans="3:4" x14ac:dyDescent="0.45">
      <c r="C741">
        <v>0</v>
      </c>
      <c r="D741">
        <v>1420796.4650736731</v>
      </c>
    </row>
    <row r="742" spans="3:4" x14ac:dyDescent="0.45">
      <c r="C742">
        <v>86454.917925752467</v>
      </c>
      <c r="D742">
        <v>-86454.917925752467</v>
      </c>
    </row>
    <row r="743" spans="3:4" x14ac:dyDescent="0.45">
      <c r="C743">
        <v>0</v>
      </c>
      <c r="D743">
        <v>272731.64517294802</v>
      </c>
    </row>
    <row r="744" spans="3:4" x14ac:dyDescent="0.45">
      <c r="C744">
        <v>700742.98551404616</v>
      </c>
      <c r="D744">
        <v>-700742.98551404616</v>
      </c>
    </row>
    <row r="745" spans="3:4" x14ac:dyDescent="0.45">
      <c r="C745">
        <v>0</v>
      </c>
      <c r="D745">
        <v>2168139.2959419275</v>
      </c>
    </row>
    <row r="746" spans="3:4" x14ac:dyDescent="0.45">
      <c r="C746">
        <v>12368.107681122376</v>
      </c>
      <c r="D746">
        <v>-12368.107681122376</v>
      </c>
    </row>
    <row r="747" spans="3:4" x14ac:dyDescent="0.45">
      <c r="C747">
        <v>0</v>
      </c>
      <c r="D747">
        <v>162310.38048337563</v>
      </c>
    </row>
    <row r="748" spans="3:4" x14ac:dyDescent="0.45">
      <c r="C748">
        <v>234398.34871216887</v>
      </c>
      <c r="D748">
        <v>-234398.34871216887</v>
      </c>
    </row>
    <row r="749" spans="3:4" x14ac:dyDescent="0.45">
      <c r="C749">
        <v>0</v>
      </c>
      <c r="D749">
        <v>387180.5738827663</v>
      </c>
    </row>
    <row r="750" spans="3:4" x14ac:dyDescent="0.45">
      <c r="C750">
        <v>0</v>
      </c>
      <c r="D750">
        <v>429344.90509670065</v>
      </c>
    </row>
    <row r="751" spans="3:4" x14ac:dyDescent="0.45">
      <c r="C751">
        <v>0</v>
      </c>
      <c r="D751">
        <v>630.83162201789673</v>
      </c>
    </row>
    <row r="752" spans="3:4" x14ac:dyDescent="0.45">
      <c r="C752">
        <v>0</v>
      </c>
      <c r="D752">
        <v>691802.59407224599</v>
      </c>
    </row>
    <row r="753" spans="3:4" x14ac:dyDescent="0.45">
      <c r="C753">
        <v>0</v>
      </c>
      <c r="D753">
        <v>1636831.3961575152</v>
      </c>
    </row>
    <row r="754" spans="3:4" x14ac:dyDescent="0.45">
      <c r="C754">
        <v>232534.99323900766</v>
      </c>
      <c r="D754">
        <v>-232534.99323900766</v>
      </c>
    </row>
    <row r="755" spans="3:4" x14ac:dyDescent="0.45">
      <c r="C755">
        <v>0</v>
      </c>
      <c r="D755">
        <v>619975.43860966736</v>
      </c>
    </row>
    <row r="756" spans="3:4" x14ac:dyDescent="0.45">
      <c r="C756">
        <v>0</v>
      </c>
      <c r="D756">
        <v>338885.15115465224</v>
      </c>
    </row>
    <row r="757" spans="3:4" x14ac:dyDescent="0.45">
      <c r="C757">
        <v>0</v>
      </c>
      <c r="D757">
        <v>322481.21662938269</v>
      </c>
    </row>
    <row r="758" spans="3:4" x14ac:dyDescent="0.45">
      <c r="C758">
        <v>94960.412020500749</v>
      </c>
      <c r="D758">
        <v>-94960.412020500749</v>
      </c>
    </row>
    <row r="759" spans="3:4" x14ac:dyDescent="0.45">
      <c r="C759">
        <v>0</v>
      </c>
      <c r="D759">
        <v>2013342.6899238736</v>
      </c>
    </row>
    <row r="760" spans="3:4" x14ac:dyDescent="0.45">
      <c r="C760">
        <v>0</v>
      </c>
      <c r="D760">
        <v>1946273.3195071528</v>
      </c>
    </row>
    <row r="761" spans="3:4" x14ac:dyDescent="0.45">
      <c r="C761">
        <v>0</v>
      </c>
      <c r="D761">
        <v>339364.4425153425</v>
      </c>
    </row>
    <row r="762" spans="3:4" x14ac:dyDescent="0.45">
      <c r="C762">
        <v>0</v>
      </c>
      <c r="D762">
        <v>192436.77311311872</v>
      </c>
    </row>
    <row r="763" spans="3:4" x14ac:dyDescent="0.45">
      <c r="C763">
        <v>0</v>
      </c>
      <c r="D763">
        <v>3901.0599377091276</v>
      </c>
    </row>
    <row r="764" spans="3:4" x14ac:dyDescent="0.45">
      <c r="C764">
        <v>0</v>
      </c>
      <c r="D764">
        <v>127234.76643721084</v>
      </c>
    </row>
    <row r="765" spans="3:4" x14ac:dyDescent="0.45">
      <c r="C765">
        <v>0</v>
      </c>
      <c r="D765">
        <v>221091.96251959261</v>
      </c>
    </row>
    <row r="766" spans="3:4" x14ac:dyDescent="0.45">
      <c r="C766">
        <v>0</v>
      </c>
      <c r="D766">
        <v>502041.55628966517</v>
      </c>
    </row>
    <row r="767" spans="3:4" x14ac:dyDescent="0.45">
      <c r="C767">
        <v>0</v>
      </c>
      <c r="D767">
        <v>333710.34313184</v>
      </c>
    </row>
    <row r="768" spans="3:4" x14ac:dyDescent="0.45">
      <c r="C768">
        <v>0</v>
      </c>
      <c r="D768">
        <v>1228424.5398428352</v>
      </c>
    </row>
    <row r="769" spans="3:4" x14ac:dyDescent="0.45">
      <c r="C769">
        <v>0</v>
      </c>
      <c r="D769">
        <v>1197437.1318486878</v>
      </c>
    </row>
    <row r="770" spans="3:4" x14ac:dyDescent="0.45">
      <c r="C770">
        <v>0</v>
      </c>
      <c r="D770">
        <v>682549.27701340662</v>
      </c>
    </row>
    <row r="771" spans="3:4" x14ac:dyDescent="0.45">
      <c r="C771">
        <v>0</v>
      </c>
      <c r="D771">
        <v>455610.91225270741</v>
      </c>
    </row>
    <row r="772" spans="3:4" x14ac:dyDescent="0.45">
      <c r="C772">
        <v>0</v>
      </c>
      <c r="D772">
        <v>492050.52802438196</v>
      </c>
    </row>
    <row r="773" spans="3:4" x14ac:dyDescent="0.45">
      <c r="C773">
        <v>0</v>
      </c>
      <c r="D773">
        <v>223424.95933440351</v>
      </c>
    </row>
    <row r="774" spans="3:4" x14ac:dyDescent="0.45">
      <c r="C774">
        <v>0</v>
      </c>
      <c r="D774">
        <v>715477.96231398941</v>
      </c>
    </row>
    <row r="775" spans="3:4" x14ac:dyDescent="0.45">
      <c r="C775">
        <v>0</v>
      </c>
      <c r="D775">
        <v>714906.12835781672</v>
      </c>
    </row>
    <row r="776" spans="3:4" x14ac:dyDescent="0.45">
      <c r="C776">
        <v>0</v>
      </c>
      <c r="D776">
        <v>622731.23380104941</v>
      </c>
    </row>
    <row r="777" spans="3:4" x14ac:dyDescent="0.45">
      <c r="C777">
        <v>0</v>
      </c>
      <c r="D777">
        <v>75881.193062665639</v>
      </c>
    </row>
    <row r="778" spans="3:4" x14ac:dyDescent="0.45">
      <c r="C778">
        <v>0</v>
      </c>
      <c r="D778">
        <v>837404.86251235288</v>
      </c>
    </row>
    <row r="779" spans="3:4" x14ac:dyDescent="0.45">
      <c r="C779">
        <v>0</v>
      </c>
      <c r="D779">
        <v>365170.69440880301</v>
      </c>
    </row>
    <row r="780" spans="3:4" x14ac:dyDescent="0.45">
      <c r="C780">
        <v>0</v>
      </c>
      <c r="D780">
        <v>641388.13871189323</v>
      </c>
    </row>
    <row r="781" spans="3:4" x14ac:dyDescent="0.45">
      <c r="C781">
        <v>0</v>
      </c>
      <c r="D781">
        <v>598012.61603654618</v>
      </c>
    </row>
    <row r="782" spans="3:4" x14ac:dyDescent="0.45">
      <c r="C782">
        <v>0</v>
      </c>
      <c r="D782">
        <v>541232.46302589471</v>
      </c>
    </row>
    <row r="783" spans="3:4" x14ac:dyDescent="0.45">
      <c r="C783">
        <v>0</v>
      </c>
      <c r="D783">
        <v>1177126.0630718074</v>
      </c>
    </row>
    <row r="784" spans="3:4" x14ac:dyDescent="0.45">
      <c r="C784">
        <v>0</v>
      </c>
      <c r="D784">
        <v>2229699.6262864452</v>
      </c>
    </row>
    <row r="785" spans="3:4" x14ac:dyDescent="0.45">
      <c r="C785">
        <v>0</v>
      </c>
      <c r="D785">
        <v>163707.79277375806</v>
      </c>
    </row>
    <row r="786" spans="3:4" x14ac:dyDescent="0.45">
      <c r="C786">
        <v>0</v>
      </c>
      <c r="D786">
        <v>122564.13846688345</v>
      </c>
    </row>
    <row r="787" spans="3:4" x14ac:dyDescent="0.45">
      <c r="C787">
        <v>877825.75441366085</v>
      </c>
      <c r="D787">
        <v>-877825.75441366085</v>
      </c>
    </row>
    <row r="788" spans="3:4" x14ac:dyDescent="0.45">
      <c r="C788">
        <v>0</v>
      </c>
      <c r="D788">
        <v>445446.7324752612</v>
      </c>
    </row>
    <row r="789" spans="3:4" x14ac:dyDescent="0.45">
      <c r="C789">
        <v>0</v>
      </c>
      <c r="D789">
        <v>516285.01232091594</v>
      </c>
    </row>
    <row r="790" spans="3:4" x14ac:dyDescent="0.45">
      <c r="C790">
        <v>101497.91994974285</v>
      </c>
      <c r="D790">
        <v>-101497.91994974285</v>
      </c>
    </row>
    <row r="791" spans="3:4" x14ac:dyDescent="0.45">
      <c r="C791">
        <v>0</v>
      </c>
      <c r="D791">
        <v>828656.53541089012</v>
      </c>
    </row>
    <row r="792" spans="3:4" x14ac:dyDescent="0.45">
      <c r="C792">
        <v>0</v>
      </c>
      <c r="D792">
        <v>508731.17449305439</v>
      </c>
    </row>
    <row r="793" spans="3:4" x14ac:dyDescent="0.45">
      <c r="C793">
        <v>0</v>
      </c>
      <c r="D793">
        <v>282176.84973669471</v>
      </c>
    </row>
    <row r="794" spans="3:4" x14ac:dyDescent="0.45">
      <c r="C794">
        <v>0</v>
      </c>
      <c r="D794">
        <v>469837.98810415319</v>
      </c>
    </row>
    <row r="795" spans="3:4" x14ac:dyDescent="0.45">
      <c r="C795">
        <v>0</v>
      </c>
      <c r="D795">
        <v>658572.34840251319</v>
      </c>
    </row>
    <row r="796" spans="3:4" x14ac:dyDescent="0.45">
      <c r="C796">
        <v>0</v>
      </c>
      <c r="D796">
        <v>118615.26815950894</v>
      </c>
    </row>
    <row r="797" spans="3:4" x14ac:dyDescent="0.45">
      <c r="C797">
        <v>0</v>
      </c>
      <c r="D797">
        <v>165084.03669300582</v>
      </c>
    </row>
    <row r="798" spans="3:4" x14ac:dyDescent="0.45">
      <c r="C798">
        <v>0</v>
      </c>
      <c r="D798">
        <v>1795713.5771302795</v>
      </c>
    </row>
    <row r="799" spans="3:4" x14ac:dyDescent="0.45">
      <c r="C799">
        <v>229270.89536843845</v>
      </c>
      <c r="D799">
        <v>-229270.89536843845</v>
      </c>
    </row>
    <row r="800" spans="3:4" x14ac:dyDescent="0.45">
      <c r="C800">
        <v>345215.49540454615</v>
      </c>
      <c r="D800">
        <v>-345215.49540454615</v>
      </c>
    </row>
    <row r="801" spans="3:4" x14ac:dyDescent="0.45">
      <c r="C801">
        <v>0</v>
      </c>
      <c r="D801">
        <v>96066.653908281936</v>
      </c>
    </row>
    <row r="802" spans="3:4" x14ac:dyDescent="0.45">
      <c r="C802">
        <v>0</v>
      </c>
      <c r="D802">
        <v>641507.29712800565</v>
      </c>
    </row>
    <row r="803" spans="3:4" x14ac:dyDescent="0.45">
      <c r="C803">
        <v>0</v>
      </c>
      <c r="D803">
        <v>1231270.3274893276</v>
      </c>
    </row>
    <row r="804" spans="3:4" x14ac:dyDescent="0.45">
      <c r="C804">
        <v>0</v>
      </c>
      <c r="D804">
        <v>59617.754015373997</v>
      </c>
    </row>
    <row r="805" spans="3:4" x14ac:dyDescent="0.45">
      <c r="C805">
        <v>0</v>
      </c>
      <c r="D805">
        <v>332311.09701628331</v>
      </c>
    </row>
    <row r="806" spans="3:4" x14ac:dyDescent="0.45">
      <c r="C806">
        <v>0</v>
      </c>
      <c r="D806">
        <v>368410.72084254585</v>
      </c>
    </row>
    <row r="807" spans="3:4" x14ac:dyDescent="0.45">
      <c r="C807">
        <v>0</v>
      </c>
      <c r="D807">
        <v>44042.328277752269</v>
      </c>
    </row>
    <row r="808" spans="3:4" x14ac:dyDescent="0.45">
      <c r="C808">
        <v>0</v>
      </c>
      <c r="D808">
        <v>222332.07799728517</v>
      </c>
    </row>
    <row r="809" spans="3:4" x14ac:dyDescent="0.45">
      <c r="C809">
        <v>0</v>
      </c>
      <c r="D809">
        <v>309362.78720284114</v>
      </c>
    </row>
    <row r="810" spans="3:4" x14ac:dyDescent="0.45">
      <c r="C810">
        <v>44498.425173763186</v>
      </c>
      <c r="D810">
        <v>-44498.425173763186</v>
      </c>
    </row>
    <row r="811" spans="3:4" x14ac:dyDescent="0.45">
      <c r="C811">
        <v>0</v>
      </c>
      <c r="D811">
        <v>931371.25029313844</v>
      </c>
    </row>
    <row r="812" spans="3:4" x14ac:dyDescent="0.45">
      <c r="C812">
        <v>0</v>
      </c>
      <c r="D812">
        <v>1504661.1858688337</v>
      </c>
    </row>
    <row r="813" spans="3:4" x14ac:dyDescent="0.45">
      <c r="C813">
        <v>0</v>
      </c>
      <c r="D813">
        <v>612999.80222513154</v>
      </c>
    </row>
    <row r="814" spans="3:4" x14ac:dyDescent="0.45">
      <c r="C814">
        <v>90167.986693683895</v>
      </c>
      <c r="D814">
        <v>-90167.986693683895</v>
      </c>
    </row>
    <row r="815" spans="3:4" x14ac:dyDescent="0.45">
      <c r="C815">
        <v>0</v>
      </c>
      <c r="D815">
        <v>5690990.3288099654</v>
      </c>
    </row>
    <row r="816" spans="3:4" x14ac:dyDescent="0.45">
      <c r="C816">
        <v>0</v>
      </c>
      <c r="D816">
        <v>74046.109748921939</v>
      </c>
    </row>
    <row r="817" spans="3:4" x14ac:dyDescent="0.45">
      <c r="C817">
        <v>0</v>
      </c>
      <c r="D817">
        <v>772811.5711609323</v>
      </c>
    </row>
    <row r="818" spans="3:4" x14ac:dyDescent="0.45">
      <c r="C818">
        <v>0</v>
      </c>
      <c r="D818">
        <v>1085167.975166915</v>
      </c>
    </row>
    <row r="819" spans="3:4" x14ac:dyDescent="0.45">
      <c r="C819">
        <v>0</v>
      </c>
      <c r="D819">
        <v>927925.28515284229</v>
      </c>
    </row>
    <row r="820" spans="3:4" x14ac:dyDescent="0.45">
      <c r="C820">
        <v>279045.85740954755</v>
      </c>
      <c r="D820">
        <v>-279045.85740954755</v>
      </c>
    </row>
    <row r="821" spans="3:4" x14ac:dyDescent="0.45">
      <c r="C821">
        <v>251971.98748718388</v>
      </c>
      <c r="D821">
        <v>-251971.98748718388</v>
      </c>
    </row>
    <row r="822" spans="3:4" x14ac:dyDescent="0.45">
      <c r="C822">
        <v>86629.373074894072</v>
      </c>
      <c r="D822">
        <v>-86629.373074894072</v>
      </c>
    </row>
    <row r="823" spans="3:4" x14ac:dyDescent="0.45">
      <c r="C823">
        <v>0</v>
      </c>
      <c r="D823">
        <v>1138943.7568461534</v>
      </c>
    </row>
    <row r="824" spans="3:4" x14ac:dyDescent="0.45">
      <c r="C824">
        <v>0</v>
      </c>
      <c r="D824">
        <v>1251693.1804953995</v>
      </c>
    </row>
    <row r="825" spans="3:4" x14ac:dyDescent="0.45">
      <c r="C825">
        <v>0</v>
      </c>
      <c r="D825">
        <v>1183253.3100579407</v>
      </c>
    </row>
    <row r="826" spans="3:4" x14ac:dyDescent="0.45">
      <c r="C826">
        <v>0</v>
      </c>
      <c r="D826">
        <v>209813.34079625551</v>
      </c>
    </row>
    <row r="827" spans="3:4" x14ac:dyDescent="0.45">
      <c r="C827">
        <v>113674.12819672748</v>
      </c>
      <c r="D827">
        <v>-113674.12819672748</v>
      </c>
    </row>
    <row r="828" spans="3:4" x14ac:dyDescent="0.45">
      <c r="C828">
        <v>0</v>
      </c>
      <c r="D828">
        <v>2830120.4687123131</v>
      </c>
    </row>
    <row r="829" spans="3:4" x14ac:dyDescent="0.45">
      <c r="C829">
        <v>102701.84906813945</v>
      </c>
      <c r="D829">
        <v>-102701.84906813945</v>
      </c>
    </row>
    <row r="830" spans="3:4" x14ac:dyDescent="0.45">
      <c r="C830">
        <v>258714.85324895044</v>
      </c>
      <c r="D830">
        <v>-258714.85324895044</v>
      </c>
    </row>
    <row r="831" spans="3:4" x14ac:dyDescent="0.45">
      <c r="C831">
        <v>0</v>
      </c>
      <c r="D831">
        <v>760386.45445167902</v>
      </c>
    </row>
    <row r="832" spans="3:4" x14ac:dyDescent="0.45">
      <c r="C832">
        <v>0</v>
      </c>
      <c r="D832">
        <v>994191.60881638085</v>
      </c>
    </row>
    <row r="833" spans="3:4" x14ac:dyDescent="0.45">
      <c r="C833">
        <v>0</v>
      </c>
      <c r="D833">
        <v>2439641.6493779165</v>
      </c>
    </row>
    <row r="834" spans="3:4" x14ac:dyDescent="0.45">
      <c r="C834">
        <v>0</v>
      </c>
      <c r="D834">
        <v>674965.83394912281</v>
      </c>
    </row>
    <row r="835" spans="3:4" x14ac:dyDescent="0.45">
      <c r="C835">
        <v>239157.29305781226</v>
      </c>
      <c r="D835">
        <v>-239157.29305781226</v>
      </c>
    </row>
    <row r="836" spans="3:4" x14ac:dyDescent="0.45">
      <c r="C836">
        <v>171185.20698432671</v>
      </c>
      <c r="D836">
        <v>-171185.20698432671</v>
      </c>
    </row>
    <row r="837" spans="3:4" x14ac:dyDescent="0.45">
      <c r="C837">
        <v>215369.42677302868</v>
      </c>
      <c r="D837">
        <v>-215369.42677302868</v>
      </c>
    </row>
    <row r="838" spans="3:4" x14ac:dyDescent="0.45">
      <c r="C838">
        <v>0</v>
      </c>
      <c r="D838">
        <v>2510760.5385644459</v>
      </c>
    </row>
    <row r="839" spans="3:4" x14ac:dyDescent="0.45">
      <c r="C839">
        <v>347952.72886134603</v>
      </c>
      <c r="D839">
        <v>-347952.72886134603</v>
      </c>
    </row>
    <row r="840" spans="3:4" x14ac:dyDescent="0.45">
      <c r="C840">
        <v>0</v>
      </c>
      <c r="D840">
        <v>481164.85280637327</v>
      </c>
    </row>
    <row r="841" spans="3:4" x14ac:dyDescent="0.45">
      <c r="C841">
        <v>0</v>
      </c>
      <c r="D841">
        <v>407749.68543998105</v>
      </c>
    </row>
    <row r="842" spans="3:4" x14ac:dyDescent="0.45">
      <c r="C842">
        <v>0</v>
      </c>
      <c r="D842">
        <v>84799.116157392971</v>
      </c>
    </row>
    <row r="843" spans="3:4" x14ac:dyDescent="0.45">
      <c r="C843">
        <v>1006733.290397445</v>
      </c>
      <c r="D843">
        <v>-1006733.290397445</v>
      </c>
    </row>
    <row r="844" spans="3:4" x14ac:dyDescent="0.45">
      <c r="C844">
        <v>0</v>
      </c>
      <c r="D844">
        <v>20121.540023045498</v>
      </c>
    </row>
    <row r="845" spans="3:4" x14ac:dyDescent="0.45">
      <c r="C845">
        <v>0</v>
      </c>
      <c r="D845">
        <v>1159513.3245696386</v>
      </c>
    </row>
    <row r="846" spans="3:4" x14ac:dyDescent="0.45">
      <c r="C846">
        <v>0</v>
      </c>
      <c r="D846">
        <v>2929212.8483244339</v>
      </c>
    </row>
    <row r="847" spans="3:4" x14ac:dyDescent="0.45">
      <c r="C847">
        <v>0</v>
      </c>
      <c r="D847">
        <v>517410.20899451524</v>
      </c>
    </row>
    <row r="848" spans="3:4" x14ac:dyDescent="0.45">
      <c r="C848">
        <v>0</v>
      </c>
      <c r="D848">
        <v>1202581.0041074422</v>
      </c>
    </row>
    <row r="849" spans="3:4" x14ac:dyDescent="0.45">
      <c r="C849">
        <v>0</v>
      </c>
      <c r="D849">
        <v>445448.67735405848</v>
      </c>
    </row>
    <row r="850" spans="3:4" x14ac:dyDescent="0.45">
      <c r="C850">
        <v>0</v>
      </c>
      <c r="D850">
        <v>848826.85392171657</v>
      </c>
    </row>
    <row r="851" spans="3:4" x14ac:dyDescent="0.45">
      <c r="C851">
        <v>319933.97824902879</v>
      </c>
      <c r="D851">
        <v>-319933.97824902879</v>
      </c>
    </row>
    <row r="852" spans="3:4" x14ac:dyDescent="0.45">
      <c r="C852">
        <v>0</v>
      </c>
      <c r="D852">
        <v>78683.772542632651</v>
      </c>
    </row>
    <row r="853" spans="3:4" x14ac:dyDescent="0.45">
      <c r="C853">
        <v>0</v>
      </c>
      <c r="D853">
        <v>83309.627489682054</v>
      </c>
    </row>
    <row r="854" spans="3:4" x14ac:dyDescent="0.45">
      <c r="C854">
        <v>0</v>
      </c>
      <c r="D854">
        <v>1708960.4086566786</v>
      </c>
    </row>
    <row r="855" spans="3:4" x14ac:dyDescent="0.45">
      <c r="C855">
        <v>0</v>
      </c>
      <c r="D855">
        <v>135005.4315115572</v>
      </c>
    </row>
    <row r="856" spans="3:4" x14ac:dyDescent="0.45">
      <c r="C856">
        <v>115383.2331525241</v>
      </c>
      <c r="D856">
        <v>-115383.2331525241</v>
      </c>
    </row>
    <row r="857" spans="3:4" x14ac:dyDescent="0.45">
      <c r="C857">
        <v>0</v>
      </c>
      <c r="D857">
        <v>363454.13720061234</v>
      </c>
    </row>
    <row r="858" spans="3:4" x14ac:dyDescent="0.45">
      <c r="C858">
        <v>0</v>
      </c>
      <c r="D858">
        <v>1704523.9623832381</v>
      </c>
    </row>
    <row r="859" spans="3:4" x14ac:dyDescent="0.45">
      <c r="C859">
        <v>0</v>
      </c>
      <c r="D859">
        <v>126310.14090434986</v>
      </c>
    </row>
    <row r="860" spans="3:4" x14ac:dyDescent="0.45">
      <c r="C860">
        <v>0</v>
      </c>
      <c r="D860">
        <v>956642.01048938604</v>
      </c>
    </row>
    <row r="861" spans="3:4" x14ac:dyDescent="0.45">
      <c r="C861">
        <v>0</v>
      </c>
      <c r="D861">
        <v>528472.88920426532</v>
      </c>
    </row>
    <row r="862" spans="3:4" x14ac:dyDescent="0.45">
      <c r="C862">
        <v>0</v>
      </c>
      <c r="D862">
        <v>525270.27647734201</v>
      </c>
    </row>
    <row r="863" spans="3:4" x14ac:dyDescent="0.45">
      <c r="C863">
        <v>0</v>
      </c>
      <c r="D863">
        <v>1224347.1630439311</v>
      </c>
    </row>
    <row r="864" spans="3:4" x14ac:dyDescent="0.45">
      <c r="C864">
        <v>184532.36148835812</v>
      </c>
      <c r="D864">
        <v>-184532.36148835812</v>
      </c>
    </row>
    <row r="865" spans="3:4" x14ac:dyDescent="0.45">
      <c r="C865">
        <v>34738.999121017521</v>
      </c>
      <c r="D865">
        <v>-34738.999121017521</v>
      </c>
    </row>
    <row r="866" spans="3:4" x14ac:dyDescent="0.45">
      <c r="C866">
        <v>0</v>
      </c>
      <c r="D866">
        <v>98887.028526085429</v>
      </c>
    </row>
    <row r="867" spans="3:4" x14ac:dyDescent="0.45">
      <c r="C867">
        <v>0</v>
      </c>
      <c r="D867">
        <v>494089.85694739083</v>
      </c>
    </row>
    <row r="868" spans="3:4" x14ac:dyDescent="0.45">
      <c r="C868">
        <v>0</v>
      </c>
      <c r="D868">
        <v>758190.52248770208</v>
      </c>
    </row>
    <row r="869" spans="3:4" x14ac:dyDescent="0.45">
      <c r="C869">
        <v>18468.432356474921</v>
      </c>
      <c r="D869">
        <v>-18468.432356474921</v>
      </c>
    </row>
    <row r="870" spans="3:4" x14ac:dyDescent="0.45">
      <c r="C870">
        <v>0</v>
      </c>
      <c r="D870">
        <v>592600.15556177869</v>
      </c>
    </row>
    <row r="871" spans="3:4" x14ac:dyDescent="0.45">
      <c r="C871">
        <v>0</v>
      </c>
      <c r="D871">
        <v>2399262.4596222113</v>
      </c>
    </row>
    <row r="872" spans="3:4" x14ac:dyDescent="0.45">
      <c r="C872">
        <v>0</v>
      </c>
      <c r="D872">
        <v>278905.00616890262</v>
      </c>
    </row>
    <row r="873" spans="3:4" x14ac:dyDescent="0.45">
      <c r="C873">
        <v>0</v>
      </c>
      <c r="D873">
        <v>1083121.6123706293</v>
      </c>
    </row>
    <row r="874" spans="3:4" x14ac:dyDescent="0.45">
      <c r="C874">
        <v>0</v>
      </c>
      <c r="D874">
        <v>3713162.7071381081</v>
      </c>
    </row>
    <row r="875" spans="3:4" x14ac:dyDescent="0.45">
      <c r="C875">
        <v>0</v>
      </c>
      <c r="D875">
        <v>237992.20770150935</v>
      </c>
    </row>
    <row r="876" spans="3:4" x14ac:dyDescent="0.45">
      <c r="C876">
        <v>0</v>
      </c>
      <c r="D876">
        <v>2392134.3862287635</v>
      </c>
    </row>
    <row r="877" spans="3:4" x14ac:dyDescent="0.45">
      <c r="C877">
        <v>0</v>
      </c>
      <c r="D877">
        <v>256711.28029162274</v>
      </c>
    </row>
    <row r="878" spans="3:4" x14ac:dyDescent="0.45">
      <c r="C878">
        <v>0</v>
      </c>
      <c r="D878">
        <v>281520.88876086334</v>
      </c>
    </row>
    <row r="879" spans="3:4" x14ac:dyDescent="0.45">
      <c r="C879">
        <v>101913.72440306959</v>
      </c>
      <c r="D879">
        <v>-101913.72440306959</v>
      </c>
    </row>
    <row r="880" spans="3:4" x14ac:dyDescent="0.45">
      <c r="C880">
        <v>0</v>
      </c>
      <c r="D880">
        <v>594399.03787509515</v>
      </c>
    </row>
    <row r="881" spans="3:4" x14ac:dyDescent="0.45">
      <c r="C881">
        <v>0</v>
      </c>
      <c r="D881">
        <v>407113.37676813011</v>
      </c>
    </row>
    <row r="882" spans="3:4" x14ac:dyDescent="0.45">
      <c r="C882">
        <v>0</v>
      </c>
      <c r="D882">
        <v>425722.26405665255</v>
      </c>
    </row>
    <row r="883" spans="3:4" x14ac:dyDescent="0.45">
      <c r="C883">
        <v>600975.21455092181</v>
      </c>
      <c r="D883">
        <v>-600975.21455092181</v>
      </c>
    </row>
    <row r="884" spans="3:4" x14ac:dyDescent="0.45">
      <c r="C884">
        <v>0</v>
      </c>
      <c r="D884">
        <v>213949.99209903507</v>
      </c>
    </row>
    <row r="885" spans="3:4" x14ac:dyDescent="0.45">
      <c r="C885">
        <v>0</v>
      </c>
      <c r="D885">
        <v>876468.88417181233</v>
      </c>
    </row>
    <row r="886" spans="3:4" x14ac:dyDescent="0.45">
      <c r="C886">
        <v>0</v>
      </c>
      <c r="D886">
        <v>3308805.5498326411</v>
      </c>
    </row>
    <row r="887" spans="3:4" x14ac:dyDescent="0.45">
      <c r="C887">
        <v>0</v>
      </c>
      <c r="D887">
        <v>1991628.9410603717</v>
      </c>
    </row>
    <row r="888" spans="3:4" x14ac:dyDescent="0.45">
      <c r="C888">
        <v>0</v>
      </c>
      <c r="D888">
        <v>1382020.880573872</v>
      </c>
    </row>
    <row r="889" spans="3:4" x14ac:dyDescent="0.45">
      <c r="C889">
        <v>57635.918568194844</v>
      </c>
      <c r="D889">
        <v>-57635.918568194844</v>
      </c>
    </row>
    <row r="890" spans="3:4" x14ac:dyDescent="0.45">
      <c r="C890">
        <v>0</v>
      </c>
      <c r="D890">
        <v>84079.70208401815</v>
      </c>
    </row>
    <row r="891" spans="3:4" x14ac:dyDescent="0.45">
      <c r="C891">
        <v>0</v>
      </c>
      <c r="D891">
        <v>249466.9555681909</v>
      </c>
    </row>
    <row r="892" spans="3:4" x14ac:dyDescent="0.45">
      <c r="C892">
        <v>0</v>
      </c>
      <c r="D892">
        <v>688555.11513952701</v>
      </c>
    </row>
    <row r="893" spans="3:4" x14ac:dyDescent="0.45">
      <c r="C893">
        <v>227171.25255494355</v>
      </c>
      <c r="D893">
        <v>-227171.25255494355</v>
      </c>
    </row>
    <row r="894" spans="3:4" x14ac:dyDescent="0.45">
      <c r="C894">
        <v>0</v>
      </c>
      <c r="D894">
        <v>498810.25914177787</v>
      </c>
    </row>
    <row r="895" spans="3:4" x14ac:dyDescent="0.45">
      <c r="C895">
        <v>617477.14931322902</v>
      </c>
      <c r="D895">
        <v>-617477.14931322902</v>
      </c>
    </row>
    <row r="896" spans="3:4" x14ac:dyDescent="0.45">
      <c r="C896">
        <v>0</v>
      </c>
      <c r="D896">
        <v>42836.32819014194</v>
      </c>
    </row>
    <row r="897" spans="3:4" x14ac:dyDescent="0.45">
      <c r="C897">
        <v>0</v>
      </c>
      <c r="D897">
        <v>67170.395044125151</v>
      </c>
    </row>
    <row r="898" spans="3:4" x14ac:dyDescent="0.45">
      <c r="C898">
        <v>0</v>
      </c>
      <c r="D898">
        <v>1277933.8930616933</v>
      </c>
    </row>
    <row r="899" spans="3:4" x14ac:dyDescent="0.45">
      <c r="C899">
        <v>0</v>
      </c>
      <c r="D899">
        <v>841021.75853497116</v>
      </c>
    </row>
    <row r="900" spans="3:4" x14ac:dyDescent="0.45">
      <c r="C900">
        <v>0</v>
      </c>
      <c r="D900">
        <v>512399.75150308176</v>
      </c>
    </row>
    <row r="901" spans="3:4" x14ac:dyDescent="0.45">
      <c r="C901">
        <v>0</v>
      </c>
      <c r="D901">
        <v>123098.47363783221</v>
      </c>
    </row>
    <row r="902" spans="3:4" x14ac:dyDescent="0.45">
      <c r="C902">
        <v>0</v>
      </c>
      <c r="D902">
        <v>1738932.1178806238</v>
      </c>
    </row>
    <row r="903" spans="3:4" x14ac:dyDescent="0.45">
      <c r="C903">
        <v>0</v>
      </c>
      <c r="D903">
        <v>542058.35013335687</v>
      </c>
    </row>
    <row r="904" spans="3:4" x14ac:dyDescent="0.45">
      <c r="C904">
        <v>0</v>
      </c>
      <c r="D904">
        <v>2204325.7469300684</v>
      </c>
    </row>
    <row r="905" spans="3:4" x14ac:dyDescent="0.45">
      <c r="C905">
        <v>0</v>
      </c>
      <c r="D905">
        <v>237612.77103344956</v>
      </c>
    </row>
    <row r="906" spans="3:4" x14ac:dyDescent="0.45">
      <c r="C906">
        <v>0</v>
      </c>
      <c r="D906">
        <v>911213.5558602789</v>
      </c>
    </row>
    <row r="907" spans="3:4" x14ac:dyDescent="0.45">
      <c r="C907">
        <v>623416.01182206813</v>
      </c>
      <c r="D907">
        <v>-623416.01182206813</v>
      </c>
    </row>
    <row r="908" spans="3:4" x14ac:dyDescent="0.45">
      <c r="C908">
        <v>0</v>
      </c>
      <c r="D908">
        <v>280578.07247586455</v>
      </c>
    </row>
    <row r="909" spans="3:4" x14ac:dyDescent="0.45">
      <c r="C909">
        <v>0</v>
      </c>
      <c r="D909">
        <v>165490.24965231889</v>
      </c>
    </row>
    <row r="910" spans="3:4" x14ac:dyDescent="0.45">
      <c r="C910">
        <v>400029.64796975604</v>
      </c>
      <c r="D910">
        <v>-400029.64796975604</v>
      </c>
    </row>
    <row r="911" spans="3:4" x14ac:dyDescent="0.45">
      <c r="C911">
        <v>0</v>
      </c>
      <c r="D911">
        <v>1329830.7754760883</v>
      </c>
    </row>
    <row r="912" spans="3:4" x14ac:dyDescent="0.45">
      <c r="C912">
        <v>459975.17019071779</v>
      </c>
      <c r="D912">
        <v>-459975.17019071779</v>
      </c>
    </row>
    <row r="913" spans="3:4" x14ac:dyDescent="0.45">
      <c r="C913">
        <v>0</v>
      </c>
      <c r="D913">
        <v>774730.84852899425</v>
      </c>
    </row>
    <row r="914" spans="3:4" x14ac:dyDescent="0.45">
      <c r="C914">
        <v>0</v>
      </c>
      <c r="D914">
        <v>1196758.0349447771</v>
      </c>
    </row>
    <row r="915" spans="3:4" x14ac:dyDescent="0.45">
      <c r="C915">
        <v>0</v>
      </c>
      <c r="D915">
        <v>3756279.9344411111</v>
      </c>
    </row>
    <row r="916" spans="3:4" x14ac:dyDescent="0.45">
      <c r="C916">
        <v>0</v>
      </c>
      <c r="D916">
        <v>1075904.8751251623</v>
      </c>
    </row>
    <row r="917" spans="3:4" x14ac:dyDescent="0.45">
      <c r="C917">
        <v>33074.706741987728</v>
      </c>
      <c r="D917">
        <v>-33074.706741987728</v>
      </c>
    </row>
    <row r="918" spans="3:4" x14ac:dyDescent="0.45">
      <c r="C918">
        <v>0</v>
      </c>
      <c r="D918">
        <v>156354.04555694037</v>
      </c>
    </row>
    <row r="919" spans="3:4" x14ac:dyDescent="0.45">
      <c r="C919">
        <v>0</v>
      </c>
      <c r="D919">
        <v>113067.1412107537</v>
      </c>
    </row>
    <row r="920" spans="3:4" x14ac:dyDescent="0.45">
      <c r="C920">
        <v>315869.07148430683</v>
      </c>
      <c r="D920">
        <v>-315869.07148430683</v>
      </c>
    </row>
    <row r="921" spans="3:4" x14ac:dyDescent="0.45">
      <c r="C921">
        <v>319004.10354006826</v>
      </c>
      <c r="D921">
        <v>-319004.10354006826</v>
      </c>
    </row>
    <row r="922" spans="3:4" x14ac:dyDescent="0.45">
      <c r="C922">
        <v>0</v>
      </c>
      <c r="D922">
        <v>1244146.8759255875</v>
      </c>
    </row>
    <row r="923" spans="3:4" x14ac:dyDescent="0.45">
      <c r="C923">
        <v>0</v>
      </c>
      <c r="D923">
        <v>2400439.730857641</v>
      </c>
    </row>
    <row r="924" spans="3:4" x14ac:dyDescent="0.45">
      <c r="C924">
        <v>432584.70280659164</v>
      </c>
      <c r="D924">
        <v>-432584.70280659164</v>
      </c>
    </row>
    <row r="925" spans="3:4" x14ac:dyDescent="0.45">
      <c r="C925">
        <v>0</v>
      </c>
      <c r="D925">
        <v>19787.198461323977</v>
      </c>
    </row>
    <row r="926" spans="3:4" x14ac:dyDescent="0.45">
      <c r="C926">
        <v>0</v>
      </c>
      <c r="D926">
        <v>2185855.1938779163</v>
      </c>
    </row>
    <row r="927" spans="3:4" x14ac:dyDescent="0.45">
      <c r="C927">
        <v>0</v>
      </c>
      <c r="D927">
        <v>73367.019631145522</v>
      </c>
    </row>
    <row r="928" spans="3:4" x14ac:dyDescent="0.45">
      <c r="C928">
        <v>17084.04270853661</v>
      </c>
      <c r="D928">
        <v>-17084.04270853661</v>
      </c>
    </row>
    <row r="929" spans="3:4" x14ac:dyDescent="0.45">
      <c r="C929">
        <v>140896.2095802133</v>
      </c>
      <c r="D929">
        <v>-140896.2095802133</v>
      </c>
    </row>
    <row r="930" spans="3:4" x14ac:dyDescent="0.45">
      <c r="C930">
        <v>0</v>
      </c>
      <c r="D930">
        <v>216821.57171102916</v>
      </c>
    </row>
    <row r="931" spans="3:4" x14ac:dyDescent="0.45">
      <c r="C931">
        <v>0</v>
      </c>
      <c r="D931">
        <v>136324.42845211329</v>
      </c>
    </row>
    <row r="932" spans="3:4" x14ac:dyDescent="0.45">
      <c r="C932">
        <v>0</v>
      </c>
      <c r="D932">
        <v>250999.41166841052</v>
      </c>
    </row>
    <row r="933" spans="3:4" x14ac:dyDescent="0.45">
      <c r="C933">
        <v>0</v>
      </c>
      <c r="D933">
        <v>609533.06133299926</v>
      </c>
    </row>
    <row r="934" spans="3:4" x14ac:dyDescent="0.45">
      <c r="C934">
        <v>0</v>
      </c>
      <c r="D934">
        <v>185280.67781714699</v>
      </c>
    </row>
    <row r="935" spans="3:4" x14ac:dyDescent="0.45">
      <c r="C935">
        <v>0</v>
      </c>
      <c r="D935">
        <v>325112.12184120296</v>
      </c>
    </row>
    <row r="936" spans="3:4" x14ac:dyDescent="0.45">
      <c r="C936">
        <v>0</v>
      </c>
      <c r="D936">
        <v>523746.27314740513</v>
      </c>
    </row>
    <row r="937" spans="3:4" x14ac:dyDescent="0.45">
      <c r="C937">
        <v>0</v>
      </c>
      <c r="D937">
        <v>70103.259384409525</v>
      </c>
    </row>
    <row r="938" spans="3:4" x14ac:dyDescent="0.45">
      <c r="C938">
        <v>0</v>
      </c>
      <c r="D938">
        <v>380777.71339456155</v>
      </c>
    </row>
    <row r="939" spans="3:4" x14ac:dyDescent="0.45">
      <c r="C939">
        <v>0</v>
      </c>
      <c r="D939">
        <v>8679.0097073120996</v>
      </c>
    </row>
    <row r="940" spans="3:4" x14ac:dyDescent="0.45">
      <c r="C940">
        <v>0</v>
      </c>
      <c r="D940">
        <v>2124987.4216256901</v>
      </c>
    </row>
    <row r="941" spans="3:4" x14ac:dyDescent="0.45">
      <c r="C941">
        <v>0</v>
      </c>
      <c r="D941">
        <v>294302.03573062294</v>
      </c>
    </row>
    <row r="942" spans="3:4" x14ac:dyDescent="0.45">
      <c r="C942">
        <v>135845.23532759247</v>
      </c>
      <c r="D942">
        <v>-135845.23532759247</v>
      </c>
    </row>
    <row r="943" spans="3:4" x14ac:dyDescent="0.45">
      <c r="C943">
        <v>0</v>
      </c>
      <c r="D943">
        <v>2293126.2754421234</v>
      </c>
    </row>
    <row r="944" spans="3:4" x14ac:dyDescent="0.45">
      <c r="C944">
        <v>0</v>
      </c>
      <c r="D944">
        <v>714688.29134528153</v>
      </c>
    </row>
    <row r="945" spans="3:4" x14ac:dyDescent="0.45">
      <c r="C945">
        <v>0</v>
      </c>
      <c r="D945">
        <v>614765.89615015639</v>
      </c>
    </row>
    <row r="946" spans="3:4" x14ac:dyDescent="0.45">
      <c r="C946">
        <v>0</v>
      </c>
      <c r="D946">
        <v>1828063.083249195</v>
      </c>
    </row>
    <row r="947" spans="3:4" x14ac:dyDescent="0.45">
      <c r="C947">
        <v>136857.53656740079</v>
      </c>
      <c r="D947">
        <v>-136857.53656740079</v>
      </c>
    </row>
    <row r="948" spans="3:4" x14ac:dyDescent="0.45">
      <c r="C948">
        <v>0</v>
      </c>
      <c r="D948">
        <v>43952.941210254095</v>
      </c>
    </row>
    <row r="949" spans="3:4" x14ac:dyDescent="0.45">
      <c r="C949">
        <v>9509.9684703130042</v>
      </c>
      <c r="D949">
        <v>-9509.9684703130042</v>
      </c>
    </row>
    <row r="950" spans="3:4" x14ac:dyDescent="0.45">
      <c r="C950">
        <v>534136.75109049468</v>
      </c>
      <c r="D950">
        <v>-534136.75109049468</v>
      </c>
    </row>
    <row r="951" spans="3:4" x14ac:dyDescent="0.45">
      <c r="C951">
        <v>0</v>
      </c>
      <c r="D951">
        <v>360361.29241838423</v>
      </c>
    </row>
    <row r="952" spans="3:4" x14ac:dyDescent="0.45">
      <c r="C952">
        <v>0</v>
      </c>
      <c r="D952">
        <v>701123.1964195366</v>
      </c>
    </row>
    <row r="953" spans="3:4" x14ac:dyDescent="0.45">
      <c r="C953">
        <v>0</v>
      </c>
      <c r="D953">
        <v>426242.14985823468</v>
      </c>
    </row>
    <row r="954" spans="3:4" x14ac:dyDescent="0.45">
      <c r="C954">
        <v>0</v>
      </c>
      <c r="D954">
        <v>264651.1940560115</v>
      </c>
    </row>
    <row r="955" spans="3:4" x14ac:dyDescent="0.45">
      <c r="C955">
        <v>0</v>
      </c>
      <c r="D955">
        <v>1054768.2157224796</v>
      </c>
    </row>
    <row r="956" spans="3:4" x14ac:dyDescent="0.45">
      <c r="C956">
        <v>0</v>
      </c>
      <c r="D956">
        <v>609393.14708086965</v>
      </c>
    </row>
    <row r="957" spans="3:4" x14ac:dyDescent="0.45">
      <c r="C957">
        <v>0</v>
      </c>
      <c r="D957">
        <v>3534857.7936977297</v>
      </c>
    </row>
    <row r="958" spans="3:4" x14ac:dyDescent="0.45">
      <c r="C958">
        <v>18215.779508513398</v>
      </c>
      <c r="D958">
        <v>-18215.779508513398</v>
      </c>
    </row>
    <row r="959" spans="3:4" x14ac:dyDescent="0.45">
      <c r="C959">
        <v>283977.17872649885</v>
      </c>
      <c r="D959">
        <v>-283977.17872649885</v>
      </c>
    </row>
    <row r="960" spans="3:4" x14ac:dyDescent="0.45">
      <c r="C960">
        <v>0</v>
      </c>
      <c r="D960">
        <v>110595.66502086096</v>
      </c>
    </row>
    <row r="961" spans="3:4" x14ac:dyDescent="0.45">
      <c r="C961">
        <v>0</v>
      </c>
      <c r="D961">
        <v>227829.95884844079</v>
      </c>
    </row>
    <row r="962" spans="3:4" x14ac:dyDescent="0.45">
      <c r="C962">
        <v>108794.92231189599</v>
      </c>
      <c r="D962">
        <v>-108794.92231189599</v>
      </c>
    </row>
    <row r="963" spans="3:4" x14ac:dyDescent="0.45">
      <c r="C963">
        <v>0</v>
      </c>
      <c r="D963">
        <v>1042791.3616053921</v>
      </c>
    </row>
    <row r="964" spans="3:4" x14ac:dyDescent="0.45">
      <c r="C964">
        <v>0</v>
      </c>
      <c r="D964">
        <v>558121.58549103793</v>
      </c>
    </row>
    <row r="965" spans="3:4" x14ac:dyDescent="0.45">
      <c r="C965">
        <v>0</v>
      </c>
      <c r="D965">
        <v>1257459.6444772747</v>
      </c>
    </row>
    <row r="966" spans="3:4" x14ac:dyDescent="0.45">
      <c r="C966">
        <v>243272.26677342271</v>
      </c>
      <c r="D966">
        <v>-243272.26677342271</v>
      </c>
    </row>
    <row r="967" spans="3:4" x14ac:dyDescent="0.45">
      <c r="C967">
        <v>0</v>
      </c>
      <c r="D967">
        <v>3734319.8751089415</v>
      </c>
    </row>
    <row r="968" spans="3:4" x14ac:dyDescent="0.45">
      <c r="C968">
        <v>0</v>
      </c>
      <c r="D968">
        <v>4209376.9854405588</v>
      </c>
    </row>
    <row r="969" spans="3:4" x14ac:dyDescent="0.45">
      <c r="C969">
        <v>53822.309373089811</v>
      </c>
      <c r="D969">
        <v>-53822.309373089811</v>
      </c>
    </row>
    <row r="970" spans="3:4" x14ac:dyDescent="0.45">
      <c r="C970">
        <v>0</v>
      </c>
      <c r="D970">
        <v>272296.54537681048</v>
      </c>
    </row>
    <row r="971" spans="3:4" x14ac:dyDescent="0.45">
      <c r="C971">
        <v>407487.92553020944</v>
      </c>
      <c r="D971">
        <v>-407487.92553020944</v>
      </c>
    </row>
    <row r="972" spans="3:4" x14ac:dyDescent="0.45">
      <c r="C972">
        <v>0</v>
      </c>
      <c r="D972">
        <v>138849.92316878133</v>
      </c>
    </row>
    <row r="973" spans="3:4" x14ac:dyDescent="0.45">
      <c r="C973">
        <v>0</v>
      </c>
      <c r="D973">
        <v>610833.14615713409</v>
      </c>
    </row>
    <row r="974" spans="3:4" x14ac:dyDescent="0.45">
      <c r="C974">
        <v>0</v>
      </c>
      <c r="D974">
        <v>522836.28621824225</v>
      </c>
    </row>
    <row r="975" spans="3:4" x14ac:dyDescent="0.45">
      <c r="C975">
        <v>190462.32196569699</v>
      </c>
      <c r="D975">
        <v>-190462.32196569699</v>
      </c>
    </row>
    <row r="976" spans="3:4" x14ac:dyDescent="0.45">
      <c r="C976">
        <v>0</v>
      </c>
      <c r="D976">
        <v>181423.11927438853</v>
      </c>
    </row>
    <row r="977" spans="3:4" x14ac:dyDescent="0.45">
      <c r="C977">
        <v>51807.505697150016</v>
      </c>
      <c r="D977">
        <v>-51807.505697150016</v>
      </c>
    </row>
    <row r="978" spans="3:4" x14ac:dyDescent="0.45">
      <c r="C978">
        <v>329936.7399791237</v>
      </c>
      <c r="D978">
        <v>-329936.7399791237</v>
      </c>
    </row>
    <row r="979" spans="3:4" x14ac:dyDescent="0.45">
      <c r="C979">
        <v>0</v>
      </c>
      <c r="D979">
        <v>263759.7629778909</v>
      </c>
    </row>
    <row r="980" spans="3:4" x14ac:dyDescent="0.45">
      <c r="C980">
        <v>0</v>
      </c>
      <c r="D980">
        <v>1033195.0014920239</v>
      </c>
    </row>
    <row r="981" spans="3:4" x14ac:dyDescent="0.45">
      <c r="C981">
        <v>0</v>
      </c>
      <c r="D981">
        <v>296155.80812145909</v>
      </c>
    </row>
    <row r="982" spans="3:4" x14ac:dyDescent="0.45">
      <c r="C982">
        <v>148084.21399002848</v>
      </c>
      <c r="D982">
        <v>-148084.21399002848</v>
      </c>
    </row>
    <row r="983" spans="3:4" x14ac:dyDescent="0.45">
      <c r="C983">
        <v>0</v>
      </c>
      <c r="D983">
        <v>496014.9040119925</v>
      </c>
    </row>
    <row r="984" spans="3:4" x14ac:dyDescent="0.45">
      <c r="C984">
        <v>0</v>
      </c>
      <c r="D984">
        <v>642695.8626019794</v>
      </c>
    </row>
    <row r="985" spans="3:4" x14ac:dyDescent="0.45">
      <c r="C985">
        <v>0</v>
      </c>
      <c r="D985">
        <v>696075.61291217618</v>
      </c>
    </row>
    <row r="986" spans="3:4" x14ac:dyDescent="0.45">
      <c r="C986">
        <v>156783.02915408579</v>
      </c>
      <c r="D986">
        <v>-156783.02915408579</v>
      </c>
    </row>
    <row r="987" spans="3:4" x14ac:dyDescent="0.45">
      <c r="C987">
        <v>0</v>
      </c>
      <c r="D987">
        <v>2174242.3136645178</v>
      </c>
    </row>
    <row r="988" spans="3:4" x14ac:dyDescent="0.45">
      <c r="C988">
        <v>0</v>
      </c>
      <c r="D988">
        <v>98970.453298369888</v>
      </c>
    </row>
    <row r="989" spans="3:4" x14ac:dyDescent="0.45">
      <c r="C989">
        <v>0</v>
      </c>
      <c r="D989">
        <v>1656645.9177736961</v>
      </c>
    </row>
    <row r="990" spans="3:4" x14ac:dyDescent="0.45">
      <c r="C990">
        <v>0</v>
      </c>
      <c r="D990">
        <v>316188.32491939003</v>
      </c>
    </row>
    <row r="991" spans="3:4" x14ac:dyDescent="0.45">
      <c r="C991">
        <v>0</v>
      </c>
      <c r="D991">
        <v>1057013.0892007614</v>
      </c>
    </row>
    <row r="992" spans="3:4" x14ac:dyDescent="0.45">
      <c r="C992">
        <v>403833.1430369803</v>
      </c>
      <c r="D992">
        <v>-403833.1430369803</v>
      </c>
    </row>
    <row r="993" spans="3:4" x14ac:dyDescent="0.45">
      <c r="C993">
        <v>209808.34845834493</v>
      </c>
      <c r="D993">
        <v>-209808.34845834493</v>
      </c>
    </row>
    <row r="994" spans="3:4" x14ac:dyDescent="0.45">
      <c r="C994">
        <v>0</v>
      </c>
      <c r="D994">
        <v>437691.37509740517</v>
      </c>
    </row>
    <row r="995" spans="3:4" x14ac:dyDescent="0.45">
      <c r="C995">
        <v>0</v>
      </c>
      <c r="D995">
        <v>10103.944549625274</v>
      </c>
    </row>
    <row r="996" spans="3:4" x14ac:dyDescent="0.45">
      <c r="C996">
        <v>0</v>
      </c>
      <c r="D996">
        <v>343091.79728343268</v>
      </c>
    </row>
    <row r="997" spans="3:4" x14ac:dyDescent="0.45">
      <c r="C997">
        <v>104063.6817572586</v>
      </c>
      <c r="D997">
        <v>-104063.6817572586</v>
      </c>
    </row>
    <row r="998" spans="3:4" x14ac:dyDescent="0.45">
      <c r="C998">
        <v>0</v>
      </c>
      <c r="D998">
        <v>872085.2333012356</v>
      </c>
    </row>
    <row r="999" spans="3:4" x14ac:dyDescent="0.45">
      <c r="C999">
        <v>164.17858287715353</v>
      </c>
      <c r="D999">
        <v>-164.17858287715353</v>
      </c>
    </row>
    <row r="1000" spans="3:4" x14ac:dyDescent="0.45">
      <c r="C1000">
        <v>0</v>
      </c>
      <c r="D1000">
        <v>176133.42488490534</v>
      </c>
    </row>
    <row r="1001" spans="3:4" x14ac:dyDescent="0.45">
      <c r="C1001">
        <v>0</v>
      </c>
      <c r="D1001">
        <v>3938123.1426370116</v>
      </c>
    </row>
    <row r="1002" spans="3:4" x14ac:dyDescent="0.45">
      <c r="C1002">
        <v>0</v>
      </c>
      <c r="D1002">
        <v>845256.0841360765</v>
      </c>
    </row>
    <row r="1003" spans="3:4" x14ac:dyDescent="0.45">
      <c r="C1003">
        <v>0</v>
      </c>
      <c r="D1003">
        <v>368804.86517770542</v>
      </c>
    </row>
    <row r="1004" spans="3:4" x14ac:dyDescent="0.45">
      <c r="C1004">
        <v>545110.8263374602</v>
      </c>
      <c r="D1004">
        <v>-545110.8263374602</v>
      </c>
    </row>
    <row r="1005" spans="3:4" x14ac:dyDescent="0.45">
      <c r="C1005">
        <v>0</v>
      </c>
      <c r="D1005">
        <v>360969.71719444194</v>
      </c>
    </row>
    <row r="1006" spans="3:4" x14ac:dyDescent="0.45">
      <c r="C1006">
        <v>204493.70756039897</v>
      </c>
      <c r="D1006">
        <v>-204493.70756039897</v>
      </c>
    </row>
    <row r="1007" spans="3:4" x14ac:dyDescent="0.45">
      <c r="C1007">
        <v>0</v>
      </c>
      <c r="D1007">
        <v>14556.017595885205</v>
      </c>
    </row>
    <row r="1008" spans="3:4" x14ac:dyDescent="0.45">
      <c r="C1008">
        <v>0</v>
      </c>
      <c r="D1008">
        <v>1327319.784465373</v>
      </c>
    </row>
    <row r="1009" spans="3:4" x14ac:dyDescent="0.45">
      <c r="C1009">
        <v>0</v>
      </c>
      <c r="D1009">
        <v>976110.1456497882</v>
      </c>
    </row>
    <row r="1010" spans="3:4" x14ac:dyDescent="0.45">
      <c r="C1010">
        <v>0</v>
      </c>
      <c r="D1010">
        <v>371055.74970583594</v>
      </c>
    </row>
    <row r="1011" spans="3:4" x14ac:dyDescent="0.45">
      <c r="C1011">
        <v>0</v>
      </c>
      <c r="D1011">
        <v>560905.33389633661</v>
      </c>
    </row>
    <row r="1012" spans="3:4" x14ac:dyDescent="0.45">
      <c r="C1012">
        <v>625594.60330462665</v>
      </c>
      <c r="D1012">
        <v>-625594.60330462665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C1A7B-427D-41DC-80CD-F81823F1CBBF}">
  <sheetPr codeName="Sheet5">
    <tabColor theme="7"/>
  </sheetPr>
  <dimension ref="B2:AH354"/>
  <sheetViews>
    <sheetView zoomScale="70" zoomScaleNormal="70" workbookViewId="0">
      <selection activeCell="C3" sqref="C3"/>
    </sheetView>
  </sheetViews>
  <sheetFormatPr defaultRowHeight="14.25" x14ac:dyDescent="0.45"/>
  <cols>
    <col min="1" max="1" width="4.1328125" customWidth="1"/>
    <col min="2" max="2" width="23.73046875" style="2" bestFit="1" customWidth="1"/>
    <col min="3" max="15" width="9.265625" customWidth="1"/>
  </cols>
  <sheetData>
    <row r="2" spans="2:34" x14ac:dyDescent="0.45">
      <c r="B2" s="2" t="s">
        <v>107</v>
      </c>
      <c r="C2" s="53">
        <v>100</v>
      </c>
    </row>
    <row r="3" spans="2:34" x14ac:dyDescent="0.45">
      <c r="B3" s="2" t="s">
        <v>114</v>
      </c>
      <c r="C3" s="81">
        <v>0.1</v>
      </c>
      <c r="E3" s="4"/>
    </row>
    <row r="4" spans="2:34" x14ac:dyDescent="0.45">
      <c r="B4" s="2" t="s">
        <v>106</v>
      </c>
      <c r="C4" s="87">
        <v>0.5</v>
      </c>
      <c r="E4" s="4"/>
      <c r="F4" s="53"/>
    </row>
    <row r="5" spans="2:34" x14ac:dyDescent="0.45">
      <c r="B5" s="2" t="s">
        <v>64</v>
      </c>
      <c r="C5" s="81">
        <f>Core!O21</f>
        <v>0.12</v>
      </c>
      <c r="E5" s="4"/>
    </row>
    <row r="7" spans="2:34" x14ac:dyDescent="0.45">
      <c r="B7" s="2" t="s">
        <v>117</v>
      </c>
      <c r="D7" s="1">
        <f>MEDIAN(D17:D116)</f>
        <v>111.64936081271523</v>
      </c>
      <c r="E7" s="1">
        <f t="shared" ref="E7:AE7" si="0">MEDIAN(E17:E116)</f>
        <v>119.87157619773237</v>
      </c>
      <c r="F7" s="1">
        <f t="shared" si="0"/>
        <v>130.51527640993061</v>
      </c>
      <c r="G7" s="1">
        <f t="shared" si="0"/>
        <v>141.82030398331702</v>
      </c>
      <c r="H7" s="1">
        <f t="shared" si="0"/>
        <v>157.61410951210044</v>
      </c>
      <c r="I7" s="1">
        <f t="shared" si="0"/>
        <v>171.38665110671812</v>
      </c>
      <c r="J7" s="1">
        <f t="shared" si="0"/>
        <v>196.94293286050285</v>
      </c>
      <c r="K7" s="1">
        <f t="shared" si="0"/>
        <v>209.48278507876313</v>
      </c>
      <c r="L7" s="1">
        <f t="shared" si="0"/>
        <v>234.61900925589885</v>
      </c>
      <c r="M7" s="1">
        <f t="shared" si="0"/>
        <v>258.52451277071316</v>
      </c>
      <c r="N7" s="1">
        <f t="shared" si="0"/>
        <v>282.29743979031315</v>
      </c>
      <c r="O7" s="1">
        <f t="shared" si="0"/>
        <v>309.47353843016276</v>
      </c>
      <c r="P7" s="1">
        <f t="shared" si="0"/>
        <v>336.96355815186052</v>
      </c>
      <c r="Q7" s="1">
        <f t="shared" si="0"/>
        <v>372.35342486699722</v>
      </c>
      <c r="R7" s="1">
        <f t="shared" si="0"/>
        <v>405.59772024199623</v>
      </c>
      <c r="S7" s="1">
        <f t="shared" si="0"/>
        <v>454.29935630545492</v>
      </c>
      <c r="T7" s="1">
        <f t="shared" si="0"/>
        <v>508.09017089914335</v>
      </c>
      <c r="U7" s="1">
        <f t="shared" si="0"/>
        <v>555.19322024832172</v>
      </c>
      <c r="V7" s="1">
        <f t="shared" si="0"/>
        <v>603.08678170659266</v>
      </c>
      <c r="W7" s="1">
        <f t="shared" si="0"/>
        <v>675.30249710618887</v>
      </c>
      <c r="X7" s="1">
        <f t="shared" si="0"/>
        <v>722.85095513648878</v>
      </c>
      <c r="Y7" s="1">
        <f t="shared" si="0"/>
        <v>801.61353727414439</v>
      </c>
      <c r="Z7" s="1">
        <f t="shared" si="0"/>
        <v>869.41449535301672</v>
      </c>
      <c r="AA7" s="1">
        <f t="shared" si="0"/>
        <v>996.05326082241925</v>
      </c>
      <c r="AB7" s="1">
        <f t="shared" si="0"/>
        <v>1085.0608827376293</v>
      </c>
      <c r="AC7" s="1">
        <f t="shared" si="0"/>
        <v>1196.1148765898633</v>
      </c>
      <c r="AD7" s="1">
        <f t="shared" si="0"/>
        <v>1334.3776402993944</v>
      </c>
      <c r="AE7" s="1">
        <f t="shared" si="0"/>
        <v>1464.6821055759654</v>
      </c>
      <c r="AF7" s="1">
        <f t="shared" ref="AF7:AH7" si="1">MEDIAN(AF17:AF116)</f>
        <v>1614.6785080856894</v>
      </c>
      <c r="AG7" s="1">
        <f t="shared" si="1"/>
        <v>1715.4920934558743</v>
      </c>
      <c r="AH7" s="1">
        <f t="shared" si="1"/>
        <v>1879.7936220180736</v>
      </c>
    </row>
    <row r="8" spans="2:34" x14ac:dyDescent="0.45">
      <c r="B8" s="2" t="s">
        <v>115</v>
      </c>
      <c r="D8" s="1">
        <f>AVERAGE(D17:D116)</f>
        <v>111.03244038914917</v>
      </c>
      <c r="E8" s="1">
        <f t="shared" ref="E8:AE8" si="2">AVERAGE(E17:E116)</f>
        <v>121.22953457835312</v>
      </c>
      <c r="F8" s="1">
        <f t="shared" si="2"/>
        <v>132.77226780983656</v>
      </c>
      <c r="G8" s="1">
        <f t="shared" si="2"/>
        <v>141.65228546126346</v>
      </c>
      <c r="H8" s="1">
        <f t="shared" si="2"/>
        <v>160.21916066176672</v>
      </c>
      <c r="I8" s="1">
        <f t="shared" si="2"/>
        <v>175.84564807437602</v>
      </c>
      <c r="J8" s="1">
        <f t="shared" si="2"/>
        <v>197.56383519253143</v>
      </c>
      <c r="K8" s="1">
        <f t="shared" si="2"/>
        <v>211.30808944436586</v>
      </c>
      <c r="L8" s="1">
        <f t="shared" si="2"/>
        <v>234.45779680142735</v>
      </c>
      <c r="M8" s="1">
        <f t="shared" si="2"/>
        <v>262.3361531682425</v>
      </c>
      <c r="N8" s="1">
        <f t="shared" si="2"/>
        <v>289.38865767987738</v>
      </c>
      <c r="O8" s="1">
        <f t="shared" si="2"/>
        <v>310.64223513704223</v>
      </c>
      <c r="P8" s="1">
        <f t="shared" si="2"/>
        <v>343.91667904321577</v>
      </c>
      <c r="Q8" s="1">
        <f t="shared" si="2"/>
        <v>377.51598863621734</v>
      </c>
      <c r="R8" s="1">
        <f t="shared" si="2"/>
        <v>415.94421857344554</v>
      </c>
      <c r="S8" s="1">
        <f t="shared" si="2"/>
        <v>460.62150560108137</v>
      </c>
      <c r="T8" s="1">
        <f t="shared" si="2"/>
        <v>507.50772378579711</v>
      </c>
      <c r="U8" s="1">
        <f t="shared" si="2"/>
        <v>550.14214736649365</v>
      </c>
      <c r="V8" s="1">
        <f t="shared" si="2"/>
        <v>605.96388935507423</v>
      </c>
      <c r="W8" s="1">
        <f t="shared" si="2"/>
        <v>677.7095877351619</v>
      </c>
      <c r="X8" s="1">
        <f t="shared" si="2"/>
        <v>736.46803993427704</v>
      </c>
      <c r="Y8" s="1">
        <f t="shared" si="2"/>
        <v>806.48816567185077</v>
      </c>
      <c r="Z8" s="1">
        <f t="shared" si="2"/>
        <v>883.72321405131061</v>
      </c>
      <c r="AA8" s="1">
        <f t="shared" si="2"/>
        <v>997.80422584833423</v>
      </c>
      <c r="AB8" s="1">
        <f t="shared" si="2"/>
        <v>1093.799668732152</v>
      </c>
      <c r="AC8" s="1">
        <f t="shared" si="2"/>
        <v>1221.7452517838008</v>
      </c>
      <c r="AD8" s="1">
        <f t="shared" si="2"/>
        <v>1339.5573294288736</v>
      </c>
      <c r="AE8" s="1">
        <f t="shared" si="2"/>
        <v>1458.628497184455</v>
      </c>
      <c r="AF8" s="1">
        <f t="shared" ref="AF8:AH8" si="3">AVERAGE(AF17:AF116)</f>
        <v>1609.1759256621951</v>
      </c>
      <c r="AG8" s="1">
        <f t="shared" si="3"/>
        <v>1727.9538069024211</v>
      </c>
      <c r="AH8" s="1">
        <f t="shared" si="3"/>
        <v>1912.7950356325682</v>
      </c>
    </row>
    <row r="9" spans="2:34" x14ac:dyDescent="0.45">
      <c r="B9" s="2" t="s">
        <v>118</v>
      </c>
      <c r="D9" s="1">
        <f t="shared" ref="D9:AE9" si="4">D12-D7</f>
        <v>-1.6493608127152157</v>
      </c>
      <c r="E9" s="1">
        <f t="shared" si="4"/>
        <v>1.1284238022676618</v>
      </c>
      <c r="F9" s="1">
        <f t="shared" si="4"/>
        <v>2.5847235900694443</v>
      </c>
      <c r="G9" s="1">
        <f t="shared" si="4"/>
        <v>4.5896960166830638</v>
      </c>
      <c r="H9" s="1">
        <f t="shared" si="4"/>
        <v>3.4368904878996602</v>
      </c>
      <c r="I9" s="1">
        <f t="shared" si="4"/>
        <v>5.7694488932820036</v>
      </c>
      <c r="J9" s="1">
        <f t="shared" si="4"/>
        <v>-2.0712228605027008</v>
      </c>
      <c r="K9" s="1">
        <f t="shared" si="4"/>
        <v>4.8760959212370665</v>
      </c>
      <c r="L9" s="1">
        <f t="shared" si="4"/>
        <v>1.1757598441013783</v>
      </c>
      <c r="M9" s="1">
        <f t="shared" si="4"/>
        <v>0.84973323928710442</v>
      </c>
      <c r="N9" s="1">
        <f t="shared" si="4"/>
        <v>3.0142308206871462</v>
      </c>
      <c r="O9" s="1">
        <f t="shared" si="4"/>
        <v>4.3692992419375969</v>
      </c>
      <c r="P9" s="1">
        <f t="shared" si="4"/>
        <v>8.2635632874498697</v>
      </c>
      <c r="Q9" s="1">
        <f t="shared" si="4"/>
        <v>7.3964087162442524</v>
      </c>
      <c r="R9" s="1">
        <f t="shared" si="4"/>
        <v>12.127096699569393</v>
      </c>
      <c r="S9" s="1">
        <f t="shared" si="4"/>
        <v>5.197942330267324</v>
      </c>
      <c r="T9" s="1">
        <f t="shared" si="4"/>
        <v>-2.6431423998488413</v>
      </c>
      <c r="U9" s="1">
        <f t="shared" si="4"/>
        <v>0.7985111009022603</v>
      </c>
      <c r="V9" s="1">
        <f t="shared" si="4"/>
        <v>8.5041227775537891</v>
      </c>
      <c r="W9" s="1">
        <f t="shared" si="4"/>
        <v>-2.5525021736277722</v>
      </c>
      <c r="X9" s="1">
        <f t="shared" si="4"/>
        <v>17.174039289328448</v>
      </c>
      <c r="Y9" s="1">
        <f t="shared" si="4"/>
        <v>12.413956594254614</v>
      </c>
      <c r="Z9" s="1">
        <f t="shared" si="4"/>
        <v>26.015747902222301</v>
      </c>
      <c r="AA9" s="1">
        <f t="shared" si="4"/>
        <v>-11.079993241656211</v>
      </c>
      <c r="AB9" s="1">
        <f t="shared" si="4"/>
        <v>-1.5902883987898804</v>
      </c>
      <c r="AC9" s="1">
        <f t="shared" si="4"/>
        <v>-4.297222817139982</v>
      </c>
      <c r="AD9" s="1">
        <f t="shared" si="4"/>
        <v>-23.378221149398541</v>
      </c>
      <c r="AE9" s="1">
        <f t="shared" si="4"/>
        <v>-22.582744510969633</v>
      </c>
      <c r="AF9" s="1">
        <f t="shared" ref="AF9:AH9" si="5">AF12-AF7</f>
        <v>-28.3692109141939</v>
      </c>
      <c r="AG9" s="1">
        <f t="shared" si="5"/>
        <v>29.448133432770874</v>
      </c>
      <c r="AH9" s="1">
        <f t="shared" si="5"/>
        <v>39.640627559436098</v>
      </c>
    </row>
    <row r="10" spans="2:34" x14ac:dyDescent="0.45">
      <c r="B10" s="2" t="s">
        <v>116</v>
      </c>
      <c r="D10" s="1">
        <f t="shared" ref="D10:AE10" si="6">D12-D8</f>
        <v>-1.0324403891491585</v>
      </c>
      <c r="E10" s="1">
        <f t="shared" si="6"/>
        <v>-0.22953457835309621</v>
      </c>
      <c r="F10" s="1">
        <f t="shared" si="6"/>
        <v>0.32773219016348776</v>
      </c>
      <c r="G10" s="1">
        <f t="shared" si="6"/>
        <v>4.7577145387366215</v>
      </c>
      <c r="H10" s="1">
        <f t="shared" si="6"/>
        <v>0.83183933823337952</v>
      </c>
      <c r="I10" s="1">
        <f t="shared" si="6"/>
        <v>1.3104519256241076</v>
      </c>
      <c r="J10" s="1">
        <f t="shared" si="6"/>
        <v>-2.6921251925312788</v>
      </c>
      <c r="K10" s="1">
        <f t="shared" si="6"/>
        <v>3.0507915556343335</v>
      </c>
      <c r="L10" s="1">
        <f t="shared" si="6"/>
        <v>1.3369722985728743</v>
      </c>
      <c r="M10" s="1">
        <f t="shared" si="6"/>
        <v>-2.9619071582422407</v>
      </c>
      <c r="N10" s="1">
        <f t="shared" si="6"/>
        <v>-4.0769870688770879</v>
      </c>
      <c r="O10" s="1">
        <f t="shared" si="6"/>
        <v>3.200602535058124</v>
      </c>
      <c r="P10" s="1">
        <f t="shared" si="6"/>
        <v>1.3104423960946292</v>
      </c>
      <c r="Q10" s="1">
        <f t="shared" si="6"/>
        <v>2.2338449470241244</v>
      </c>
      <c r="R10" s="1">
        <f t="shared" si="6"/>
        <v>1.7805983681200814</v>
      </c>
      <c r="S10" s="1">
        <f t="shared" si="6"/>
        <v>-1.1242069653591216</v>
      </c>
      <c r="T10" s="1">
        <f t="shared" si="6"/>
        <v>-2.0606952865026074</v>
      </c>
      <c r="U10" s="1">
        <f t="shared" si="6"/>
        <v>5.8495839827303371</v>
      </c>
      <c r="V10" s="1">
        <f t="shared" si="6"/>
        <v>5.6270151290722197</v>
      </c>
      <c r="W10" s="1">
        <f t="shared" si="6"/>
        <v>-4.9595928026008096</v>
      </c>
      <c r="X10" s="1">
        <f t="shared" si="6"/>
        <v>3.5569544915401821</v>
      </c>
      <c r="Y10" s="1">
        <f t="shared" si="6"/>
        <v>7.5393281965482402</v>
      </c>
      <c r="Z10" s="1">
        <f t="shared" si="6"/>
        <v>11.707029203928414</v>
      </c>
      <c r="AA10" s="1">
        <f t="shared" si="6"/>
        <v>-12.830958267571191</v>
      </c>
      <c r="AB10" s="1">
        <f t="shared" si="6"/>
        <v>-10.329074393312567</v>
      </c>
      <c r="AC10" s="1">
        <f t="shared" si="6"/>
        <v>-29.927598011077407</v>
      </c>
      <c r="AD10" s="1">
        <f t="shared" si="6"/>
        <v>-28.557910278877671</v>
      </c>
      <c r="AE10" s="1">
        <f t="shared" si="6"/>
        <v>-16.529136119459281</v>
      </c>
      <c r="AF10" s="1">
        <f t="shared" ref="AF10:AH10" si="7">AF12-AF8</f>
        <v>-22.866628490699668</v>
      </c>
      <c r="AG10" s="1">
        <f t="shared" si="7"/>
        <v>16.986419986224064</v>
      </c>
      <c r="AH10" s="1">
        <f t="shared" si="7"/>
        <v>6.6392139449415026</v>
      </c>
    </row>
    <row r="12" spans="2:34" x14ac:dyDescent="0.45">
      <c r="B12" s="2" t="s">
        <v>113</v>
      </c>
      <c r="C12" s="63">
        <v>100</v>
      </c>
      <c r="D12" s="1">
        <f>C12*(1+$C$3)</f>
        <v>110.00000000000001</v>
      </c>
      <c r="E12" s="1">
        <f t="shared" ref="E12:O12" si="8">D12*(1+$C$3)</f>
        <v>121.00000000000003</v>
      </c>
      <c r="F12" s="1">
        <f t="shared" si="8"/>
        <v>133.10000000000005</v>
      </c>
      <c r="G12" s="1">
        <f t="shared" si="8"/>
        <v>146.41000000000008</v>
      </c>
      <c r="H12" s="1">
        <f t="shared" si="8"/>
        <v>161.0510000000001</v>
      </c>
      <c r="I12" s="1">
        <f t="shared" si="8"/>
        <v>177.15610000000012</v>
      </c>
      <c r="J12" s="1">
        <f t="shared" si="8"/>
        <v>194.87171000000015</v>
      </c>
      <c r="K12" s="1">
        <f t="shared" si="8"/>
        <v>214.3588810000002</v>
      </c>
      <c r="L12" s="1">
        <f t="shared" si="8"/>
        <v>235.79476910000022</v>
      </c>
      <c r="M12" s="1">
        <f t="shared" si="8"/>
        <v>259.37424601000026</v>
      </c>
      <c r="N12" s="1">
        <f t="shared" si="8"/>
        <v>285.3116706110003</v>
      </c>
      <c r="O12" s="1">
        <f t="shared" si="8"/>
        <v>313.84283767210036</v>
      </c>
      <c r="P12" s="1">
        <f t="shared" ref="P12:AE12" si="9">O12*(1+$C$3)</f>
        <v>345.22712143931039</v>
      </c>
      <c r="Q12" s="1">
        <f t="shared" si="9"/>
        <v>379.74983358324147</v>
      </c>
      <c r="R12" s="1">
        <f t="shared" si="9"/>
        <v>417.72481694156562</v>
      </c>
      <c r="S12" s="1">
        <f t="shared" si="9"/>
        <v>459.49729863572225</v>
      </c>
      <c r="T12" s="1">
        <f t="shared" si="9"/>
        <v>505.4470284992945</v>
      </c>
      <c r="U12" s="1">
        <f t="shared" si="9"/>
        <v>555.99173134922398</v>
      </c>
      <c r="V12" s="1">
        <f t="shared" si="9"/>
        <v>611.59090448414645</v>
      </c>
      <c r="W12" s="1">
        <f t="shared" si="9"/>
        <v>672.74999493256109</v>
      </c>
      <c r="X12" s="1">
        <f t="shared" si="9"/>
        <v>740.02499442581723</v>
      </c>
      <c r="Y12" s="1">
        <f t="shared" si="9"/>
        <v>814.02749386839901</v>
      </c>
      <c r="Z12" s="1">
        <f t="shared" si="9"/>
        <v>895.43024325523902</v>
      </c>
      <c r="AA12" s="1">
        <f t="shared" si="9"/>
        <v>984.97326758076304</v>
      </c>
      <c r="AB12" s="1">
        <f t="shared" si="9"/>
        <v>1083.4705943388394</v>
      </c>
      <c r="AC12" s="1">
        <f t="shared" si="9"/>
        <v>1191.8176537727234</v>
      </c>
      <c r="AD12" s="1">
        <f t="shared" si="9"/>
        <v>1310.9994191499959</v>
      </c>
      <c r="AE12" s="1">
        <f t="shared" si="9"/>
        <v>1442.0993610649957</v>
      </c>
      <c r="AF12" s="1">
        <f t="shared" ref="AF12" si="10">AE12*(1+$C$3)</f>
        <v>1586.3092971714955</v>
      </c>
      <c r="AG12" s="1">
        <f t="shared" ref="AG12" si="11">AF12*(1+$C$3)</f>
        <v>1744.9402268886452</v>
      </c>
      <c r="AH12" s="1">
        <f t="shared" ref="AH12" si="12">AG12*(1+$C$3)</f>
        <v>1919.4342495775097</v>
      </c>
    </row>
    <row r="15" spans="2:34" x14ac:dyDescent="0.45">
      <c r="B15" s="2" t="s">
        <v>119</v>
      </c>
      <c r="D15" s="58">
        <f ca="1">D16/C16-1</f>
        <v>0.19375399370980939</v>
      </c>
      <c r="E15" s="58">
        <f t="shared" ref="E15:AE15" ca="1" si="13">E16/D16-1</f>
        <v>2.4339208629354792E-2</v>
      </c>
      <c r="F15" s="58">
        <f t="shared" ca="1" si="13"/>
        <v>5.1301017541101057E-2</v>
      </c>
      <c r="G15" s="58">
        <f t="shared" ca="1" si="13"/>
        <v>0.14562015456191824</v>
      </c>
      <c r="H15" s="58">
        <f t="shared" ca="1" si="13"/>
        <v>-0.20097663908449015</v>
      </c>
      <c r="I15" s="58">
        <f t="shared" ca="1" si="13"/>
        <v>9.3784365434202988E-2</v>
      </c>
      <c r="J15" s="58">
        <f t="shared" ca="1" si="13"/>
        <v>0.37086696761520055</v>
      </c>
      <c r="K15" s="58">
        <f t="shared" ca="1" si="13"/>
        <v>0.15967820716488501</v>
      </c>
      <c r="L15" s="58">
        <f t="shared" ca="1" si="13"/>
        <v>-1.6648917750097247E-3</v>
      </c>
      <c r="M15" s="58">
        <f t="shared" ca="1" si="13"/>
        <v>0.18157383022922158</v>
      </c>
      <c r="N15" s="58">
        <f t="shared" ca="1" si="13"/>
        <v>0.47424009980508353</v>
      </c>
      <c r="O15" s="58">
        <f t="shared" ca="1" si="13"/>
        <v>-7.7701151865542273E-2</v>
      </c>
      <c r="P15" s="58">
        <f t="shared" ca="1" si="13"/>
        <v>-7.5745930788969296E-2</v>
      </c>
      <c r="Q15" s="58">
        <f t="shared" ca="1" si="13"/>
        <v>5.6335556608300807E-2</v>
      </c>
      <c r="R15" s="58">
        <f t="shared" ca="1" si="13"/>
        <v>0.39348714602548385</v>
      </c>
      <c r="S15" s="58">
        <f t="shared" ca="1" si="13"/>
        <v>-8.0432221925540448E-3</v>
      </c>
      <c r="T15" s="58">
        <f t="shared" ca="1" si="13"/>
        <v>5.533751126367914E-2</v>
      </c>
      <c r="U15" s="58">
        <f t="shared" ca="1" si="13"/>
        <v>0.10351257273840941</v>
      </c>
      <c r="V15" s="58">
        <f t="shared" ca="1" si="13"/>
        <v>4.4220860753113156E-2</v>
      </c>
      <c r="W15" s="58">
        <f t="shared" ca="1" si="13"/>
        <v>9.2304613301779526E-2</v>
      </c>
      <c r="X15" s="58">
        <f t="shared" ca="1" si="13"/>
        <v>4.1476577346576393E-2</v>
      </c>
      <c r="Y15" s="58">
        <f t="shared" ca="1" si="13"/>
        <v>-6.6468208369149351E-2</v>
      </c>
      <c r="Z15" s="58">
        <f t="shared" ca="1" si="13"/>
        <v>0.5257712473669629</v>
      </c>
      <c r="AA15" s="58">
        <f t="shared" ca="1" si="13"/>
        <v>4.4963868798460593E-2</v>
      </c>
      <c r="AB15" s="58">
        <f t="shared" ca="1" si="13"/>
        <v>3.8080722903544473E-2</v>
      </c>
      <c r="AC15" s="58">
        <f t="shared" ca="1" si="13"/>
        <v>0.33480804285477062</v>
      </c>
      <c r="AD15" s="58">
        <f t="shared" ca="1" si="13"/>
        <v>-0.17163088907716184</v>
      </c>
      <c r="AE15" s="58">
        <f t="shared" ca="1" si="13"/>
        <v>8.1285211224126908E-2</v>
      </c>
      <c r="AF15" s="58">
        <f t="shared" ref="AF15" ca="1" si="14">AF16/AE16-1</f>
        <v>0.29588892246831855</v>
      </c>
      <c r="AG15" s="58">
        <f t="shared" ref="AG15" ca="1" si="15">AG16/AF16-1</f>
        <v>1.5169381220853095E-2</v>
      </c>
      <c r="AH15" s="58">
        <f t="shared" ref="AH15" ca="1" si="16">AH16/AG16-1</f>
        <v>0.23786273730258634</v>
      </c>
    </row>
    <row r="16" spans="2:34" x14ac:dyDescent="0.45">
      <c r="B16" s="2" t="s">
        <v>102</v>
      </c>
      <c r="C16" s="64">
        <f>C12</f>
        <v>100</v>
      </c>
      <c r="D16" s="5">
        <f t="shared" ref="D16:AE16" ca="1" si="17">C16*(1+_xlfn.NORM.INV(RAND(),$C$3,$C$5))+$C$4*(C12-C16)</f>
        <v>119.37539937098094</v>
      </c>
      <c r="E16" s="64">
        <f t="shared" ca="1" si="17"/>
        <v>122.28090212148379</v>
      </c>
      <c r="F16" s="64">
        <f t="shared" ca="1" si="17"/>
        <v>128.55403682615969</v>
      </c>
      <c r="G16" s="64">
        <f t="shared" ca="1" si="17"/>
        <v>147.2740955383436</v>
      </c>
      <c r="H16" s="64">
        <f t="shared" ca="1" si="17"/>
        <v>117.67544279283921</v>
      </c>
      <c r="I16" s="64">
        <f t="shared" ca="1" si="17"/>
        <v>128.71155952235449</v>
      </c>
      <c r="J16" s="64">
        <f t="shared" ca="1" si="17"/>
        <v>176.44642529943349</v>
      </c>
      <c r="K16" s="64">
        <f t="shared" ca="1" si="17"/>
        <v>204.62107415189985</v>
      </c>
      <c r="L16" s="64">
        <f t="shared" ca="1" si="17"/>
        <v>204.2804022085507</v>
      </c>
      <c r="M16" s="64">
        <f t="shared" ca="1" si="17"/>
        <v>241.37237727832317</v>
      </c>
      <c r="N16" s="64">
        <f t="shared" ca="1" si="17"/>
        <v>355.84083756898542</v>
      </c>
      <c r="O16" s="64">
        <f t="shared" ca="1" si="17"/>
        <v>328.19159460907593</v>
      </c>
      <c r="P16" s="64">
        <f t="shared" ca="1" si="17"/>
        <v>303.33241679829541</v>
      </c>
      <c r="Q16" s="64">
        <f t="shared" ca="1" si="17"/>
        <v>320.42081733596848</v>
      </c>
      <c r="R16" s="64">
        <f t="shared" ca="1" si="17"/>
        <v>446.50229027665159</v>
      </c>
      <c r="S16" s="64">
        <f t="shared" ca="1" si="17"/>
        <v>442.9109731464722</v>
      </c>
      <c r="T16" s="64">
        <f t="shared" ca="1" si="17"/>
        <v>467.42056411177219</v>
      </c>
      <c r="U16" s="64">
        <f t="shared" ca="1" si="17"/>
        <v>515.80446925382034</v>
      </c>
      <c r="V16" s="64">
        <f t="shared" ca="1" si="17"/>
        <v>538.61378686452701</v>
      </c>
      <c r="W16" s="64">
        <f t="shared" ca="1" si="17"/>
        <v>588.33032418006428</v>
      </c>
      <c r="X16" s="64">
        <f t="shared" ca="1" si="17"/>
        <v>612.73225237625502</v>
      </c>
      <c r="Y16" s="64">
        <f t="shared" ca="1" si="17"/>
        <v>572.0050373508119</v>
      </c>
      <c r="Z16" s="64">
        <f t="shared" ca="1" si="17"/>
        <v>872.74883933893443</v>
      </c>
      <c r="AA16" s="64">
        <f t="shared" ca="1" si="17"/>
        <v>911.99100364497895</v>
      </c>
      <c r="AB16" s="64">
        <f t="shared" ca="1" si="17"/>
        <v>946.72028034530877</v>
      </c>
      <c r="AC16" s="64">
        <f t="shared" ca="1" si="17"/>
        <v>1263.6898445386414</v>
      </c>
      <c r="AD16" s="64">
        <f t="shared" ca="1" si="17"/>
        <v>1046.801633002694</v>
      </c>
      <c r="AE16" s="64">
        <f t="shared" ca="1" si="17"/>
        <v>1131.891124851079</v>
      </c>
      <c r="AF16" s="64">
        <f t="shared" ref="AF16" ca="1" si="18">AE16*(1+_xlfn.NORM.INV(RAND(),$C$3,$C$5))+$C$4*(AE12-AE16)</f>
        <v>1466.8051701347179</v>
      </c>
      <c r="AG16" s="64">
        <f t="shared" ref="AG16" ca="1" si="19">AF16*(1+_xlfn.NORM.INV(RAND(),$C$3,$C$5))+$C$4*(AF12-AF16)</f>
        <v>1489.0556969372096</v>
      </c>
      <c r="AH16" s="64">
        <f t="shared" ref="AH16" ca="1" si="20">AG16*(1+_xlfn.NORM.INV(RAND(),$C$3,$C$5))+$C$4*(AG12-AG16)</f>
        <v>1843.2465610067047</v>
      </c>
    </row>
    <row r="17" spans="3:34" x14ac:dyDescent="0.45">
      <c r="C17" s="63">
        <v>100</v>
      </c>
      <c r="D17" s="63">
        <v>92.561827120579679</v>
      </c>
      <c r="E17" s="63">
        <v>103.76723643181117</v>
      </c>
      <c r="F17" s="63">
        <v>105.35771190542374</v>
      </c>
      <c r="G17" s="63">
        <v>132.42326158077407</v>
      </c>
      <c r="H17" s="63">
        <v>149.25255652250269</v>
      </c>
      <c r="I17" s="63">
        <v>159.04635888645674</v>
      </c>
      <c r="J17" s="63">
        <v>141.80542247260735</v>
      </c>
      <c r="K17" s="63">
        <v>190.26953506482948</v>
      </c>
      <c r="L17" s="63">
        <v>240.3716369785663</v>
      </c>
      <c r="M17" s="63">
        <v>303.44901085426312</v>
      </c>
      <c r="N17" s="63">
        <v>362.0973632735674</v>
      </c>
      <c r="O17" s="63">
        <v>331.51363626931584</v>
      </c>
      <c r="P17" s="63">
        <v>354.05849668572341</v>
      </c>
      <c r="Q17" s="63">
        <v>396.26530834414598</v>
      </c>
      <c r="R17" s="63">
        <v>423.01291258797187</v>
      </c>
      <c r="S17" s="63">
        <v>484.55778081631888</v>
      </c>
      <c r="T17" s="63">
        <v>485.24744381380555</v>
      </c>
      <c r="U17" s="63">
        <v>529.57732071751479</v>
      </c>
      <c r="V17" s="63">
        <v>489.49387284345676</v>
      </c>
      <c r="W17" s="63">
        <v>677.55529699673195</v>
      </c>
      <c r="X17" s="63">
        <v>671.15065522805185</v>
      </c>
      <c r="Y17" s="63">
        <v>861.30320569718538</v>
      </c>
      <c r="Z17" s="63">
        <v>756.03009778461899</v>
      </c>
      <c r="AA17" s="63">
        <v>818.67363993537379</v>
      </c>
      <c r="AB17" s="63">
        <v>894.90887045784916</v>
      </c>
      <c r="AC17" s="63">
        <v>1190.7032477823382</v>
      </c>
      <c r="AD17" s="63">
        <v>993.26852838841501</v>
      </c>
      <c r="AE17" s="63">
        <v>1293.6068577954156</v>
      </c>
      <c r="AF17" s="63">
        <v>1303.4401732895838</v>
      </c>
      <c r="AG17" s="63">
        <v>1495.9831191623834</v>
      </c>
      <c r="AH17" s="63">
        <v>1635.3281239507144</v>
      </c>
    </row>
    <row r="18" spans="3:34" x14ac:dyDescent="0.45">
      <c r="C18" s="63">
        <v>100</v>
      </c>
      <c r="D18" s="63">
        <v>118.14121947131369</v>
      </c>
      <c r="E18" s="63">
        <v>123.06889511971184</v>
      </c>
      <c r="F18" s="63">
        <v>138.23186436491153</v>
      </c>
      <c r="G18" s="63">
        <v>184.81970986425415</v>
      </c>
      <c r="H18" s="63">
        <v>212.69914963956995</v>
      </c>
      <c r="I18" s="63">
        <v>198.04116168853281</v>
      </c>
      <c r="J18" s="63">
        <v>198.94018444589256</v>
      </c>
      <c r="K18" s="63">
        <v>176.40807725546921</v>
      </c>
      <c r="L18" s="63">
        <v>200.45364172876907</v>
      </c>
      <c r="M18" s="63">
        <v>244.78328287953426</v>
      </c>
      <c r="N18" s="63">
        <v>254.32536235838739</v>
      </c>
      <c r="O18" s="63">
        <v>310.62202601011052</v>
      </c>
      <c r="P18" s="63">
        <v>372.75469048765461</v>
      </c>
      <c r="Q18" s="63">
        <v>405.60049807405505</v>
      </c>
      <c r="R18" s="63">
        <v>528.04502076590904</v>
      </c>
      <c r="S18" s="63">
        <v>514.38719334126176</v>
      </c>
      <c r="T18" s="63">
        <v>584.05948944833233</v>
      </c>
      <c r="U18" s="63">
        <v>599.79240569914646</v>
      </c>
      <c r="V18" s="63">
        <v>601.61468717965863</v>
      </c>
      <c r="W18" s="63">
        <v>818.95828241456286</v>
      </c>
      <c r="X18" s="63">
        <v>835.55101291193205</v>
      </c>
      <c r="Y18" s="63">
        <v>771.94077035745113</v>
      </c>
      <c r="Z18" s="63">
        <v>860.28035338751715</v>
      </c>
      <c r="AA18" s="63">
        <v>973.1838569171465</v>
      </c>
      <c r="AB18" s="63">
        <v>1089.7045557773986</v>
      </c>
      <c r="AC18" s="63">
        <v>1245.8846847992197</v>
      </c>
      <c r="AD18" s="63">
        <v>1194.8479983128288</v>
      </c>
      <c r="AE18" s="63">
        <v>1212.7536472574243</v>
      </c>
      <c r="AF18" s="63">
        <v>1560.4585688901457</v>
      </c>
      <c r="AG18" s="63">
        <v>1709.8235025354477</v>
      </c>
      <c r="AH18" s="63">
        <v>1832.127052636039</v>
      </c>
    </row>
    <row r="19" spans="3:34" x14ac:dyDescent="0.45">
      <c r="C19" s="63">
        <v>100</v>
      </c>
      <c r="D19" s="63">
        <v>117.00015968860914</v>
      </c>
      <c r="E19" s="63">
        <v>148.15898073384932</v>
      </c>
      <c r="F19" s="63">
        <v>175.8068826475108</v>
      </c>
      <c r="G19" s="63">
        <v>144.25986592131841</v>
      </c>
      <c r="H19" s="63">
        <v>139.19330063135314</v>
      </c>
      <c r="I19" s="63">
        <v>143.35508009601193</v>
      </c>
      <c r="J19" s="63">
        <v>185.32945116597921</v>
      </c>
      <c r="K19" s="63">
        <v>206.26039090161032</v>
      </c>
      <c r="L19" s="63">
        <v>254.37337472225283</v>
      </c>
      <c r="M19" s="63">
        <v>263.93272611696398</v>
      </c>
      <c r="N19" s="63">
        <v>274.00251225864827</v>
      </c>
      <c r="O19" s="63">
        <v>270.34078652529445</v>
      </c>
      <c r="P19" s="63">
        <v>311.78563058699228</v>
      </c>
      <c r="Q19" s="63">
        <v>372.02389551892162</v>
      </c>
      <c r="R19" s="63">
        <v>436.97725031008872</v>
      </c>
      <c r="S19" s="63">
        <v>410.12971802799518</v>
      </c>
      <c r="T19" s="63">
        <v>516.37061366730325</v>
      </c>
      <c r="U19" s="63">
        <v>584.83748802185858</v>
      </c>
      <c r="V19" s="63">
        <v>657.10071879935367</v>
      </c>
      <c r="W19" s="63">
        <v>729.77588491432175</v>
      </c>
      <c r="X19" s="63">
        <v>561.76539381143857</v>
      </c>
      <c r="Y19" s="63">
        <v>766.87925875864107</v>
      </c>
      <c r="Z19" s="63">
        <v>733.57328015221037</v>
      </c>
      <c r="AA19" s="63">
        <v>1017.3551338398649</v>
      </c>
      <c r="AB19" s="63">
        <v>1097.0932557091342</v>
      </c>
      <c r="AC19" s="63">
        <v>1396.1857797558628</v>
      </c>
      <c r="AD19" s="63">
        <v>1682.0326514229732</v>
      </c>
      <c r="AE19" s="63">
        <v>1612.0797774078837</v>
      </c>
      <c r="AF19" s="63">
        <v>1579.9551263437336</v>
      </c>
      <c r="AG19" s="63">
        <v>1875.554095717122</v>
      </c>
      <c r="AH19" s="63">
        <v>1862.0495759582684</v>
      </c>
    </row>
    <row r="20" spans="3:34" x14ac:dyDescent="0.45">
      <c r="C20" s="63">
        <v>100</v>
      </c>
      <c r="D20" s="63">
        <v>132.49673774376984</v>
      </c>
      <c r="E20" s="63">
        <v>122.2418694863695</v>
      </c>
      <c r="F20" s="63">
        <v>122.04148566292552</v>
      </c>
      <c r="G20" s="63">
        <v>112.95709336142829</v>
      </c>
      <c r="H20" s="63">
        <v>147.43969630514519</v>
      </c>
      <c r="I20" s="63">
        <v>183.17581699945595</v>
      </c>
      <c r="J20" s="63">
        <v>214.76507863684139</v>
      </c>
      <c r="K20" s="63">
        <v>233.77647959739426</v>
      </c>
      <c r="L20" s="63">
        <v>294.48876287177785</v>
      </c>
      <c r="M20" s="63">
        <v>293.00735871890004</v>
      </c>
      <c r="N20" s="63">
        <v>224.58840261007958</v>
      </c>
      <c r="O20" s="63">
        <v>285.50468649018524</v>
      </c>
      <c r="P20" s="63">
        <v>320.44707034770681</v>
      </c>
      <c r="Q20" s="63">
        <v>367.03000058770658</v>
      </c>
      <c r="R20" s="63">
        <v>353.63229298996146</v>
      </c>
      <c r="S20" s="63">
        <v>407.43075385431598</v>
      </c>
      <c r="T20" s="63">
        <v>511.88033355402928</v>
      </c>
      <c r="U20" s="63">
        <v>503.53341637341259</v>
      </c>
      <c r="V20" s="63">
        <v>574.8873217369628</v>
      </c>
      <c r="W20" s="63">
        <v>631.46178533815294</v>
      </c>
      <c r="X20" s="63">
        <v>678.72781967093715</v>
      </c>
      <c r="Y20" s="63">
        <v>754.0973330852305</v>
      </c>
      <c r="Z20" s="63">
        <v>976.76072245715079</v>
      </c>
      <c r="AA20" s="63">
        <v>1213.7346602700359</v>
      </c>
      <c r="AB20" s="63">
        <v>1379.7004917561769</v>
      </c>
      <c r="AC20" s="63">
        <v>1065.1492150500703</v>
      </c>
      <c r="AD20" s="63">
        <v>1512.9193794144458</v>
      </c>
      <c r="AE20" s="63">
        <v>1403.889892721774</v>
      </c>
      <c r="AF20" s="63">
        <v>1789.8660898963667</v>
      </c>
      <c r="AG20" s="63">
        <v>1707.8500396675922</v>
      </c>
      <c r="AH20" s="63">
        <v>2200.667248604339</v>
      </c>
    </row>
    <row r="21" spans="3:34" x14ac:dyDescent="0.45">
      <c r="C21" s="63">
        <v>100</v>
      </c>
      <c r="D21" s="63">
        <v>106.75592659233237</v>
      </c>
      <c r="E21" s="63">
        <v>96.054059718732191</v>
      </c>
      <c r="F21" s="63">
        <v>116.13273103338297</v>
      </c>
      <c r="G21" s="63">
        <v>143.12718164226735</v>
      </c>
      <c r="H21" s="63">
        <v>182.5916168319655</v>
      </c>
      <c r="I21" s="63">
        <v>164.93240923312382</v>
      </c>
      <c r="J21" s="63">
        <v>204.62093940233947</v>
      </c>
      <c r="K21" s="63">
        <v>198.28688390565409</v>
      </c>
      <c r="L21" s="63">
        <v>230.48337163886436</v>
      </c>
      <c r="M21" s="63">
        <v>278.09798595234088</v>
      </c>
      <c r="N21" s="63">
        <v>239.76741590773554</v>
      </c>
      <c r="O21" s="63">
        <v>290.24019639777788</v>
      </c>
      <c r="P21" s="63">
        <v>323.10822239670972</v>
      </c>
      <c r="Q21" s="63">
        <v>429.80010587817054</v>
      </c>
      <c r="R21" s="63">
        <v>450.14462436229832</v>
      </c>
      <c r="S21" s="63">
        <v>498.86520046248995</v>
      </c>
      <c r="T21" s="63">
        <v>463.63414383646455</v>
      </c>
      <c r="U21" s="63">
        <v>503.58951707852839</v>
      </c>
      <c r="V21" s="63">
        <v>545.07957337389041</v>
      </c>
      <c r="W21" s="63">
        <v>591.20294589680793</v>
      </c>
      <c r="X21" s="63">
        <v>703.60064953267431</v>
      </c>
      <c r="Y21" s="63">
        <v>771.80267305744076</v>
      </c>
      <c r="Z21" s="63">
        <v>847.03744739602462</v>
      </c>
      <c r="AA21" s="63">
        <v>1013.9723117918272</v>
      </c>
      <c r="AB21" s="63">
        <v>1013.6858367561961</v>
      </c>
      <c r="AC21" s="63">
        <v>1083.1906475183669</v>
      </c>
      <c r="AD21" s="63">
        <v>1239.7729914073393</v>
      </c>
      <c r="AE21" s="63">
        <v>1323.5623548336923</v>
      </c>
      <c r="AF21" s="63">
        <v>1628.3428198125534</v>
      </c>
      <c r="AG21" s="63">
        <v>1878.5100795661201</v>
      </c>
      <c r="AH21" s="63">
        <v>1604.588855770694</v>
      </c>
    </row>
    <row r="22" spans="3:34" x14ac:dyDescent="0.45">
      <c r="C22" s="63">
        <v>100</v>
      </c>
      <c r="D22" s="63">
        <v>119.57871184525881</v>
      </c>
      <c r="E22" s="63">
        <v>115.30354270644339</v>
      </c>
      <c r="F22" s="63">
        <v>138.29959001178699</v>
      </c>
      <c r="G22" s="63">
        <v>170.08986841769158</v>
      </c>
      <c r="H22" s="63">
        <v>193.18993276749916</v>
      </c>
      <c r="I22" s="63">
        <v>206.95598815252308</v>
      </c>
      <c r="J22" s="63">
        <v>217.91552358358695</v>
      </c>
      <c r="K22" s="63">
        <v>236.36844374739314</v>
      </c>
      <c r="L22" s="63">
        <v>248.08577206903584</v>
      </c>
      <c r="M22" s="63">
        <v>254.08749940105855</v>
      </c>
      <c r="N22" s="63">
        <v>293.31478872587479</v>
      </c>
      <c r="O22" s="63">
        <v>315.85701089543011</v>
      </c>
      <c r="P22" s="63">
        <v>311.3794611268346</v>
      </c>
      <c r="Q22" s="63">
        <v>344.09211583466629</v>
      </c>
      <c r="R22" s="63">
        <v>404.58784633643472</v>
      </c>
      <c r="S22" s="63">
        <v>426.99690029248291</v>
      </c>
      <c r="T22" s="63">
        <v>512.66388979770443</v>
      </c>
      <c r="U22" s="63">
        <v>446.93437698701348</v>
      </c>
      <c r="V22" s="63">
        <v>590.88102821566531</v>
      </c>
      <c r="W22" s="63">
        <v>566.72481369760339</v>
      </c>
      <c r="X22" s="63">
        <v>621.54214869027464</v>
      </c>
      <c r="Y22" s="63">
        <v>837.53326161396126</v>
      </c>
      <c r="Z22" s="63">
        <v>874.19771962639595</v>
      </c>
      <c r="AA22" s="63">
        <v>1024.2851537018296</v>
      </c>
      <c r="AB22" s="63">
        <v>1144.0356948034</v>
      </c>
      <c r="AC22" s="63">
        <v>1163.1596317730416</v>
      </c>
      <c r="AD22" s="63">
        <v>1092.1003250526937</v>
      </c>
      <c r="AE22" s="63">
        <v>1027.7399957644943</v>
      </c>
      <c r="AF22" s="63">
        <v>1249.699460551346</v>
      </c>
      <c r="AG22" s="63">
        <v>1316.4569200777803</v>
      </c>
      <c r="AH22" s="63">
        <v>1780.4588482877471</v>
      </c>
    </row>
    <row r="23" spans="3:34" x14ac:dyDescent="0.45">
      <c r="C23" s="63">
        <v>100</v>
      </c>
      <c r="D23" s="63">
        <v>130.49057944858492</v>
      </c>
      <c r="E23" s="63">
        <v>134.13250242334294</v>
      </c>
      <c r="F23" s="63">
        <v>100.36464948739062</v>
      </c>
      <c r="G23" s="63">
        <v>120.6172284574539</v>
      </c>
      <c r="H23" s="63">
        <v>144.30908795225909</v>
      </c>
      <c r="I23" s="63">
        <v>197.79028887642761</v>
      </c>
      <c r="J23" s="63">
        <v>169.28153956231449</v>
      </c>
      <c r="K23" s="63">
        <v>196.48388221760291</v>
      </c>
      <c r="L23" s="63">
        <v>237.46376827795638</v>
      </c>
      <c r="M23" s="63">
        <v>229.67442494999963</v>
      </c>
      <c r="N23" s="63">
        <v>289.79090734607922</v>
      </c>
      <c r="O23" s="63">
        <v>306.48770168898955</v>
      </c>
      <c r="P23" s="63">
        <v>294.08076513465375</v>
      </c>
      <c r="Q23" s="63">
        <v>340.58841086596522</v>
      </c>
      <c r="R23" s="63">
        <v>402.20033373729461</v>
      </c>
      <c r="S23" s="63">
        <v>496.43321623307918</v>
      </c>
      <c r="T23" s="63">
        <v>534.90892126000972</v>
      </c>
      <c r="U23" s="63">
        <v>518.45341481238256</v>
      </c>
      <c r="V23" s="63">
        <v>654.66583420987217</v>
      </c>
      <c r="W23" s="63">
        <v>777.52130709800247</v>
      </c>
      <c r="X23" s="63">
        <v>704.85077680347831</v>
      </c>
      <c r="Y23" s="63">
        <v>902.25759022292345</v>
      </c>
      <c r="Z23" s="63">
        <v>1070.0882096390053</v>
      </c>
      <c r="AA23" s="63">
        <v>1208.2462326711779</v>
      </c>
      <c r="AB23" s="63">
        <v>1403.7305671935446</v>
      </c>
      <c r="AC23" s="63">
        <v>1608.1651658935925</v>
      </c>
      <c r="AD23" s="63">
        <v>1694.9435733213036</v>
      </c>
      <c r="AE23" s="63">
        <v>1743.2662507256844</v>
      </c>
      <c r="AF23" s="63">
        <v>1708.4385485382445</v>
      </c>
      <c r="AG23" s="63">
        <v>1589.8612501401813</v>
      </c>
      <c r="AH23" s="63">
        <v>1820.0242595214672</v>
      </c>
    </row>
    <row r="24" spans="3:34" x14ac:dyDescent="0.45">
      <c r="C24" s="63">
        <v>100</v>
      </c>
      <c r="D24" s="63">
        <v>109.92742246230927</v>
      </c>
      <c r="E24" s="63">
        <v>115.81054123667252</v>
      </c>
      <c r="F24" s="63">
        <v>126.46973923566949</v>
      </c>
      <c r="G24" s="63">
        <v>143.56329168933257</v>
      </c>
      <c r="H24" s="63">
        <v>154.8219423370341</v>
      </c>
      <c r="I24" s="63">
        <v>208.61499005388876</v>
      </c>
      <c r="J24" s="63">
        <v>193.50803792892407</v>
      </c>
      <c r="K24" s="63">
        <v>163.47336393301538</v>
      </c>
      <c r="L24" s="63">
        <v>212.58854289070888</v>
      </c>
      <c r="M24" s="63">
        <v>308.70446761123463</v>
      </c>
      <c r="N24" s="63">
        <v>330.91644944660459</v>
      </c>
      <c r="O24" s="63">
        <v>386.89035918640974</v>
      </c>
      <c r="P24" s="63">
        <v>374.28031171814973</v>
      </c>
      <c r="Q24" s="63">
        <v>370.15957115399272</v>
      </c>
      <c r="R24" s="63">
        <v>364.77292402113324</v>
      </c>
      <c r="S24" s="63">
        <v>448.25121694529355</v>
      </c>
      <c r="T24" s="63">
        <v>508.13755951354057</v>
      </c>
      <c r="U24" s="63">
        <v>561.35000169469072</v>
      </c>
      <c r="V24" s="63">
        <v>565.17059360735641</v>
      </c>
      <c r="W24" s="63">
        <v>639.43223365499102</v>
      </c>
      <c r="X24" s="63">
        <v>719.54101870715022</v>
      </c>
      <c r="Y24" s="63">
        <v>859.24383332676871</v>
      </c>
      <c r="Z24" s="63">
        <v>969.45775082248213</v>
      </c>
      <c r="AA24" s="63">
        <v>969.91990913329573</v>
      </c>
      <c r="AB24" s="63">
        <v>1143.1581539438123</v>
      </c>
      <c r="AC24" s="63">
        <v>1175.2340240555272</v>
      </c>
      <c r="AD24" s="63">
        <v>1305.7882026092134</v>
      </c>
      <c r="AE24" s="63">
        <v>1353.5965175257695</v>
      </c>
      <c r="AF24" s="63">
        <v>1799.4504043793595</v>
      </c>
      <c r="AG24" s="63">
        <v>2029.9243302223538</v>
      </c>
      <c r="AH24" s="63">
        <v>1614.0672953754761</v>
      </c>
    </row>
    <row r="25" spans="3:34" x14ac:dyDescent="0.45">
      <c r="C25" s="63">
        <v>100</v>
      </c>
      <c r="D25" s="63">
        <v>115.86125169534263</v>
      </c>
      <c r="E25" s="63">
        <v>130.65184156729026</v>
      </c>
      <c r="F25" s="63">
        <v>143.99757910148725</v>
      </c>
      <c r="G25" s="63">
        <v>145.62273211280456</v>
      </c>
      <c r="H25" s="63">
        <v>150.05534910469785</v>
      </c>
      <c r="I25" s="63">
        <v>172.73259914054427</v>
      </c>
      <c r="J25" s="63">
        <v>216.26758733325408</v>
      </c>
      <c r="K25" s="63">
        <v>220.59956717378236</v>
      </c>
      <c r="L25" s="63">
        <v>210.98411347287509</v>
      </c>
      <c r="M25" s="63">
        <v>228.83430456593686</v>
      </c>
      <c r="N25" s="63">
        <v>261.60697998001046</v>
      </c>
      <c r="O25" s="63">
        <v>314.30476276779177</v>
      </c>
      <c r="P25" s="63">
        <v>315.65154046674036</v>
      </c>
      <c r="Q25" s="63">
        <v>383.45254458592444</v>
      </c>
      <c r="R25" s="63">
        <v>486.06744745530068</v>
      </c>
      <c r="S25" s="63">
        <v>518.04298878833924</v>
      </c>
      <c r="T25" s="63">
        <v>568.65743088353327</v>
      </c>
      <c r="U25" s="63">
        <v>473.93067776369878</v>
      </c>
      <c r="V25" s="63">
        <v>446.37827265847619</v>
      </c>
      <c r="W25" s="63">
        <v>582.02705997170233</v>
      </c>
      <c r="X25" s="63">
        <v>640.39946258700979</v>
      </c>
      <c r="Y25" s="63">
        <v>816.00067845016497</v>
      </c>
      <c r="Z25" s="63">
        <v>1069.1230555273307</v>
      </c>
      <c r="AA25" s="63">
        <v>1274.9305950690714</v>
      </c>
      <c r="AB25" s="63">
        <v>1117.4293985622594</v>
      </c>
      <c r="AC25" s="63">
        <v>1297.2792406892797</v>
      </c>
      <c r="AD25" s="63">
        <v>1577.3746794891315</v>
      </c>
      <c r="AE25" s="63">
        <v>1830.222916078867</v>
      </c>
      <c r="AF25" s="63">
        <v>1633.1362613975243</v>
      </c>
      <c r="AG25" s="63">
        <v>1778.6206603516932</v>
      </c>
      <c r="AH25" s="63">
        <v>2386.1206059947185</v>
      </c>
    </row>
    <row r="26" spans="3:34" x14ac:dyDescent="0.45">
      <c r="C26" s="63">
        <v>100</v>
      </c>
      <c r="D26" s="63">
        <v>115.44931874549826</v>
      </c>
      <c r="E26" s="63">
        <v>111.41299556438014</v>
      </c>
      <c r="F26" s="63">
        <v>119.20462639845115</v>
      </c>
      <c r="G26" s="63">
        <v>142.22331577206208</v>
      </c>
      <c r="H26" s="63">
        <v>156.26108247811459</v>
      </c>
      <c r="I26" s="63">
        <v>126.43500877125115</v>
      </c>
      <c r="J26" s="63">
        <v>145.95960290481827</v>
      </c>
      <c r="K26" s="63">
        <v>181.70339273793144</v>
      </c>
      <c r="L26" s="63">
        <v>225.18773076895343</v>
      </c>
      <c r="M26" s="63">
        <v>259.00407172735083</v>
      </c>
      <c r="N26" s="63">
        <v>233.77342884575296</v>
      </c>
      <c r="O26" s="63">
        <v>268.86736307388151</v>
      </c>
      <c r="P26" s="63">
        <v>358.86336822761615</v>
      </c>
      <c r="Q26" s="63">
        <v>396.03580908814536</v>
      </c>
      <c r="R26" s="63">
        <v>422.06318919696253</v>
      </c>
      <c r="S26" s="63">
        <v>426.83372565056811</v>
      </c>
      <c r="T26" s="63">
        <v>601.32265756946811</v>
      </c>
      <c r="U26" s="63">
        <v>570.40583602290292</v>
      </c>
      <c r="V26" s="63">
        <v>570.44173158596163</v>
      </c>
      <c r="W26" s="63">
        <v>676.66781344980222</v>
      </c>
      <c r="X26" s="63">
        <v>833.73279057378215</v>
      </c>
      <c r="Y26" s="63">
        <v>980.30014287206473</v>
      </c>
      <c r="Z26" s="63">
        <v>873.32469623590953</v>
      </c>
      <c r="AA26" s="63">
        <v>966.49682681935701</v>
      </c>
      <c r="AB26" s="63">
        <v>1140.8455854275546</v>
      </c>
      <c r="AC26" s="63">
        <v>1078.7778492104012</v>
      </c>
      <c r="AD26" s="63">
        <v>1300.8163712816668</v>
      </c>
      <c r="AE26" s="63">
        <v>1422.8437772629618</v>
      </c>
      <c r="AF26" s="63">
        <v>1621.3875891518651</v>
      </c>
      <c r="AG26" s="63">
        <v>1561.3201612198652</v>
      </c>
      <c r="AH26" s="63">
        <v>1860.5913522134956</v>
      </c>
    </row>
    <row r="27" spans="3:34" x14ac:dyDescent="0.45">
      <c r="C27" s="63">
        <v>100</v>
      </c>
      <c r="D27" s="63">
        <v>119.12682922908489</v>
      </c>
      <c r="E27" s="63">
        <v>125.2377000644554</v>
      </c>
      <c r="F27" s="63">
        <v>161.45598412589345</v>
      </c>
      <c r="G27" s="63">
        <v>190.72144845654759</v>
      </c>
      <c r="H27" s="63">
        <v>178.34645985261457</v>
      </c>
      <c r="I27" s="63">
        <v>233.58367945273739</v>
      </c>
      <c r="J27" s="63">
        <v>226.21176590644706</v>
      </c>
      <c r="K27" s="63">
        <v>193.91007126697269</v>
      </c>
      <c r="L27" s="63">
        <v>234.28357220539726</v>
      </c>
      <c r="M27" s="63">
        <v>226.43449579776512</v>
      </c>
      <c r="N27" s="63">
        <v>244.65708150435441</v>
      </c>
      <c r="O27" s="63">
        <v>281.85609623044513</v>
      </c>
      <c r="P27" s="63">
        <v>334.89750681724547</v>
      </c>
      <c r="Q27" s="63">
        <v>314.49330067632599</v>
      </c>
      <c r="R27" s="63">
        <v>331.41582786715554</v>
      </c>
      <c r="S27" s="63">
        <v>404.53351657837158</v>
      </c>
      <c r="T27" s="63">
        <v>459.28142061044866</v>
      </c>
      <c r="U27" s="63">
        <v>609.77014968103845</v>
      </c>
      <c r="V27" s="63">
        <v>671.05709025430531</v>
      </c>
      <c r="W27" s="63">
        <v>617.77959574140732</v>
      </c>
      <c r="X27" s="63">
        <v>798.2325374978401</v>
      </c>
      <c r="Y27" s="63">
        <v>735.36828480929557</v>
      </c>
      <c r="Z27" s="63">
        <v>976.66042557010815</v>
      </c>
      <c r="AA27" s="63">
        <v>927.89291150580402</v>
      </c>
      <c r="AB27" s="63">
        <v>972.18429278922849</v>
      </c>
      <c r="AC27" s="63">
        <v>1313.3882295285882</v>
      </c>
      <c r="AD27" s="63">
        <v>1190.979318860012</v>
      </c>
      <c r="AE27" s="63">
        <v>1468.970621700953</v>
      </c>
      <c r="AF27" s="63">
        <v>1739.7928955409709</v>
      </c>
      <c r="AG27" s="63">
        <v>1987.4493444802556</v>
      </c>
      <c r="AH27" s="63">
        <v>2337.9809522774949</v>
      </c>
    </row>
    <row r="28" spans="3:34" x14ac:dyDescent="0.45">
      <c r="C28" s="63">
        <v>100</v>
      </c>
      <c r="D28" s="63">
        <v>114.09700717419626</v>
      </c>
      <c r="E28" s="63">
        <v>126.38016426001182</v>
      </c>
      <c r="F28" s="63">
        <v>149.414419418949</v>
      </c>
      <c r="G28" s="63">
        <v>153.05298639964425</v>
      </c>
      <c r="H28" s="63">
        <v>176.94656779092293</v>
      </c>
      <c r="I28" s="63">
        <v>210.02811930699983</v>
      </c>
      <c r="J28" s="63">
        <v>212.27912268474955</v>
      </c>
      <c r="K28" s="63">
        <v>274.4153422874848</v>
      </c>
      <c r="L28" s="63">
        <v>268.80579363081011</v>
      </c>
      <c r="M28" s="63">
        <v>265.05671082952244</v>
      </c>
      <c r="N28" s="63">
        <v>328.22827606717374</v>
      </c>
      <c r="O28" s="63">
        <v>348.055093428742</v>
      </c>
      <c r="P28" s="63">
        <v>369.23760546564552</v>
      </c>
      <c r="Q28" s="63">
        <v>436.90356490763759</v>
      </c>
      <c r="R28" s="63">
        <v>520.95633802563577</v>
      </c>
      <c r="S28" s="63">
        <v>564.63842193282517</v>
      </c>
      <c r="T28" s="63">
        <v>573.60941933198001</v>
      </c>
      <c r="U28" s="63">
        <v>529.63483241066865</v>
      </c>
      <c r="V28" s="63">
        <v>654.38670691143159</v>
      </c>
      <c r="W28" s="63">
        <v>697.88413809301028</v>
      </c>
      <c r="X28" s="63">
        <v>743.97261155199908</v>
      </c>
      <c r="Y28" s="63">
        <v>897.14841576427784</v>
      </c>
      <c r="Z28" s="63">
        <v>951.50388922541981</v>
      </c>
      <c r="AA28" s="63">
        <v>996.68513681314266</v>
      </c>
      <c r="AB28" s="63">
        <v>963.16429848477401</v>
      </c>
      <c r="AC28" s="63">
        <v>1242.9189939882924</v>
      </c>
      <c r="AD28" s="63">
        <v>1605.5853736791296</v>
      </c>
      <c r="AE28" s="63">
        <v>1634.460249940415</v>
      </c>
      <c r="AF28" s="63">
        <v>1587.90164213816</v>
      </c>
      <c r="AG28" s="63">
        <v>1823.9745014442178</v>
      </c>
      <c r="AH28" s="63">
        <v>2060.1528168378982</v>
      </c>
    </row>
    <row r="29" spans="3:34" x14ac:dyDescent="0.45">
      <c r="C29" s="63">
        <v>100</v>
      </c>
      <c r="D29" s="63">
        <v>115.6592018581148</v>
      </c>
      <c r="E29" s="63">
        <v>137.9481298171338</v>
      </c>
      <c r="F29" s="63">
        <v>133.15111024169357</v>
      </c>
      <c r="G29" s="63">
        <v>130.26800636933683</v>
      </c>
      <c r="H29" s="63">
        <v>158.64812120937913</v>
      </c>
      <c r="I29" s="63">
        <v>196.48653204249797</v>
      </c>
      <c r="J29" s="63">
        <v>219.92163883960154</v>
      </c>
      <c r="K29" s="63">
        <v>252.60978744571929</v>
      </c>
      <c r="L29" s="63">
        <v>317.9705894727278</v>
      </c>
      <c r="M29" s="63">
        <v>331.41205034868824</v>
      </c>
      <c r="N29" s="63">
        <v>384.39992094138495</v>
      </c>
      <c r="O29" s="63">
        <v>331.34070646076941</v>
      </c>
      <c r="P29" s="63">
        <v>324.11631293757148</v>
      </c>
      <c r="Q29" s="63">
        <v>407.14967099474461</v>
      </c>
      <c r="R29" s="63">
        <v>398.61294765415266</v>
      </c>
      <c r="S29" s="63">
        <v>470.15658384822837</v>
      </c>
      <c r="T29" s="63">
        <v>514.07282176956608</v>
      </c>
      <c r="U29" s="63">
        <v>639.08772291305547</v>
      </c>
      <c r="V29" s="63">
        <v>688.01661224249028</v>
      </c>
      <c r="W29" s="63">
        <v>612.61048595180193</v>
      </c>
      <c r="X29" s="63">
        <v>721.83875511191673</v>
      </c>
      <c r="Y29" s="63">
        <v>736.27345471956733</v>
      </c>
      <c r="Z29" s="63">
        <v>753.99981559388846</v>
      </c>
      <c r="AA29" s="63">
        <v>862.79616211260782</v>
      </c>
      <c r="AB29" s="63">
        <v>1160.8991420931163</v>
      </c>
      <c r="AC29" s="63">
        <v>1185.1572651945244</v>
      </c>
      <c r="AD29" s="63">
        <v>1178.1917106989358</v>
      </c>
      <c r="AE29" s="63">
        <v>1516.8462843601367</v>
      </c>
      <c r="AF29" s="63">
        <v>1594.4814727703197</v>
      </c>
      <c r="AG29" s="63">
        <v>1775.931096571343</v>
      </c>
      <c r="AH29" s="63">
        <v>1856.4091568618135</v>
      </c>
    </row>
    <row r="30" spans="3:34" x14ac:dyDescent="0.45">
      <c r="C30" s="63">
        <v>100</v>
      </c>
      <c r="D30" s="63">
        <v>104.23109511206864</v>
      </c>
      <c r="E30" s="63">
        <v>126.09774685302018</v>
      </c>
      <c r="F30" s="63">
        <v>146.55169415550682</v>
      </c>
      <c r="G30" s="63">
        <v>143.15476912995155</v>
      </c>
      <c r="H30" s="63">
        <v>156.0836951458304</v>
      </c>
      <c r="I30" s="63">
        <v>140.48482886103986</v>
      </c>
      <c r="J30" s="63">
        <v>168.98680929625255</v>
      </c>
      <c r="K30" s="63">
        <v>190.05349436686686</v>
      </c>
      <c r="L30" s="63">
        <v>195.81100717952717</v>
      </c>
      <c r="M30" s="63">
        <v>231.49380716808363</v>
      </c>
      <c r="N30" s="63">
        <v>265.40349311440093</v>
      </c>
      <c r="O30" s="63">
        <v>275.93571771645611</v>
      </c>
      <c r="P30" s="63">
        <v>268.93102436310869</v>
      </c>
      <c r="Q30" s="63">
        <v>371.44829725481662</v>
      </c>
      <c r="R30" s="63">
        <v>468.88647775719136</v>
      </c>
      <c r="S30" s="63">
        <v>523.61358074544637</v>
      </c>
      <c r="T30" s="63">
        <v>486.56124001728051</v>
      </c>
      <c r="U30" s="63">
        <v>461.79746765210666</v>
      </c>
      <c r="V30" s="63">
        <v>598.43348576164772</v>
      </c>
      <c r="W30" s="63">
        <v>583.67389062402958</v>
      </c>
      <c r="X30" s="63">
        <v>745.44212191644976</v>
      </c>
      <c r="Y30" s="63">
        <v>774.12488037191167</v>
      </c>
      <c r="Z30" s="63">
        <v>832.83171599066486</v>
      </c>
      <c r="AA30" s="63">
        <v>1017.8627783618998</v>
      </c>
      <c r="AB30" s="63">
        <v>1224.3005016900986</v>
      </c>
      <c r="AC30" s="63">
        <v>1468.2010212979421</v>
      </c>
      <c r="AD30" s="63">
        <v>1334.1468791870357</v>
      </c>
      <c r="AE30" s="63">
        <v>1583.5186329585636</v>
      </c>
      <c r="AF30" s="63">
        <v>1672.0125289985851</v>
      </c>
      <c r="AG30" s="63">
        <v>1713.4654859327188</v>
      </c>
      <c r="AH30" s="63">
        <v>2279.7063890613645</v>
      </c>
    </row>
    <row r="31" spans="3:34" x14ac:dyDescent="0.45">
      <c r="C31" s="63">
        <v>100</v>
      </c>
      <c r="D31" s="63">
        <v>112.1757693064972</v>
      </c>
      <c r="E31" s="63">
        <v>156.30566230895766</v>
      </c>
      <c r="F31" s="63">
        <v>148.29197117011245</v>
      </c>
      <c r="G31" s="63">
        <v>160.14519267800523</v>
      </c>
      <c r="H31" s="63">
        <v>156.0984126890371</v>
      </c>
      <c r="I31" s="63">
        <v>154.36834824107555</v>
      </c>
      <c r="J31" s="63">
        <v>150.35523799109083</v>
      </c>
      <c r="K31" s="63">
        <v>195.14103212602461</v>
      </c>
      <c r="L31" s="63">
        <v>203.89504975317129</v>
      </c>
      <c r="M31" s="63">
        <v>268.26900490065242</v>
      </c>
      <c r="N31" s="63">
        <v>279.98600644556763</v>
      </c>
      <c r="O31" s="63">
        <v>292.40093910183464</v>
      </c>
      <c r="P31" s="63">
        <v>342.8443787449184</v>
      </c>
      <c r="Q31" s="63">
        <v>375.0626727825254</v>
      </c>
      <c r="R31" s="63">
        <v>462.85377357828952</v>
      </c>
      <c r="S31" s="63">
        <v>425.44273147914589</v>
      </c>
      <c r="T31" s="63">
        <v>529.9313213873902</v>
      </c>
      <c r="U31" s="63">
        <v>651.58621275247617</v>
      </c>
      <c r="V31" s="63">
        <v>569.30938542759895</v>
      </c>
      <c r="W31" s="63">
        <v>732.09797744978835</v>
      </c>
      <c r="X31" s="63">
        <v>717.90971934463323</v>
      </c>
      <c r="Y31" s="63">
        <v>799.01609276764657</v>
      </c>
      <c r="Z31" s="63">
        <v>866.23858454149956</v>
      </c>
      <c r="AA31" s="63">
        <v>995.42138483169583</v>
      </c>
      <c r="AB31" s="63">
        <v>1064.953947570415</v>
      </c>
      <c r="AC31" s="63">
        <v>1158.9206349440935</v>
      </c>
      <c r="AD31" s="63">
        <v>1203.8527275745682</v>
      </c>
      <c r="AE31" s="63">
        <v>1268.1080620480661</v>
      </c>
      <c r="AF31" s="63">
        <v>1517.6084311724708</v>
      </c>
      <c r="AG31" s="63">
        <v>1725.2095830437718</v>
      </c>
      <c r="AH31" s="63">
        <v>2079.3020636738738</v>
      </c>
    </row>
    <row r="32" spans="3:34" x14ac:dyDescent="0.45">
      <c r="C32" s="63">
        <v>100</v>
      </c>
      <c r="D32" s="63">
        <v>102.05705764542954</v>
      </c>
      <c r="E32" s="63">
        <v>113.57198655227278</v>
      </c>
      <c r="F32" s="63">
        <v>155.07051455847895</v>
      </c>
      <c r="G32" s="63">
        <v>175.30488311422147</v>
      </c>
      <c r="H32" s="63">
        <v>185.88956840961956</v>
      </c>
      <c r="I32" s="63">
        <v>164.21318582747824</v>
      </c>
      <c r="J32" s="63">
        <v>170.88548236884418</v>
      </c>
      <c r="K32" s="63">
        <v>174.18675968859105</v>
      </c>
      <c r="L32" s="63">
        <v>184.22073588477627</v>
      </c>
      <c r="M32" s="63">
        <v>223.34073372240252</v>
      </c>
      <c r="N32" s="63">
        <v>292.00342248429246</v>
      </c>
      <c r="O32" s="63">
        <v>274.90044953591428</v>
      </c>
      <c r="P32" s="63">
        <v>338.16609579942678</v>
      </c>
      <c r="Q32" s="63">
        <v>455.75908013264274</v>
      </c>
      <c r="R32" s="63">
        <v>538.62750442368588</v>
      </c>
      <c r="S32" s="63">
        <v>605.06746814849032</v>
      </c>
      <c r="T32" s="63">
        <v>702.64558502010391</v>
      </c>
      <c r="U32" s="63">
        <v>708.19581152289823</v>
      </c>
      <c r="V32" s="63">
        <v>773.48700154529547</v>
      </c>
      <c r="W32" s="63">
        <v>844.28810450759181</v>
      </c>
      <c r="X32" s="63">
        <v>1079.4314536597592</v>
      </c>
      <c r="Y32" s="63">
        <v>1074.6532614169257</v>
      </c>
      <c r="Z32" s="63">
        <v>1170.739940803875</v>
      </c>
      <c r="AA32" s="63">
        <v>1155.4590972516867</v>
      </c>
      <c r="AB32" s="63">
        <v>1050.1006163513218</v>
      </c>
      <c r="AC32" s="63">
        <v>1111.6116776924919</v>
      </c>
      <c r="AD32" s="63">
        <v>1374.5458037884287</v>
      </c>
      <c r="AE32" s="63">
        <v>1504.4086098899804</v>
      </c>
      <c r="AF32" s="63">
        <v>1446.3919776283519</v>
      </c>
      <c r="AG32" s="63">
        <v>1838.2882733682766</v>
      </c>
      <c r="AH32" s="63">
        <v>2198.6969649483081</v>
      </c>
    </row>
    <row r="33" spans="3:34" x14ac:dyDescent="0.45">
      <c r="C33" s="63">
        <v>100</v>
      </c>
      <c r="D33" s="63">
        <v>104.53213612832756</v>
      </c>
      <c r="E33" s="63">
        <v>103.85918523707011</v>
      </c>
      <c r="F33" s="63">
        <v>101.95856166501062</v>
      </c>
      <c r="G33" s="63">
        <v>126.10971557797133</v>
      </c>
      <c r="H33" s="63">
        <v>159.729944347181</v>
      </c>
      <c r="I33" s="63">
        <v>174.05333933453889</v>
      </c>
      <c r="J33" s="63">
        <v>180.19420595736199</v>
      </c>
      <c r="K33" s="63">
        <v>195.90892248811713</v>
      </c>
      <c r="L33" s="63">
        <v>209.23713323709154</v>
      </c>
      <c r="M33" s="63">
        <v>297.94487208068341</v>
      </c>
      <c r="N33" s="63">
        <v>363.64474667890454</v>
      </c>
      <c r="O33" s="63">
        <v>333.19021480394775</v>
      </c>
      <c r="P33" s="63">
        <v>419.7195362992876</v>
      </c>
      <c r="Q33" s="63">
        <v>470.22713732287269</v>
      </c>
      <c r="R33" s="63">
        <v>359.74967633708593</v>
      </c>
      <c r="S33" s="63">
        <v>519.89211178431253</v>
      </c>
      <c r="T33" s="63">
        <v>524.1189224394559</v>
      </c>
      <c r="U33" s="63">
        <v>599.13518723501886</v>
      </c>
      <c r="V33" s="63">
        <v>621.40025517958475</v>
      </c>
      <c r="W33" s="63">
        <v>611.88794647179077</v>
      </c>
      <c r="X33" s="63">
        <v>659.59793142346211</v>
      </c>
      <c r="Y33" s="63">
        <v>653.91190213656614</v>
      </c>
      <c r="Z33" s="63">
        <v>653.0174357852527</v>
      </c>
      <c r="AA33" s="63">
        <v>858.46310270472327</v>
      </c>
      <c r="AB33" s="63">
        <v>924.37808745818893</v>
      </c>
      <c r="AC33" s="63">
        <v>1295.4047328461113</v>
      </c>
      <c r="AD33" s="63">
        <v>1464.8516348223773</v>
      </c>
      <c r="AE33" s="63">
        <v>1437.5781393101852</v>
      </c>
      <c r="AF33" s="63">
        <v>1653.2009150998713</v>
      </c>
      <c r="AG33" s="63">
        <v>1792.6402619695095</v>
      </c>
      <c r="AH33" s="63">
        <v>1966.9906788512797</v>
      </c>
    </row>
    <row r="34" spans="3:34" x14ac:dyDescent="0.45">
      <c r="C34" s="63">
        <v>100</v>
      </c>
      <c r="D34" s="63">
        <v>122.29014214922498</v>
      </c>
      <c r="E34" s="63">
        <v>139.02373710836011</v>
      </c>
      <c r="F34" s="63">
        <v>151.29701284463593</v>
      </c>
      <c r="G34" s="63">
        <v>170.46948001687591</v>
      </c>
      <c r="H34" s="63">
        <v>212.36023828620381</v>
      </c>
      <c r="I34" s="63">
        <v>256.11541488257063</v>
      </c>
      <c r="J34" s="63">
        <v>275.35753107057877</v>
      </c>
      <c r="K34" s="63">
        <v>233.57958551088274</v>
      </c>
      <c r="L34" s="63">
        <v>238.14102420299912</v>
      </c>
      <c r="M34" s="63">
        <v>251.01521859645661</v>
      </c>
      <c r="N34" s="63">
        <v>271.50045103110386</v>
      </c>
      <c r="O34" s="63">
        <v>326.24268700744528</v>
      </c>
      <c r="P34" s="63">
        <v>341.82887684468517</v>
      </c>
      <c r="Q34" s="63">
        <v>371.17453830893982</v>
      </c>
      <c r="R34" s="63">
        <v>427.26533107348092</v>
      </c>
      <c r="S34" s="63">
        <v>439.29959390281317</v>
      </c>
      <c r="T34" s="63">
        <v>447.06622401231056</v>
      </c>
      <c r="U34" s="63">
        <v>568.90566724333667</v>
      </c>
      <c r="V34" s="63">
        <v>657.5749532749843</v>
      </c>
      <c r="W34" s="63">
        <v>675.96027735014241</v>
      </c>
      <c r="X34" s="63">
        <v>733.41597145932099</v>
      </c>
      <c r="Y34" s="63">
        <v>812.63920161489045</v>
      </c>
      <c r="Z34" s="63">
        <v>901.54805153396808</v>
      </c>
      <c r="AA34" s="63">
        <v>944.83875143357091</v>
      </c>
      <c r="AB34" s="63">
        <v>1025.4889889384515</v>
      </c>
      <c r="AC34" s="63">
        <v>1090.5065815162993</v>
      </c>
      <c r="AD34" s="63">
        <v>1198.6191214850815</v>
      </c>
      <c r="AE34" s="63">
        <v>1454.2696417745653</v>
      </c>
      <c r="AF34" s="63">
        <v>1746.532732361612</v>
      </c>
      <c r="AG34" s="63">
        <v>1540.25924110255</v>
      </c>
      <c r="AH34" s="63">
        <v>1769.1562647538249</v>
      </c>
    </row>
    <row r="35" spans="3:34" x14ac:dyDescent="0.45">
      <c r="C35" s="63">
        <v>100</v>
      </c>
      <c r="D35" s="63">
        <v>106.17033443420209</v>
      </c>
      <c r="E35" s="63">
        <v>124.78298857945316</v>
      </c>
      <c r="F35" s="63">
        <v>163.9321511869955</v>
      </c>
      <c r="G35" s="63">
        <v>130.9517774609144</v>
      </c>
      <c r="H35" s="63">
        <v>168.56268745506756</v>
      </c>
      <c r="I35" s="63">
        <v>174.14614604192434</v>
      </c>
      <c r="J35" s="63">
        <v>214.537819310825</v>
      </c>
      <c r="K35" s="63">
        <v>221.21229663287301</v>
      </c>
      <c r="L35" s="63">
        <v>241.13412904973723</v>
      </c>
      <c r="M35" s="63">
        <v>298.89262275918202</v>
      </c>
      <c r="N35" s="63">
        <v>354.91538694803512</v>
      </c>
      <c r="O35" s="63">
        <v>365.73201488978776</v>
      </c>
      <c r="P35" s="63">
        <v>412.6380766650218</v>
      </c>
      <c r="Q35" s="63">
        <v>474.73021831479531</v>
      </c>
      <c r="R35" s="63">
        <v>447.98373059217795</v>
      </c>
      <c r="S35" s="63">
        <v>382.23612549299833</v>
      </c>
      <c r="T35" s="63">
        <v>475.41435482992114</v>
      </c>
      <c r="U35" s="63">
        <v>554.47100887667375</v>
      </c>
      <c r="V35" s="63">
        <v>723.19152159258169</v>
      </c>
      <c r="W35" s="63">
        <v>738.83889332614797</v>
      </c>
      <c r="X35" s="63">
        <v>680.75082365089338</v>
      </c>
      <c r="Y35" s="63">
        <v>901.22814447084397</v>
      </c>
      <c r="Z35" s="63">
        <v>939.66517150127993</v>
      </c>
      <c r="AA35" s="63">
        <v>1021.3909491945778</v>
      </c>
      <c r="AB35" s="63">
        <v>1103.5650693105397</v>
      </c>
      <c r="AC35" s="63">
        <v>1057.9735012219994</v>
      </c>
      <c r="AD35" s="63">
        <v>1460.6985641699621</v>
      </c>
      <c r="AE35" s="63">
        <v>1816.5127650133873</v>
      </c>
      <c r="AF35" s="63">
        <v>1873.9281469312541</v>
      </c>
      <c r="AG35" s="63">
        <v>1857.999440089058</v>
      </c>
      <c r="AH35" s="63">
        <v>1967.0447362225445</v>
      </c>
    </row>
    <row r="36" spans="3:34" x14ac:dyDescent="0.45">
      <c r="C36" s="63">
        <v>100</v>
      </c>
      <c r="D36" s="63">
        <v>110.68964887048539</v>
      </c>
      <c r="E36" s="63">
        <v>119.73161781448358</v>
      </c>
      <c r="F36" s="63">
        <v>105.75763062537996</v>
      </c>
      <c r="G36" s="63">
        <v>122.80613896415831</v>
      </c>
      <c r="H36" s="63">
        <v>131.13215467450738</v>
      </c>
      <c r="I36" s="63">
        <v>167.71666346887159</v>
      </c>
      <c r="J36" s="63">
        <v>184.75497457869093</v>
      </c>
      <c r="K36" s="63">
        <v>214.72824933833792</v>
      </c>
      <c r="L36" s="63">
        <v>254.59178396213201</v>
      </c>
      <c r="M36" s="63">
        <v>329.98695608177297</v>
      </c>
      <c r="N36" s="63">
        <v>322.91420341418802</v>
      </c>
      <c r="O36" s="63">
        <v>351.71636730517969</v>
      </c>
      <c r="P36" s="63">
        <v>423.93212877877153</v>
      </c>
      <c r="Q36" s="63">
        <v>416.68487251359124</v>
      </c>
      <c r="R36" s="63">
        <v>396.7519492247518</v>
      </c>
      <c r="S36" s="63">
        <v>415.57781684047529</v>
      </c>
      <c r="T36" s="63">
        <v>525.28766657836695</v>
      </c>
      <c r="U36" s="63">
        <v>575.74498576960116</v>
      </c>
      <c r="V36" s="63">
        <v>618.99519415857503</v>
      </c>
      <c r="W36" s="63">
        <v>699.07237105652018</v>
      </c>
      <c r="X36" s="63">
        <v>932.59674135481464</v>
      </c>
      <c r="Y36" s="63">
        <v>875.47603254767728</v>
      </c>
      <c r="Z36" s="63">
        <v>806.01782239597287</v>
      </c>
      <c r="AA36" s="63">
        <v>852.13667682852974</v>
      </c>
      <c r="AB36" s="63">
        <v>989.8803407004159</v>
      </c>
      <c r="AC36" s="63">
        <v>1165.2995487848066</v>
      </c>
      <c r="AD36" s="63">
        <v>978.67673817726029</v>
      </c>
      <c r="AE36" s="63">
        <v>1182.5382163974223</v>
      </c>
      <c r="AF36" s="63">
        <v>1406.8783851372716</v>
      </c>
      <c r="AG36" s="63">
        <v>1953.8900071929879</v>
      </c>
      <c r="AH36" s="63">
        <v>2513.3164040083038</v>
      </c>
    </row>
    <row r="37" spans="3:34" x14ac:dyDescent="0.45">
      <c r="C37" s="63">
        <v>100</v>
      </c>
      <c r="D37" s="63">
        <v>105.9408716629025</v>
      </c>
      <c r="E37" s="63">
        <v>101.27081346375809</v>
      </c>
      <c r="F37" s="63">
        <v>115.81562473986146</v>
      </c>
      <c r="G37" s="63">
        <v>141.73739461460622</v>
      </c>
      <c r="H37" s="63">
        <v>180.50350528278878</v>
      </c>
      <c r="I37" s="63">
        <v>193.48250064803671</v>
      </c>
      <c r="J37" s="63">
        <v>225.16655684067365</v>
      </c>
      <c r="K37" s="63">
        <v>202.69017481269395</v>
      </c>
      <c r="L37" s="63">
        <v>251.72648149488367</v>
      </c>
      <c r="M37" s="63">
        <v>311.78459663682082</v>
      </c>
      <c r="N37" s="63">
        <v>249.34866489165938</v>
      </c>
      <c r="O37" s="63">
        <v>286.91982756164521</v>
      </c>
      <c r="P37" s="63">
        <v>296.13178720312584</v>
      </c>
      <c r="Q37" s="63">
        <v>359.68754377686082</v>
      </c>
      <c r="R37" s="63">
        <v>362.22114611167297</v>
      </c>
      <c r="S37" s="63">
        <v>427.97268565046397</v>
      </c>
      <c r="T37" s="63">
        <v>476.02866947783036</v>
      </c>
      <c r="U37" s="63">
        <v>558.96578172852605</v>
      </c>
      <c r="V37" s="63">
        <v>739.14040000805426</v>
      </c>
      <c r="W37" s="63">
        <v>685.29398546509606</v>
      </c>
      <c r="X37" s="63">
        <v>626.41663646777306</v>
      </c>
      <c r="Y37" s="63">
        <v>798.63325531846067</v>
      </c>
      <c r="Z37" s="63">
        <v>1030.400469439069</v>
      </c>
      <c r="AA37" s="63">
        <v>925.83400019564351</v>
      </c>
      <c r="AB37" s="63">
        <v>1218.0342581293351</v>
      </c>
      <c r="AC37" s="63">
        <v>1440.0610514736431</v>
      </c>
      <c r="AD37" s="63">
        <v>1392.0707694527723</v>
      </c>
      <c r="AE37" s="63">
        <v>1479.8517181781408</v>
      </c>
      <c r="AF37" s="63">
        <v>1626.3956724013071</v>
      </c>
      <c r="AG37" s="63">
        <v>1332.2888085848326</v>
      </c>
      <c r="AH37" s="63">
        <v>1830.4996294100747</v>
      </c>
    </row>
    <row r="38" spans="3:34" x14ac:dyDescent="0.45">
      <c r="C38" s="63">
        <v>100</v>
      </c>
      <c r="D38" s="63">
        <v>114.94043446402742</v>
      </c>
      <c r="E38" s="63">
        <v>116.29400070328288</v>
      </c>
      <c r="F38" s="63">
        <v>132.73302708715406</v>
      </c>
      <c r="G38" s="63">
        <v>126.25737399576701</v>
      </c>
      <c r="H38" s="63">
        <v>165.30348574942485</v>
      </c>
      <c r="I38" s="63">
        <v>187.18166833968175</v>
      </c>
      <c r="J38" s="63">
        <v>206.13106939222652</v>
      </c>
      <c r="K38" s="63">
        <v>204.07901485761792</v>
      </c>
      <c r="L38" s="63">
        <v>213.1702787510068</v>
      </c>
      <c r="M38" s="63">
        <v>323.25986634657227</v>
      </c>
      <c r="N38" s="63">
        <v>322.34448647522822</v>
      </c>
      <c r="O38" s="63">
        <v>374.96011843098853</v>
      </c>
      <c r="P38" s="63">
        <v>447.7545581480847</v>
      </c>
      <c r="Q38" s="63">
        <v>426.79728116832842</v>
      </c>
      <c r="R38" s="63">
        <v>408.69519188802644</v>
      </c>
      <c r="S38" s="63">
        <v>459.22395277797114</v>
      </c>
      <c r="T38" s="63">
        <v>434.50109305215864</v>
      </c>
      <c r="U38" s="63">
        <v>451.16970141309565</v>
      </c>
      <c r="V38" s="63">
        <v>601.01104939147649</v>
      </c>
      <c r="W38" s="63">
        <v>775.93079799805435</v>
      </c>
      <c r="X38" s="63">
        <v>921.43093385052975</v>
      </c>
      <c r="Y38" s="63">
        <v>841.81697416134011</v>
      </c>
      <c r="Z38" s="63">
        <v>951.63662149517393</v>
      </c>
      <c r="AA38" s="63">
        <v>1011.9918477194985</v>
      </c>
      <c r="AB38" s="63">
        <v>1239.5370036320592</v>
      </c>
      <c r="AC38" s="63">
        <v>1284.5893816479509</v>
      </c>
      <c r="AD38" s="63">
        <v>1600.121711696072</v>
      </c>
      <c r="AE38" s="63">
        <v>1665.2191502881828</v>
      </c>
      <c r="AF38" s="63">
        <v>1406.7467543824623</v>
      </c>
      <c r="AG38" s="63">
        <v>1593.9787779187684</v>
      </c>
      <c r="AH38" s="63">
        <v>2225.469353664459</v>
      </c>
    </row>
    <row r="39" spans="3:34" x14ac:dyDescent="0.45">
      <c r="C39" s="63">
        <v>100</v>
      </c>
      <c r="D39" s="63">
        <v>100.15627401225625</v>
      </c>
      <c r="E39" s="63">
        <v>111.07536084321008</v>
      </c>
      <c r="F39" s="63">
        <v>119.98619670169364</v>
      </c>
      <c r="G39" s="63">
        <v>122.26385595002412</v>
      </c>
      <c r="H39" s="63">
        <v>127.88256830751284</v>
      </c>
      <c r="I39" s="63">
        <v>156.44966361459751</v>
      </c>
      <c r="J39" s="63">
        <v>180.66026319525031</v>
      </c>
      <c r="K39" s="63">
        <v>232.28932747798274</v>
      </c>
      <c r="L39" s="63">
        <v>245.39876373188952</v>
      </c>
      <c r="M39" s="63">
        <v>319.12628914358015</v>
      </c>
      <c r="N39" s="63">
        <v>285.45087917281148</v>
      </c>
      <c r="O39" s="63">
        <v>337.33589492504973</v>
      </c>
      <c r="P39" s="63">
        <v>413.38600362404236</v>
      </c>
      <c r="Q39" s="63">
        <v>406.55679008071735</v>
      </c>
      <c r="R39" s="63">
        <v>461.88546646401716</v>
      </c>
      <c r="S39" s="63">
        <v>411.43107859960821</v>
      </c>
      <c r="T39" s="63">
        <v>507.53463967720194</v>
      </c>
      <c r="U39" s="63">
        <v>577.28387969750452</v>
      </c>
      <c r="V39" s="63">
        <v>634.48194967721952</v>
      </c>
      <c r="W39" s="63">
        <v>779.80173298451246</v>
      </c>
      <c r="X39" s="63">
        <v>616.51897336714762</v>
      </c>
      <c r="Y39" s="63">
        <v>746.2536219480204</v>
      </c>
      <c r="Z39" s="63">
        <v>826.28012637766687</v>
      </c>
      <c r="AA39" s="63">
        <v>1158.5430045582318</v>
      </c>
      <c r="AB39" s="63">
        <v>1188.5592092829004</v>
      </c>
      <c r="AC39" s="63">
        <v>1339.73058275313</v>
      </c>
      <c r="AD39" s="63">
        <v>1564.474247604559</v>
      </c>
      <c r="AE39" s="63">
        <v>1535.6454944450195</v>
      </c>
      <c r="AF39" s="63">
        <v>1787.8129353791123</v>
      </c>
      <c r="AG39" s="63">
        <v>2084.3418333967516</v>
      </c>
      <c r="AH39" s="63">
        <v>1878.5761379128196</v>
      </c>
    </row>
    <row r="40" spans="3:34" x14ac:dyDescent="0.45">
      <c r="C40" s="63">
        <v>100</v>
      </c>
      <c r="D40" s="63">
        <v>94.581742200841092</v>
      </c>
      <c r="E40" s="63">
        <v>115.3250344403242</v>
      </c>
      <c r="F40" s="63">
        <v>121.24884672379561</v>
      </c>
      <c r="G40" s="63">
        <v>149.1617024044352</v>
      </c>
      <c r="H40" s="63">
        <v>150.88777935782883</v>
      </c>
      <c r="I40" s="63">
        <v>192.66791378890818</v>
      </c>
      <c r="J40" s="63">
        <v>167.0940608238181</v>
      </c>
      <c r="K40" s="63">
        <v>194.64895332965881</v>
      </c>
      <c r="L40" s="63">
        <v>209.98375214589225</v>
      </c>
      <c r="M40" s="63">
        <v>266.5360897176256</v>
      </c>
      <c r="N40" s="63">
        <v>260.75882325374948</v>
      </c>
      <c r="O40" s="63">
        <v>247.50742625054633</v>
      </c>
      <c r="P40" s="63">
        <v>353.91416672636171</v>
      </c>
      <c r="Q40" s="63">
        <v>409.95901204462984</v>
      </c>
      <c r="R40" s="63">
        <v>394.23294929513827</v>
      </c>
      <c r="S40" s="63">
        <v>476.2234390346606</v>
      </c>
      <c r="T40" s="63">
        <v>448.92707518439431</v>
      </c>
      <c r="U40" s="63">
        <v>506.8911019487864</v>
      </c>
      <c r="V40" s="63">
        <v>578.33823212875336</v>
      </c>
      <c r="W40" s="63">
        <v>683.39146001657889</v>
      </c>
      <c r="X40" s="63">
        <v>637.47493778927151</v>
      </c>
      <c r="Y40" s="63">
        <v>667.67233261185743</v>
      </c>
      <c r="Z40" s="63">
        <v>772.26477091524998</v>
      </c>
      <c r="AA40" s="63">
        <v>774.79942431048744</v>
      </c>
      <c r="AB40" s="63">
        <v>1038.1569361792549</v>
      </c>
      <c r="AC40" s="63">
        <v>1256.4814828948274</v>
      </c>
      <c r="AD40" s="63">
        <v>1261.8360444111559</v>
      </c>
      <c r="AE40" s="63">
        <v>1551.6073885147171</v>
      </c>
      <c r="AF40" s="63">
        <v>1801.8886262939318</v>
      </c>
      <c r="AG40" s="63">
        <v>1614.7283715307087</v>
      </c>
      <c r="AH40" s="63">
        <v>1576.8548099342574</v>
      </c>
    </row>
    <row r="41" spans="3:34" x14ac:dyDescent="0.45">
      <c r="C41" s="63">
        <v>100</v>
      </c>
      <c r="D41" s="63">
        <v>112.59141632931373</v>
      </c>
      <c r="E41" s="63">
        <v>111.63749574332442</v>
      </c>
      <c r="F41" s="63">
        <v>125.5108208152691</v>
      </c>
      <c r="G41" s="63">
        <v>140.25641653978306</v>
      </c>
      <c r="H41" s="63">
        <v>176.13138205691982</v>
      </c>
      <c r="I41" s="63">
        <v>188.21901812391957</v>
      </c>
      <c r="J41" s="63">
        <v>210.96096392916417</v>
      </c>
      <c r="K41" s="63">
        <v>232.2674541421008</v>
      </c>
      <c r="L41" s="63">
        <v>216.83972994021099</v>
      </c>
      <c r="M41" s="63">
        <v>245.98897839283086</v>
      </c>
      <c r="N41" s="63">
        <v>228.56142608336526</v>
      </c>
      <c r="O41" s="63">
        <v>246.88311918335046</v>
      </c>
      <c r="P41" s="63">
        <v>301.26538044406072</v>
      </c>
      <c r="Q41" s="63">
        <v>315.04611237601381</v>
      </c>
      <c r="R41" s="63">
        <v>345.84071632813198</v>
      </c>
      <c r="S41" s="63">
        <v>392.3089954461758</v>
      </c>
      <c r="T41" s="63">
        <v>431.21221404380145</v>
      </c>
      <c r="U41" s="63">
        <v>448.0949467806326</v>
      </c>
      <c r="V41" s="63">
        <v>556.91072735291152</v>
      </c>
      <c r="W41" s="63">
        <v>637.46750913514643</v>
      </c>
      <c r="X41" s="63">
        <v>632.11343431690852</v>
      </c>
      <c r="Y41" s="63">
        <v>768.9950309761341</v>
      </c>
      <c r="Z41" s="63">
        <v>935.04131370460345</v>
      </c>
      <c r="AA41" s="63">
        <v>1024.3106127561116</v>
      </c>
      <c r="AB41" s="63">
        <v>1196.9029659236826</v>
      </c>
      <c r="AC41" s="63">
        <v>1283.7506603282009</v>
      </c>
      <c r="AD41" s="63">
        <v>1353.1874603970791</v>
      </c>
      <c r="AE41" s="63">
        <v>1642.829928307129</v>
      </c>
      <c r="AF41" s="63">
        <v>1920.5004567668639</v>
      </c>
      <c r="AG41" s="63">
        <v>2179.2986539988651</v>
      </c>
      <c r="AH41" s="63">
        <v>2451.8768289549857</v>
      </c>
    </row>
    <row r="42" spans="3:34" x14ac:dyDescent="0.45">
      <c r="C42" s="63">
        <v>100</v>
      </c>
      <c r="D42" s="63">
        <v>121.42594289791595</v>
      </c>
      <c r="E42" s="63">
        <v>111.81048876662652</v>
      </c>
      <c r="F42" s="63">
        <v>107.92004026259049</v>
      </c>
      <c r="G42" s="63">
        <v>122.98810432436582</v>
      </c>
      <c r="H42" s="63">
        <v>138.78198843666809</v>
      </c>
      <c r="I42" s="63">
        <v>159.57181576361734</v>
      </c>
      <c r="J42" s="63">
        <v>188.09991732029471</v>
      </c>
      <c r="K42" s="63">
        <v>165.77187726206995</v>
      </c>
      <c r="L42" s="63">
        <v>212.99988358412389</v>
      </c>
      <c r="M42" s="63">
        <v>267.47340635542673</v>
      </c>
      <c r="N42" s="63">
        <v>257.6045212307763</v>
      </c>
      <c r="O42" s="63">
        <v>290.00617424183338</v>
      </c>
      <c r="P42" s="63">
        <v>355.0791223946614</v>
      </c>
      <c r="Q42" s="63">
        <v>345.64793002696535</v>
      </c>
      <c r="R42" s="63">
        <v>386.7510027812807</v>
      </c>
      <c r="S42" s="63">
        <v>479.80145105270606</v>
      </c>
      <c r="T42" s="63">
        <v>506.36466300404533</v>
      </c>
      <c r="U42" s="63">
        <v>544.33088829875874</v>
      </c>
      <c r="V42" s="63">
        <v>567.86554593714118</v>
      </c>
      <c r="W42" s="63">
        <v>723.28987880411114</v>
      </c>
      <c r="X42" s="63">
        <v>901.08865370746639</v>
      </c>
      <c r="Y42" s="63">
        <v>964.34430671203472</v>
      </c>
      <c r="Z42" s="63">
        <v>1154.8771883313875</v>
      </c>
      <c r="AA42" s="63">
        <v>1092.9376395947957</v>
      </c>
      <c r="AB42" s="63">
        <v>1223.6513860477819</v>
      </c>
      <c r="AC42" s="63">
        <v>1196.7124943041226</v>
      </c>
      <c r="AD42" s="63">
        <v>1324.3653001829211</v>
      </c>
      <c r="AE42" s="63">
        <v>1139.5653950396534</v>
      </c>
      <c r="AF42" s="63">
        <v>1524.6654112731912</v>
      </c>
      <c r="AG42" s="63">
        <v>1887.0939959599666</v>
      </c>
      <c r="AH42" s="63">
        <v>2181.0743433890689</v>
      </c>
    </row>
    <row r="43" spans="3:34" x14ac:dyDescent="0.45">
      <c r="C43" s="63">
        <v>100</v>
      </c>
      <c r="D43" s="63">
        <v>129.28513188341873</v>
      </c>
      <c r="E43" s="63">
        <v>131.87822091872485</v>
      </c>
      <c r="F43" s="63">
        <v>129.26921619822977</v>
      </c>
      <c r="G43" s="63">
        <v>161.29791600058485</v>
      </c>
      <c r="H43" s="63">
        <v>191.53765530546895</v>
      </c>
      <c r="I43" s="63">
        <v>166.58178576228107</v>
      </c>
      <c r="J43" s="63">
        <v>190.93452120970437</v>
      </c>
      <c r="K43" s="63">
        <v>192.52755455444276</v>
      </c>
      <c r="L43" s="63">
        <v>194.72050014552991</v>
      </c>
      <c r="M43" s="63">
        <v>214.9623296327367</v>
      </c>
      <c r="N43" s="63">
        <v>280.34814215556304</v>
      </c>
      <c r="O43" s="63">
        <v>341.79900195932214</v>
      </c>
      <c r="P43" s="63">
        <v>263.9507717114148</v>
      </c>
      <c r="Q43" s="63">
        <v>326.81312698216539</v>
      </c>
      <c r="R43" s="63">
        <v>419.97023949250274</v>
      </c>
      <c r="S43" s="63">
        <v>446.16668392740621</v>
      </c>
      <c r="T43" s="63">
        <v>494.66706557077094</v>
      </c>
      <c r="U43" s="63">
        <v>572.2122174809906</v>
      </c>
      <c r="V43" s="63">
        <v>666.30579234382014</v>
      </c>
      <c r="W43" s="63">
        <v>567.34687192680894</v>
      </c>
      <c r="X43" s="63">
        <v>722.6049015969927</v>
      </c>
      <c r="Y43" s="63">
        <v>794.51845472959417</v>
      </c>
      <c r="Z43" s="63">
        <v>789.72729333143639</v>
      </c>
      <c r="AA43" s="63">
        <v>1025.3911127230895</v>
      </c>
      <c r="AB43" s="63">
        <v>940.42895118015258</v>
      </c>
      <c r="AC43" s="63">
        <v>1177.3735725758968</v>
      </c>
      <c r="AD43" s="63">
        <v>1448.0648711241781</v>
      </c>
      <c r="AE43" s="63">
        <v>1968.0432325323554</v>
      </c>
      <c r="AF43" s="63">
        <v>2233.6494652489605</v>
      </c>
      <c r="AG43" s="63">
        <v>1880.0807037962695</v>
      </c>
      <c r="AH43" s="63">
        <v>1839.7239968743218</v>
      </c>
    </row>
    <row r="44" spans="3:34" x14ac:dyDescent="0.45">
      <c r="C44" s="63">
        <v>100</v>
      </c>
      <c r="D44" s="63">
        <v>106.4372893359884</v>
      </c>
      <c r="E44" s="63">
        <v>116.76721416609922</v>
      </c>
      <c r="F44" s="63">
        <v>107.82483564683831</v>
      </c>
      <c r="G44" s="63">
        <v>108.87851117039045</v>
      </c>
      <c r="H44" s="63">
        <v>151.15775433777702</v>
      </c>
      <c r="I44" s="63">
        <v>195.73966744593892</v>
      </c>
      <c r="J44" s="63">
        <v>160.42668609440204</v>
      </c>
      <c r="K44" s="63">
        <v>179.69008619792623</v>
      </c>
      <c r="L44" s="63">
        <v>254.20671075590411</v>
      </c>
      <c r="M44" s="63">
        <v>247.78052770891179</v>
      </c>
      <c r="N44" s="63">
        <v>250.94341977897557</v>
      </c>
      <c r="O44" s="63">
        <v>295.3346511640878</v>
      </c>
      <c r="P44" s="63">
        <v>380.27231367993022</v>
      </c>
      <c r="Q44" s="63">
        <v>319.06174318778415</v>
      </c>
      <c r="R44" s="63">
        <v>404.7869429331945</v>
      </c>
      <c r="S44" s="63">
        <v>488.26733341492297</v>
      </c>
      <c r="T44" s="63">
        <v>520.7503731716306</v>
      </c>
      <c r="U44" s="63">
        <v>674.67868535177729</v>
      </c>
      <c r="V44" s="63">
        <v>646.62971941838418</v>
      </c>
      <c r="W44" s="63">
        <v>842.10239523728399</v>
      </c>
      <c r="X44" s="63">
        <v>690.113210957511</v>
      </c>
      <c r="Y44" s="63">
        <v>778.22989731780308</v>
      </c>
      <c r="Z44" s="63">
        <v>792.22336830847701</v>
      </c>
      <c r="AA44" s="63">
        <v>883.67817959864442</v>
      </c>
      <c r="AB44" s="63">
        <v>1077.8214836679683</v>
      </c>
      <c r="AC44" s="63">
        <v>1147.9170629140422</v>
      </c>
      <c r="AD44" s="63">
        <v>1483.3820788611506</v>
      </c>
      <c r="AE44" s="63">
        <v>1549.1006598994281</v>
      </c>
      <c r="AF44" s="63">
        <v>1985.3648436096626</v>
      </c>
      <c r="AG44" s="63">
        <v>2258.7355137116629</v>
      </c>
      <c r="AH44" s="63">
        <v>2381.1395430123398</v>
      </c>
    </row>
    <row r="45" spans="3:34" x14ac:dyDescent="0.45">
      <c r="C45" s="63">
        <v>100</v>
      </c>
      <c r="D45" s="63">
        <v>122.66157013108034</v>
      </c>
      <c r="E45" s="63">
        <v>126.64712285939638</v>
      </c>
      <c r="F45" s="63">
        <v>139.11005121493568</v>
      </c>
      <c r="G45" s="63">
        <v>126.97269028928494</v>
      </c>
      <c r="H45" s="63">
        <v>124.34470794029616</v>
      </c>
      <c r="I45" s="63">
        <v>152.59890945791273</v>
      </c>
      <c r="J45" s="63">
        <v>204.04766998257384</v>
      </c>
      <c r="K45" s="63">
        <v>228.30436762588226</v>
      </c>
      <c r="L45" s="63">
        <v>221.293455115379</v>
      </c>
      <c r="M45" s="63">
        <v>234.30138982125141</v>
      </c>
      <c r="N45" s="63">
        <v>284.23795893416298</v>
      </c>
      <c r="O45" s="63">
        <v>324.17445176460961</v>
      </c>
      <c r="P45" s="63">
        <v>444.51893488692895</v>
      </c>
      <c r="Q45" s="63">
        <v>383.74612441611941</v>
      </c>
      <c r="R45" s="63">
        <v>376.96871431249247</v>
      </c>
      <c r="S45" s="63">
        <v>430.44902665511245</v>
      </c>
      <c r="T45" s="63">
        <v>498.96251161993911</v>
      </c>
      <c r="U45" s="63">
        <v>613.91830313649757</v>
      </c>
      <c r="V45" s="63">
        <v>660.7822016572419</v>
      </c>
      <c r="W45" s="63">
        <v>742.44657922725264</v>
      </c>
      <c r="X45" s="63">
        <v>756.0390096656439</v>
      </c>
      <c r="Y45" s="63">
        <v>795.31401377630323</v>
      </c>
      <c r="Z45" s="63">
        <v>775.19526294433786</v>
      </c>
      <c r="AA45" s="63">
        <v>776.99429014953751</v>
      </c>
      <c r="AB45" s="63">
        <v>1001.5710819901088</v>
      </c>
      <c r="AC45" s="63">
        <v>1165.6325236320333</v>
      </c>
      <c r="AD45" s="63">
        <v>1413.0241766349329</v>
      </c>
      <c r="AE45" s="63">
        <v>1415.8734229881015</v>
      </c>
      <c r="AF45" s="63">
        <v>1585.6575580234444</v>
      </c>
      <c r="AG45" s="63">
        <v>1506.7350155477648</v>
      </c>
      <c r="AH45" s="63">
        <v>1935.3900891027506</v>
      </c>
    </row>
    <row r="46" spans="3:34" x14ac:dyDescent="0.45">
      <c r="C46" s="63">
        <v>100</v>
      </c>
      <c r="D46" s="63">
        <v>107.28071667620615</v>
      </c>
      <c r="E46" s="63">
        <v>117.19068536458465</v>
      </c>
      <c r="F46" s="63">
        <v>157.52890244946371</v>
      </c>
      <c r="G46" s="63">
        <v>141.3224156721746</v>
      </c>
      <c r="H46" s="63">
        <v>150.8183831761398</v>
      </c>
      <c r="I46" s="63">
        <v>163.97004541024666</v>
      </c>
      <c r="J46" s="63">
        <v>230.13191981419106</v>
      </c>
      <c r="K46" s="63">
        <v>191.12778388556296</v>
      </c>
      <c r="L46" s="63">
        <v>231.21389134150905</v>
      </c>
      <c r="M46" s="63">
        <v>257.03747702718755</v>
      </c>
      <c r="N46" s="63">
        <v>282.92431656655202</v>
      </c>
      <c r="O46" s="63">
        <v>295.68949648140017</v>
      </c>
      <c r="P46" s="63">
        <v>385.62450881480783</v>
      </c>
      <c r="Q46" s="63">
        <v>449.61258959540726</v>
      </c>
      <c r="R46" s="63">
        <v>389.31368554348717</v>
      </c>
      <c r="S46" s="63">
        <v>486.04439528513137</v>
      </c>
      <c r="T46" s="63">
        <v>547.32512589176531</v>
      </c>
      <c r="U46" s="63">
        <v>605.80285100820697</v>
      </c>
      <c r="V46" s="63">
        <v>662.27403375793449</v>
      </c>
      <c r="W46" s="63">
        <v>733.03326381483498</v>
      </c>
      <c r="X46" s="63">
        <v>832.61774097736475</v>
      </c>
      <c r="Y46" s="63">
        <v>986.26903166940565</v>
      </c>
      <c r="Z46" s="63">
        <v>929.15865926637935</v>
      </c>
      <c r="AA46" s="63">
        <v>979.66126523512992</v>
      </c>
      <c r="AB46" s="63">
        <v>985.489520777709</v>
      </c>
      <c r="AC46" s="63">
        <v>1339.1361771320517</v>
      </c>
      <c r="AD46" s="63">
        <v>1053.6937185016127</v>
      </c>
      <c r="AE46" s="63">
        <v>1149.6678815543191</v>
      </c>
      <c r="AF46" s="63">
        <v>1320.517162188271</v>
      </c>
      <c r="AG46" s="63">
        <v>1307.5398557453484</v>
      </c>
      <c r="AH46" s="63">
        <v>1305.9202128686156</v>
      </c>
    </row>
    <row r="47" spans="3:34" x14ac:dyDescent="0.45">
      <c r="C47" s="63">
        <v>100</v>
      </c>
      <c r="D47" s="63">
        <v>100.26953716649342</v>
      </c>
      <c r="E47" s="63">
        <v>99.964761094006406</v>
      </c>
      <c r="F47" s="63">
        <v>121.0579354949644</v>
      </c>
      <c r="G47" s="63">
        <v>126.86494127854108</v>
      </c>
      <c r="H47" s="63">
        <v>171.24582758890975</v>
      </c>
      <c r="I47" s="63">
        <v>142.68635692924244</v>
      </c>
      <c r="J47" s="63">
        <v>175.77704297344638</v>
      </c>
      <c r="K47" s="63">
        <v>182.02133331869834</v>
      </c>
      <c r="L47" s="63">
        <v>264.77789033086526</v>
      </c>
      <c r="M47" s="63">
        <v>292.44428893545853</v>
      </c>
      <c r="N47" s="63">
        <v>303.37905305932804</v>
      </c>
      <c r="O47" s="63">
        <v>260.13795030175601</v>
      </c>
      <c r="P47" s="63">
        <v>286.13748056513805</v>
      </c>
      <c r="Q47" s="63">
        <v>359.10281858030038</v>
      </c>
      <c r="R47" s="63">
        <v>389.9892274170021</v>
      </c>
      <c r="S47" s="63">
        <v>418.66738245051613</v>
      </c>
      <c r="T47" s="63">
        <v>544.99420329863187</v>
      </c>
      <c r="U47" s="63">
        <v>531.30308466438544</v>
      </c>
      <c r="V47" s="63">
        <v>637.56548378318939</v>
      </c>
      <c r="W47" s="63">
        <v>810.30879905063</v>
      </c>
      <c r="X47" s="63">
        <v>756.37365179171661</v>
      </c>
      <c r="Y47" s="63">
        <v>631.34108180937574</v>
      </c>
      <c r="Z47" s="63">
        <v>777.93201390205786</v>
      </c>
      <c r="AA47" s="63">
        <v>888.99074635600584</v>
      </c>
      <c r="AB47" s="63">
        <v>1030.8251877999678</v>
      </c>
      <c r="AC47" s="63">
        <v>1095.5144859318382</v>
      </c>
      <c r="AD47" s="63">
        <v>1116.2794920363142</v>
      </c>
      <c r="AE47" s="63">
        <v>1419.0624468363098</v>
      </c>
      <c r="AF47" s="63">
        <v>1329.3240177856915</v>
      </c>
      <c r="AG47" s="63">
        <v>1927.1090067593266</v>
      </c>
      <c r="AH47" s="63">
        <v>2109.8936855953357</v>
      </c>
    </row>
    <row r="48" spans="3:34" x14ac:dyDescent="0.45">
      <c r="C48" s="63">
        <v>100</v>
      </c>
      <c r="D48" s="63">
        <v>95.210889428180735</v>
      </c>
      <c r="E48" s="63">
        <v>99.733194719992667</v>
      </c>
      <c r="F48" s="63">
        <v>127.4300586357509</v>
      </c>
      <c r="G48" s="63">
        <v>139.55069130468399</v>
      </c>
      <c r="H48" s="63">
        <v>147.15888442660898</v>
      </c>
      <c r="I48" s="63">
        <v>140.09484763516167</v>
      </c>
      <c r="J48" s="63">
        <v>176.73689117531484</v>
      </c>
      <c r="K48" s="63">
        <v>257.81938807387252</v>
      </c>
      <c r="L48" s="63">
        <v>228.73192537695701</v>
      </c>
      <c r="M48" s="63">
        <v>234.95338046802073</v>
      </c>
      <c r="N48" s="63">
        <v>307.89091456719683</v>
      </c>
      <c r="O48" s="63">
        <v>308.10240902818771</v>
      </c>
      <c r="P48" s="63">
        <v>320.21153177726427</v>
      </c>
      <c r="Q48" s="63">
        <v>385.04468235299896</v>
      </c>
      <c r="R48" s="63">
        <v>452.54247669481481</v>
      </c>
      <c r="S48" s="63">
        <v>468.83979797552081</v>
      </c>
      <c r="T48" s="63">
        <v>506.85428201983848</v>
      </c>
      <c r="U48" s="63">
        <v>538.08185684292198</v>
      </c>
      <c r="V48" s="63">
        <v>650.01482439997415</v>
      </c>
      <c r="W48" s="63">
        <v>747.64749527526214</v>
      </c>
      <c r="X48" s="63">
        <v>780.50620182463308</v>
      </c>
      <c r="Y48" s="63">
        <v>831.19515046267952</v>
      </c>
      <c r="Z48" s="63">
        <v>844.3180640731598</v>
      </c>
      <c r="AA48" s="63">
        <v>792.25906249489503</v>
      </c>
      <c r="AB48" s="63">
        <v>950.74813655354865</v>
      </c>
      <c r="AC48" s="63">
        <v>1191.8040481077098</v>
      </c>
      <c r="AD48" s="63">
        <v>1353.9265121467281</v>
      </c>
      <c r="AE48" s="63">
        <v>1489.816742146359</v>
      </c>
      <c r="AF48" s="63">
        <v>1319.8404553009625</v>
      </c>
      <c r="AG48" s="63">
        <v>1704.3516246970089</v>
      </c>
      <c r="AH48" s="63">
        <v>2072.0067671487104</v>
      </c>
    </row>
    <row r="49" spans="3:34" x14ac:dyDescent="0.45">
      <c r="C49" s="63">
        <v>100</v>
      </c>
      <c r="D49" s="63">
        <v>121.94404611831133</v>
      </c>
      <c r="E49" s="63">
        <v>133.68552630490211</v>
      </c>
      <c r="F49" s="63">
        <v>113.67435632249217</v>
      </c>
      <c r="G49" s="63">
        <v>117.4337499337386</v>
      </c>
      <c r="H49" s="63">
        <v>115.53448763020499</v>
      </c>
      <c r="I49" s="63">
        <v>167.1531916860873</v>
      </c>
      <c r="J49" s="63">
        <v>196.9805373088368</v>
      </c>
      <c r="K49" s="63">
        <v>198.35815375152561</v>
      </c>
      <c r="L49" s="63">
        <v>188.95745770320156</v>
      </c>
      <c r="M49" s="63">
        <v>241.65849633988134</v>
      </c>
      <c r="N49" s="63">
        <v>263.86508184176967</v>
      </c>
      <c r="O49" s="63">
        <v>276.57604120605561</v>
      </c>
      <c r="P49" s="63">
        <v>268.15209019973872</v>
      </c>
      <c r="Q49" s="63">
        <v>349.05990312176965</v>
      </c>
      <c r="R49" s="63">
        <v>409.49137656594962</v>
      </c>
      <c r="S49" s="63">
        <v>520.73955023928352</v>
      </c>
      <c r="T49" s="63">
        <v>602.82021919363092</v>
      </c>
      <c r="U49" s="63">
        <v>522.91869838672733</v>
      </c>
      <c r="V49" s="63">
        <v>456.99088092061749</v>
      </c>
      <c r="W49" s="63">
        <v>578.09784619258744</v>
      </c>
      <c r="X49" s="63">
        <v>723.09700867598485</v>
      </c>
      <c r="Y49" s="63">
        <v>704.91163869746401</v>
      </c>
      <c r="Z49" s="63">
        <v>1025.3032761448403</v>
      </c>
      <c r="AA49" s="63">
        <v>942.77566673289994</v>
      </c>
      <c r="AB49" s="63">
        <v>896.2868679814469</v>
      </c>
      <c r="AC49" s="63">
        <v>1062.5887361414643</v>
      </c>
      <c r="AD49" s="63">
        <v>1190.5589711464127</v>
      </c>
      <c r="AE49" s="63">
        <v>1331.9243521734238</v>
      </c>
      <c r="AF49" s="63">
        <v>1611.8657220430621</v>
      </c>
      <c r="AG49" s="63">
        <v>1578.5988276671942</v>
      </c>
      <c r="AH49" s="63">
        <v>1627.4107491543782</v>
      </c>
    </row>
    <row r="50" spans="3:34" x14ac:dyDescent="0.45">
      <c r="C50" s="63">
        <v>100</v>
      </c>
      <c r="D50" s="63">
        <v>88.434660738253655</v>
      </c>
      <c r="E50" s="63">
        <v>119.76058295390717</v>
      </c>
      <c r="F50" s="63">
        <v>123.36331791990042</v>
      </c>
      <c r="G50" s="63">
        <v>138.33391974811596</v>
      </c>
      <c r="H50" s="63">
        <v>155.99787316454621</v>
      </c>
      <c r="I50" s="63">
        <v>192.72640763133862</v>
      </c>
      <c r="J50" s="63">
        <v>219.66979865805203</v>
      </c>
      <c r="K50" s="63">
        <v>216.8033667315151</v>
      </c>
      <c r="L50" s="63">
        <v>234.95444630640043</v>
      </c>
      <c r="M50" s="63">
        <v>308.7076970003792</v>
      </c>
      <c r="N50" s="63">
        <v>416.56639261676628</v>
      </c>
      <c r="O50" s="63">
        <v>381.2758216319001</v>
      </c>
      <c r="P50" s="63">
        <v>364.39710019624977</v>
      </c>
      <c r="Q50" s="63">
        <v>309.15333242174847</v>
      </c>
      <c r="R50" s="63">
        <v>334.27546970308049</v>
      </c>
      <c r="S50" s="63">
        <v>401.31374290754729</v>
      </c>
      <c r="T50" s="63">
        <v>462.53152052130719</v>
      </c>
      <c r="U50" s="63">
        <v>557.61368485088315</v>
      </c>
      <c r="V50" s="63">
        <v>568.06658865842371</v>
      </c>
      <c r="W50" s="63">
        <v>612.04173816495381</v>
      </c>
      <c r="X50" s="63">
        <v>880.25220041653415</v>
      </c>
      <c r="Y50" s="63">
        <v>846.38630787967872</v>
      </c>
      <c r="Z50" s="63">
        <v>911.85909314442347</v>
      </c>
      <c r="AA50" s="63">
        <v>1213.3797151397221</v>
      </c>
      <c r="AB50" s="63">
        <v>1170.0439823275854</v>
      </c>
      <c r="AC50" s="63">
        <v>1207.6213908507052</v>
      </c>
      <c r="AD50" s="63">
        <v>1576.6275769421236</v>
      </c>
      <c r="AE50" s="63">
        <v>1829.473073213441</v>
      </c>
      <c r="AF50" s="63">
        <v>2032.2024436754259</v>
      </c>
      <c r="AG50" s="63">
        <v>2029.4983587155398</v>
      </c>
      <c r="AH50" s="63">
        <v>2194.0105152122487</v>
      </c>
    </row>
    <row r="51" spans="3:34" x14ac:dyDescent="0.45">
      <c r="C51" s="63">
        <v>100</v>
      </c>
      <c r="D51" s="63">
        <v>100.23783042352319</v>
      </c>
      <c r="E51" s="63">
        <v>117.04051166027136</v>
      </c>
      <c r="F51" s="63">
        <v>130.47311266536178</v>
      </c>
      <c r="G51" s="63">
        <v>128.88516546113073</v>
      </c>
      <c r="H51" s="63">
        <v>144.55531294921778</v>
      </c>
      <c r="I51" s="63">
        <v>156.73793894174207</v>
      </c>
      <c r="J51" s="63">
        <v>170.4777895409203</v>
      </c>
      <c r="K51" s="63">
        <v>186.20138415833742</v>
      </c>
      <c r="L51" s="63">
        <v>189.64694880864675</v>
      </c>
      <c r="M51" s="63">
        <v>210.06690024239288</v>
      </c>
      <c r="N51" s="63">
        <v>249.53777276465485</v>
      </c>
      <c r="O51" s="63">
        <v>311.89521570321062</v>
      </c>
      <c r="P51" s="63">
        <v>389.97072477329192</v>
      </c>
      <c r="Q51" s="63">
        <v>375.63662797276345</v>
      </c>
      <c r="R51" s="63">
        <v>485.27821968954981</v>
      </c>
      <c r="S51" s="63">
        <v>564.54235982366515</v>
      </c>
      <c r="T51" s="63">
        <v>661.8068601549196</v>
      </c>
      <c r="U51" s="63">
        <v>675.8290160769825</v>
      </c>
      <c r="V51" s="63">
        <v>643.25748804654586</v>
      </c>
      <c r="W51" s="63">
        <v>623.83806056901165</v>
      </c>
      <c r="X51" s="63">
        <v>589.3107066303221</v>
      </c>
      <c r="Y51" s="63">
        <v>678.12328522264784</v>
      </c>
      <c r="Z51" s="63">
        <v>767.44486666824582</v>
      </c>
      <c r="AA51" s="63">
        <v>963.1203714997722</v>
      </c>
      <c r="AB51" s="63">
        <v>1122.7781010252311</v>
      </c>
      <c r="AC51" s="63">
        <v>1116.5801453278616</v>
      </c>
      <c r="AD51" s="63">
        <v>1371.9202867806566</v>
      </c>
      <c r="AE51" s="63">
        <v>1493.7022788229606</v>
      </c>
      <c r="AF51" s="63">
        <v>1282.4066467379985</v>
      </c>
      <c r="AG51" s="63">
        <v>1455.4537454587273</v>
      </c>
      <c r="AH51" s="63">
        <v>1771.4041044616797</v>
      </c>
    </row>
    <row r="52" spans="3:34" x14ac:dyDescent="0.45">
      <c r="C52" s="63">
        <v>100</v>
      </c>
      <c r="D52" s="63">
        <v>102.36796007371711</v>
      </c>
      <c r="E52" s="63">
        <v>114.86452884322742</v>
      </c>
      <c r="F52" s="63">
        <v>103.02397138971419</v>
      </c>
      <c r="G52" s="63">
        <v>153.45016319687954</v>
      </c>
      <c r="H52" s="63">
        <v>148.3415361939098</v>
      </c>
      <c r="I52" s="63">
        <v>135.31082594534945</v>
      </c>
      <c r="J52" s="63">
        <v>166.22348707378239</v>
      </c>
      <c r="K52" s="63">
        <v>166.13877498746189</v>
      </c>
      <c r="L52" s="63">
        <v>204.91251197625979</v>
      </c>
      <c r="M52" s="63">
        <v>251.012111208752</v>
      </c>
      <c r="N52" s="63">
        <v>267.38569150915851</v>
      </c>
      <c r="O52" s="63">
        <v>306.4939149635623</v>
      </c>
      <c r="P52" s="63">
        <v>429.87732286833671</v>
      </c>
      <c r="Q52" s="63">
        <v>446.57259986864318</v>
      </c>
      <c r="R52" s="63">
        <v>468.90224964193732</v>
      </c>
      <c r="S52" s="63">
        <v>537.39722442876223</v>
      </c>
      <c r="T52" s="63">
        <v>633.57391819877932</v>
      </c>
      <c r="U52" s="63">
        <v>519.95198998998274</v>
      </c>
      <c r="V52" s="63">
        <v>674.61277469040692</v>
      </c>
      <c r="W52" s="63">
        <v>744.14185066886739</v>
      </c>
      <c r="X52" s="63">
        <v>776.37452515217456</v>
      </c>
      <c r="Y52" s="63">
        <v>728.80439484931912</v>
      </c>
      <c r="Z52" s="63">
        <v>698.56706733078283</v>
      </c>
      <c r="AA52" s="63">
        <v>883.92134359282068</v>
      </c>
      <c r="AB52" s="63">
        <v>1036.9058586435156</v>
      </c>
      <c r="AC52" s="63">
        <v>1115.3579330684379</v>
      </c>
      <c r="AD52" s="63">
        <v>1160.3780418415804</v>
      </c>
      <c r="AE52" s="63">
        <v>1527.1464191074419</v>
      </c>
      <c r="AF52" s="63">
        <v>1481.5595257244947</v>
      </c>
      <c r="AG52" s="63">
        <v>1717.5187009790297</v>
      </c>
      <c r="AH52" s="63">
        <v>1821.0046850730914</v>
      </c>
    </row>
    <row r="53" spans="3:34" x14ac:dyDescent="0.45">
      <c r="C53" s="63">
        <v>100</v>
      </c>
      <c r="D53" s="63">
        <v>98.773229079975948</v>
      </c>
      <c r="E53" s="63">
        <v>111.05471338259395</v>
      </c>
      <c r="F53" s="63">
        <v>118.26551156822134</v>
      </c>
      <c r="G53" s="63">
        <v>146.60814833684483</v>
      </c>
      <c r="H53" s="63">
        <v>206.61300350825059</v>
      </c>
      <c r="I53" s="63">
        <v>243.61057894256257</v>
      </c>
      <c r="J53" s="63">
        <v>256.2402768872235</v>
      </c>
      <c r="K53" s="63">
        <v>230.51749669890154</v>
      </c>
      <c r="L53" s="63">
        <v>224.85073312679776</v>
      </c>
      <c r="M53" s="63">
        <v>266.36095568158703</v>
      </c>
      <c r="N53" s="63">
        <v>330.7693480998372</v>
      </c>
      <c r="O53" s="63">
        <v>274.58928805317004</v>
      </c>
      <c r="P53" s="63">
        <v>323.28900786855638</v>
      </c>
      <c r="Q53" s="63">
        <v>363.72166858418865</v>
      </c>
      <c r="R53" s="63">
        <v>433.89347015813638</v>
      </c>
      <c r="S53" s="63">
        <v>469.31982938534907</v>
      </c>
      <c r="T53" s="63">
        <v>571.79997488522133</v>
      </c>
      <c r="U53" s="63">
        <v>594.00164512798119</v>
      </c>
      <c r="V53" s="63">
        <v>658.67264805073592</v>
      </c>
      <c r="W53" s="63">
        <v>698.6528370263145</v>
      </c>
      <c r="X53" s="63">
        <v>769.66146979048835</v>
      </c>
      <c r="Y53" s="63">
        <v>907.24618230180295</v>
      </c>
      <c r="Z53" s="63">
        <v>1028.3352573013804</v>
      </c>
      <c r="AA53" s="63">
        <v>809.22523366380449</v>
      </c>
      <c r="AB53" s="63">
        <v>796.68192627845508</v>
      </c>
      <c r="AC53" s="63">
        <v>988.47019272914986</v>
      </c>
      <c r="AD53" s="63">
        <v>949.48756756347564</v>
      </c>
      <c r="AE53" s="63">
        <v>1113.2292397669626</v>
      </c>
      <c r="AF53" s="63">
        <v>1662.9278154335091</v>
      </c>
      <c r="AG53" s="63">
        <v>1786.781713793464</v>
      </c>
      <c r="AH53" s="63">
        <v>1737.651413055964</v>
      </c>
    </row>
    <row r="54" spans="3:34" x14ac:dyDescent="0.45">
      <c r="C54" s="63">
        <v>100</v>
      </c>
      <c r="D54" s="63">
        <v>97.649723268309288</v>
      </c>
      <c r="E54" s="63">
        <v>122.8338188051365</v>
      </c>
      <c r="F54" s="63">
        <v>117.88756753582339</v>
      </c>
      <c r="G54" s="63">
        <v>119.91575492600631</v>
      </c>
      <c r="H54" s="63">
        <v>147.16747356166815</v>
      </c>
      <c r="I54" s="63">
        <v>142.7041311922161</v>
      </c>
      <c r="J54" s="63">
        <v>174.27101764783197</v>
      </c>
      <c r="K54" s="63">
        <v>197.38015667391466</v>
      </c>
      <c r="L54" s="63">
        <v>261.57455785659488</v>
      </c>
      <c r="M54" s="63">
        <v>297.07263488647664</v>
      </c>
      <c r="N54" s="63">
        <v>299.53642858458181</v>
      </c>
      <c r="O54" s="63">
        <v>329.18443804962021</v>
      </c>
      <c r="P54" s="63">
        <v>266.90518700970301</v>
      </c>
      <c r="Q54" s="63">
        <v>317.61253693114924</v>
      </c>
      <c r="R54" s="63">
        <v>370.20369618726795</v>
      </c>
      <c r="S54" s="63">
        <v>358.22097125280698</v>
      </c>
      <c r="T54" s="63">
        <v>427.66255805065748</v>
      </c>
      <c r="U54" s="63">
        <v>521.4132793449694</v>
      </c>
      <c r="V54" s="63">
        <v>610.71346066237027</v>
      </c>
      <c r="W54" s="63">
        <v>678.06142433971149</v>
      </c>
      <c r="X54" s="63">
        <v>805.62388978223896</v>
      </c>
      <c r="Y54" s="63">
        <v>776.42948938078314</v>
      </c>
      <c r="Z54" s="63">
        <v>917.95310726209414</v>
      </c>
      <c r="AA54" s="63">
        <v>1010.2485000824471</v>
      </c>
      <c r="AB54" s="63">
        <v>1197.4546256454332</v>
      </c>
      <c r="AC54" s="63">
        <v>1323.5712664870587</v>
      </c>
      <c r="AD54" s="63">
        <v>1325.9065346750876</v>
      </c>
      <c r="AE54" s="63">
        <v>1641.7108547998423</v>
      </c>
      <c r="AF54" s="63">
        <v>1384.0346083624995</v>
      </c>
      <c r="AG54" s="63">
        <v>1609.4854466988065</v>
      </c>
      <c r="AH54" s="63">
        <v>1881.0111061233274</v>
      </c>
    </row>
    <row r="55" spans="3:34" x14ac:dyDescent="0.45">
      <c r="C55" s="63">
        <v>100</v>
      </c>
      <c r="D55" s="63">
        <v>119.39380741671776</v>
      </c>
      <c r="E55" s="63">
        <v>110.35310906949654</v>
      </c>
      <c r="F55" s="63">
        <v>121.213942932788</v>
      </c>
      <c r="G55" s="63">
        <v>119.36041870337118</v>
      </c>
      <c r="H55" s="63">
        <v>120.00784638189256</v>
      </c>
      <c r="I55" s="63">
        <v>140.88951420337105</v>
      </c>
      <c r="J55" s="63">
        <v>198.80102555951078</v>
      </c>
      <c r="K55" s="63">
        <v>221.41008934693275</v>
      </c>
      <c r="L55" s="63">
        <v>240.24460514244782</v>
      </c>
      <c r="M55" s="63">
        <v>243.32331390994796</v>
      </c>
      <c r="N55" s="63">
        <v>260.72957501194003</v>
      </c>
      <c r="O55" s="63">
        <v>300.92678797132459</v>
      </c>
      <c r="P55" s="63">
        <v>406.34410088006814</v>
      </c>
      <c r="Q55" s="63">
        <v>477.24004057920263</v>
      </c>
      <c r="R55" s="63">
        <v>461.0586635195549</v>
      </c>
      <c r="S55" s="63">
        <v>489.98447969847905</v>
      </c>
      <c r="T55" s="63">
        <v>455.78530803540343</v>
      </c>
      <c r="U55" s="63">
        <v>613.28850007626738</v>
      </c>
      <c r="V55" s="63">
        <v>535.89030030428114</v>
      </c>
      <c r="W55" s="63">
        <v>613.92348089963639</v>
      </c>
      <c r="X55" s="63">
        <v>706.09536267388557</v>
      </c>
      <c r="Y55" s="63">
        <v>811.04522993599016</v>
      </c>
      <c r="Z55" s="63">
        <v>736.41716630125336</v>
      </c>
      <c r="AA55" s="63">
        <v>936.19634960603366</v>
      </c>
      <c r="AB55" s="63">
        <v>1278.3199992943642</v>
      </c>
      <c r="AC55" s="63">
        <v>1476.5327466919387</v>
      </c>
      <c r="AD55" s="63">
        <v>1475.4761561204</v>
      </c>
      <c r="AE55" s="63">
        <v>1574.9670421637325</v>
      </c>
      <c r="AF55" s="63">
        <v>1723.1942826338868</v>
      </c>
      <c r="AG55" s="63">
        <v>1797.8055569272246</v>
      </c>
      <c r="AH55" s="63">
        <v>1776.0782116485673</v>
      </c>
    </row>
    <row r="56" spans="3:34" x14ac:dyDescent="0.45">
      <c r="C56" s="63">
        <v>100</v>
      </c>
      <c r="D56" s="63">
        <v>105.15645108331613</v>
      </c>
      <c r="E56" s="63">
        <v>124.89962072345288</v>
      </c>
      <c r="F56" s="63">
        <v>122.78971295721706</v>
      </c>
      <c r="G56" s="63">
        <v>123.35134368440211</v>
      </c>
      <c r="H56" s="63">
        <v>172.5162942234968</v>
      </c>
      <c r="I56" s="63">
        <v>211.07643444343492</v>
      </c>
      <c r="J56" s="63">
        <v>217.66162045221952</v>
      </c>
      <c r="K56" s="63">
        <v>214.42207000022029</v>
      </c>
      <c r="L56" s="63">
        <v>245.8105114913165</v>
      </c>
      <c r="M56" s="63">
        <v>239.37523066372339</v>
      </c>
      <c r="N56" s="63">
        <v>243.01256103895389</v>
      </c>
      <c r="O56" s="63">
        <v>273.03574101574191</v>
      </c>
      <c r="P56" s="63">
        <v>331.8332456457162</v>
      </c>
      <c r="Q56" s="63">
        <v>355.50441741592078</v>
      </c>
      <c r="R56" s="63">
        <v>418.21245999770974</v>
      </c>
      <c r="S56" s="63">
        <v>522.60555578118226</v>
      </c>
      <c r="T56" s="63">
        <v>508.04278228474612</v>
      </c>
      <c r="U56" s="63">
        <v>529.77952460902543</v>
      </c>
      <c r="V56" s="63">
        <v>560.35501597514349</v>
      </c>
      <c r="W56" s="63">
        <v>648.13979649131647</v>
      </c>
      <c r="X56" s="63">
        <v>793.24704556716449</v>
      </c>
      <c r="Y56" s="63">
        <v>813.98104948016544</v>
      </c>
      <c r="Z56" s="63">
        <v>963.95508356447317</v>
      </c>
      <c r="AA56" s="63">
        <v>1056.9148530310274</v>
      </c>
      <c r="AB56" s="63">
        <v>1087.9277463998528</v>
      </c>
      <c r="AC56" s="63">
        <v>979.3967776086464</v>
      </c>
      <c r="AD56" s="63">
        <v>1033.6261339020884</v>
      </c>
      <c r="AE56" s="63">
        <v>941.51921145765914</v>
      </c>
      <c r="AF56" s="63">
        <v>1238.1366505606779</v>
      </c>
      <c r="AG56" s="63">
        <v>1501.2563810932204</v>
      </c>
      <c r="AH56" s="63">
        <v>1834.4574812417336</v>
      </c>
    </row>
    <row r="57" spans="3:34" x14ac:dyDescent="0.45">
      <c r="C57" s="63">
        <v>100</v>
      </c>
      <c r="D57" s="63">
        <v>109.14767588648706</v>
      </c>
      <c r="E57" s="63">
        <v>129.13732330145319</v>
      </c>
      <c r="F57" s="63">
        <v>161.15680858251181</v>
      </c>
      <c r="G57" s="63">
        <v>152.56529341407025</v>
      </c>
      <c r="H57" s="63">
        <v>170.20281113671919</v>
      </c>
      <c r="I57" s="63">
        <v>202.41140746482478</v>
      </c>
      <c r="J57" s="63">
        <v>210.00927787471244</v>
      </c>
      <c r="K57" s="63">
        <v>210.05770428289424</v>
      </c>
      <c r="L57" s="63">
        <v>231.39973821783809</v>
      </c>
      <c r="M57" s="63">
        <v>215.13552273340082</v>
      </c>
      <c r="N57" s="63">
        <v>270.31360197846033</v>
      </c>
      <c r="O57" s="63">
        <v>279.38394897290402</v>
      </c>
      <c r="P57" s="63">
        <v>295.96687564389026</v>
      </c>
      <c r="Q57" s="63">
        <v>374.77312144170838</v>
      </c>
      <c r="R57" s="63">
        <v>525.66681764986629</v>
      </c>
      <c r="S57" s="63">
        <v>515.45551212493228</v>
      </c>
      <c r="T57" s="63">
        <v>595.070986947488</v>
      </c>
      <c r="U57" s="63">
        <v>572.25196586243567</v>
      </c>
      <c r="V57" s="63">
        <v>586.84496681446353</v>
      </c>
      <c r="W57" s="63">
        <v>601.99175324562395</v>
      </c>
      <c r="X57" s="63">
        <v>822.06875603005892</v>
      </c>
      <c r="Y57" s="63">
        <v>821.32731322784821</v>
      </c>
      <c r="Z57" s="63">
        <v>753.41129580711038</v>
      </c>
      <c r="AA57" s="63">
        <v>989.62254349967407</v>
      </c>
      <c r="AB57" s="63">
        <v>1134.8992865289554</v>
      </c>
      <c r="AC57" s="63">
        <v>1136.3521444429443</v>
      </c>
      <c r="AD57" s="63">
        <v>1278.2507193630968</v>
      </c>
      <c r="AE57" s="63">
        <v>1433.2952751445994</v>
      </c>
      <c r="AF57" s="63">
        <v>1617.4912941283164</v>
      </c>
      <c r="AG57" s="63">
        <v>1880.5148234854657</v>
      </c>
      <c r="AH57" s="63">
        <v>1496.8129784962671</v>
      </c>
    </row>
    <row r="58" spans="3:34" x14ac:dyDescent="0.45">
      <c r="C58" s="63">
        <v>100</v>
      </c>
      <c r="D58" s="63">
        <v>119.5016420067422</v>
      </c>
      <c r="E58" s="63">
        <v>122.98161200986456</v>
      </c>
      <c r="F58" s="63">
        <v>152.5559887026707</v>
      </c>
      <c r="G58" s="63">
        <v>129.62361110452275</v>
      </c>
      <c r="H58" s="63">
        <v>127.27252098260755</v>
      </c>
      <c r="I58" s="63">
        <v>173.26800019101051</v>
      </c>
      <c r="J58" s="63">
        <v>220.48843021203061</v>
      </c>
      <c r="K58" s="63">
        <v>233.65617085904591</v>
      </c>
      <c r="L58" s="63">
        <v>250.60371130661912</v>
      </c>
      <c r="M58" s="63">
        <v>220.02888419536185</v>
      </c>
      <c r="N58" s="63">
        <v>261.84913304891052</v>
      </c>
      <c r="O58" s="63">
        <v>259.90737671691409</v>
      </c>
      <c r="P58" s="63">
        <v>317.1595720576135</v>
      </c>
      <c r="Q58" s="63">
        <v>368.39630244780653</v>
      </c>
      <c r="R58" s="63">
        <v>404.94710812697474</v>
      </c>
      <c r="S58" s="63">
        <v>388.32167622741269</v>
      </c>
      <c r="T58" s="63">
        <v>477.05747773843729</v>
      </c>
      <c r="U58" s="63">
        <v>456.24832871018879</v>
      </c>
      <c r="V58" s="63">
        <v>565.12548220978783</v>
      </c>
      <c r="W58" s="63">
        <v>728.11937057310558</v>
      </c>
      <c r="X58" s="63">
        <v>735.8059638428042</v>
      </c>
      <c r="Y58" s="63">
        <v>821.35803113801421</v>
      </c>
      <c r="Z58" s="63">
        <v>1056.1211148497982</v>
      </c>
      <c r="AA58" s="63">
        <v>842.19889513715725</v>
      </c>
      <c r="AB58" s="63">
        <v>1054.1923655576254</v>
      </c>
      <c r="AC58" s="63">
        <v>1327.4906035998642</v>
      </c>
      <c r="AD58" s="63">
        <v>1614.7895753624384</v>
      </c>
      <c r="AE58" s="63">
        <v>1484.5155012656307</v>
      </c>
      <c r="AF58" s="63">
        <v>1497.5581591528567</v>
      </c>
      <c r="AG58" s="63">
        <v>1687.3960109162965</v>
      </c>
      <c r="AH58" s="63">
        <v>2078.7986339132613</v>
      </c>
    </row>
    <row r="59" spans="3:34" x14ac:dyDescent="0.45">
      <c r="C59" s="63">
        <v>100</v>
      </c>
      <c r="D59" s="63">
        <v>108.16841265228663</v>
      </c>
      <c r="E59" s="63">
        <v>139.85652261932447</v>
      </c>
      <c r="F59" s="63">
        <v>112.35168238810371</v>
      </c>
      <c r="G59" s="63">
        <v>146.73702276603251</v>
      </c>
      <c r="H59" s="63">
        <v>156.85617382525157</v>
      </c>
      <c r="I59" s="63">
        <v>185.39462632985203</v>
      </c>
      <c r="J59" s="63">
        <v>208.48351297896033</v>
      </c>
      <c r="K59" s="63">
        <v>212.11840316426537</v>
      </c>
      <c r="L59" s="63">
        <v>250.95710292304722</v>
      </c>
      <c r="M59" s="63">
        <v>271.3302633785778</v>
      </c>
      <c r="N59" s="63">
        <v>282.26010601505152</v>
      </c>
      <c r="O59" s="63">
        <v>329.73434274490603</v>
      </c>
      <c r="P59" s="63">
        <v>315.73630718876024</v>
      </c>
      <c r="Q59" s="63">
        <v>303.14537010356435</v>
      </c>
      <c r="R59" s="63">
        <v>351.35235679040272</v>
      </c>
      <c r="S59" s="63">
        <v>435.10492209608208</v>
      </c>
      <c r="T59" s="63">
        <v>445.14775262658532</v>
      </c>
      <c r="U59" s="63">
        <v>531.04071251584617</v>
      </c>
      <c r="V59" s="63">
        <v>671.69534437375842</v>
      </c>
      <c r="W59" s="63">
        <v>653.51677483025969</v>
      </c>
      <c r="X59" s="63">
        <v>612.25721100928649</v>
      </c>
      <c r="Y59" s="63">
        <v>717.89100814656649</v>
      </c>
      <c r="Z59" s="63">
        <v>895.40391388733121</v>
      </c>
      <c r="AA59" s="63">
        <v>942.08105675718639</v>
      </c>
      <c r="AB59" s="63">
        <v>1186.1697520348184</v>
      </c>
      <c r="AC59" s="63">
        <v>1314.0014724493337</v>
      </c>
      <c r="AD59" s="63">
        <v>1257.820714620203</v>
      </c>
      <c r="AE59" s="63">
        <v>1590.9294476495349</v>
      </c>
      <c r="AF59" s="63">
        <v>1880.0287216263932</v>
      </c>
      <c r="AG59" s="63">
        <v>1951.4773675124086</v>
      </c>
      <c r="AH59" s="63">
        <v>2001.4579503162904</v>
      </c>
    </row>
    <row r="60" spans="3:34" x14ac:dyDescent="0.45">
      <c r="C60" s="63">
        <v>100</v>
      </c>
      <c r="D60" s="63">
        <v>121.09586127786139</v>
      </c>
      <c r="E60" s="63">
        <v>141.38654596275106</v>
      </c>
      <c r="F60" s="63">
        <v>119.20731386503138</v>
      </c>
      <c r="G60" s="63">
        <v>115.52334697918654</v>
      </c>
      <c r="H60" s="63">
        <v>134.09527611613109</v>
      </c>
      <c r="I60" s="63">
        <v>179.47758320437987</v>
      </c>
      <c r="J60" s="63">
        <v>161.67933397201591</v>
      </c>
      <c r="K60" s="63">
        <v>191.53305566869881</v>
      </c>
      <c r="L60" s="63">
        <v>192.34246935592438</v>
      </c>
      <c r="M60" s="63">
        <v>195.39190323676445</v>
      </c>
      <c r="N60" s="63">
        <v>255.18266264936059</v>
      </c>
      <c r="O60" s="63">
        <v>223.15348738735003</v>
      </c>
      <c r="P60" s="63">
        <v>273.71220636322323</v>
      </c>
      <c r="Q60" s="63">
        <v>286.78582725351419</v>
      </c>
      <c r="R60" s="63">
        <v>331.65497267152898</v>
      </c>
      <c r="S60" s="63">
        <v>422.85065079632943</v>
      </c>
      <c r="T60" s="63">
        <v>459.67011133054348</v>
      </c>
      <c r="U60" s="63">
        <v>512.40725356146424</v>
      </c>
      <c r="V60" s="63">
        <v>582.12215558857565</v>
      </c>
      <c r="W60" s="63">
        <v>778.06439572211161</v>
      </c>
      <c r="X60" s="63">
        <v>850.55897486600338</v>
      </c>
      <c r="Y60" s="63">
        <v>995.5207019867064</v>
      </c>
      <c r="Z60" s="63">
        <v>869.32494368229425</v>
      </c>
      <c r="AA60" s="63">
        <v>924.16519721852842</v>
      </c>
      <c r="AB60" s="63">
        <v>1061.346394069672</v>
      </c>
      <c r="AC60" s="63">
        <v>1195.5172588756041</v>
      </c>
      <c r="AD60" s="63">
        <v>1380.4387464935057</v>
      </c>
      <c r="AE60" s="63">
        <v>1519.4140709630949</v>
      </c>
      <c r="AF60" s="63">
        <v>1667.4030173658434</v>
      </c>
      <c r="AG60" s="63">
        <v>1995.9750223144347</v>
      </c>
      <c r="AH60" s="63">
        <v>2122.6838589963081</v>
      </c>
    </row>
    <row r="61" spans="3:34" x14ac:dyDescent="0.45">
      <c r="C61" s="63">
        <v>100</v>
      </c>
      <c r="D61" s="63">
        <v>134.99101867361665</v>
      </c>
      <c r="E61" s="63">
        <v>158.05350901542488</v>
      </c>
      <c r="F61" s="63">
        <v>161.53325170933613</v>
      </c>
      <c r="G61" s="63">
        <v>161.52600566538644</v>
      </c>
      <c r="H61" s="63">
        <v>168.08828841500184</v>
      </c>
      <c r="I61" s="63">
        <v>178.07904872626779</v>
      </c>
      <c r="J61" s="63">
        <v>205.00184408406437</v>
      </c>
      <c r="K61" s="63">
        <v>252.91045058712768</v>
      </c>
      <c r="L61" s="63">
        <v>240.67760490736833</v>
      </c>
      <c r="M61" s="63">
        <v>206.69744717045995</v>
      </c>
      <c r="N61" s="63">
        <v>263.49544059380321</v>
      </c>
      <c r="O61" s="63">
        <v>311.62930888999182</v>
      </c>
      <c r="P61" s="63">
        <v>322.65594038518554</v>
      </c>
      <c r="Q61" s="63">
        <v>338.99546539437296</v>
      </c>
      <c r="R61" s="63">
        <v>419.12965258938402</v>
      </c>
      <c r="S61" s="63">
        <v>396.23421556628489</v>
      </c>
      <c r="T61" s="63">
        <v>458.49239073335906</v>
      </c>
      <c r="U61" s="63">
        <v>544.60162310761666</v>
      </c>
      <c r="V61" s="63">
        <v>696.69947464427128</v>
      </c>
      <c r="W61" s="63">
        <v>674.38197253083615</v>
      </c>
      <c r="X61" s="63">
        <v>747.60542575076715</v>
      </c>
      <c r="Y61" s="63">
        <v>810.39339682839181</v>
      </c>
      <c r="Z61" s="63">
        <v>901.54347854911543</v>
      </c>
      <c r="AA61" s="63">
        <v>1054.1244067914231</v>
      </c>
      <c r="AB61" s="63">
        <v>1059.671078064609</v>
      </c>
      <c r="AC61" s="63">
        <v>1087.1059038210349</v>
      </c>
      <c r="AD61" s="63">
        <v>1182.9888879187884</v>
      </c>
      <c r="AE61" s="63">
        <v>1266.9401832133708</v>
      </c>
      <c r="AF61" s="63">
        <v>1619.4611786326068</v>
      </c>
      <c r="AG61" s="63">
        <v>2049.4024760324382</v>
      </c>
      <c r="AH61" s="63">
        <v>2390.287038120302</v>
      </c>
    </row>
    <row r="62" spans="3:34" x14ac:dyDescent="0.45">
      <c r="C62" s="63">
        <v>100</v>
      </c>
      <c r="D62" s="63">
        <v>103.51170971335276</v>
      </c>
      <c r="E62" s="63">
        <v>101.42928681903322</v>
      </c>
      <c r="F62" s="63">
        <v>152.79620174796366</v>
      </c>
      <c r="G62" s="63">
        <v>160.48474445187793</v>
      </c>
      <c r="H62" s="63">
        <v>177.19728745930655</v>
      </c>
      <c r="I62" s="63">
        <v>181.40519593292169</v>
      </c>
      <c r="J62" s="63">
        <v>197.69223074040065</v>
      </c>
      <c r="K62" s="63">
        <v>182.3605049750106</v>
      </c>
      <c r="L62" s="63">
        <v>236.29614788575861</v>
      </c>
      <c r="M62" s="63">
        <v>240.61273280948126</v>
      </c>
      <c r="N62" s="63">
        <v>275.78776424531895</v>
      </c>
      <c r="O62" s="63">
        <v>327.93742895751109</v>
      </c>
      <c r="P62" s="63">
        <v>336.62424727451315</v>
      </c>
      <c r="Q62" s="63">
        <v>423.8311635137901</v>
      </c>
      <c r="R62" s="63">
        <v>443.20346996781143</v>
      </c>
      <c r="S62" s="63">
        <v>554.71115501558768</v>
      </c>
      <c r="T62" s="63">
        <v>465.10315385805205</v>
      </c>
      <c r="U62" s="63">
        <v>577.65434684239176</v>
      </c>
      <c r="V62" s="63">
        <v>633.06805399244377</v>
      </c>
      <c r="W62" s="63">
        <v>626.98077916250622</v>
      </c>
      <c r="X62" s="63">
        <v>713.66845133291883</v>
      </c>
      <c r="Y62" s="63">
        <v>981.34510021120968</v>
      </c>
      <c r="Z62" s="63">
        <v>831.65773163767369</v>
      </c>
      <c r="AA62" s="63">
        <v>1069.0445119814069</v>
      </c>
      <c r="AB62" s="63">
        <v>1202.3181173943824</v>
      </c>
      <c r="AC62" s="63">
        <v>1305.4132187182709</v>
      </c>
      <c r="AD62" s="63">
        <v>1300.500694451337</v>
      </c>
      <c r="AE62" s="63">
        <v>1482.3861413715044</v>
      </c>
      <c r="AF62" s="63">
        <v>1682.7276463809128</v>
      </c>
      <c r="AG62" s="63">
        <v>1616.5655239800494</v>
      </c>
      <c r="AH62" s="63">
        <v>1980.5579601190295</v>
      </c>
    </row>
    <row r="63" spans="3:34" x14ac:dyDescent="0.45">
      <c r="C63" s="63">
        <v>100</v>
      </c>
      <c r="D63" s="63">
        <v>117.65092467717071</v>
      </c>
      <c r="E63" s="63">
        <v>126.61187559967019</v>
      </c>
      <c r="F63" s="63">
        <v>160.95519555611409</v>
      </c>
      <c r="G63" s="63">
        <v>161.66361167697553</v>
      </c>
      <c r="H63" s="63">
        <v>149.16676556742277</v>
      </c>
      <c r="I63" s="63">
        <v>163.29298537005508</v>
      </c>
      <c r="J63" s="63">
        <v>208.02972829358839</v>
      </c>
      <c r="K63" s="63">
        <v>255.08588192509887</v>
      </c>
      <c r="L63" s="63">
        <v>288.83355704196708</v>
      </c>
      <c r="M63" s="63">
        <v>340.27425058752783</v>
      </c>
      <c r="N63" s="63">
        <v>353.13430364266299</v>
      </c>
      <c r="O63" s="63">
        <v>334.13169902219624</v>
      </c>
      <c r="P63" s="63">
        <v>373.02636172444585</v>
      </c>
      <c r="Q63" s="63">
        <v>396.67755032569676</v>
      </c>
      <c r="R63" s="63">
        <v>491.21382301311235</v>
      </c>
      <c r="S63" s="63">
        <v>400.49898021705178</v>
      </c>
      <c r="T63" s="63">
        <v>375.59179825901322</v>
      </c>
      <c r="U63" s="63">
        <v>423.29027201377119</v>
      </c>
      <c r="V63" s="63">
        <v>510.92267246855675</v>
      </c>
      <c r="W63" s="63">
        <v>711.22509025332658</v>
      </c>
      <c r="X63" s="63">
        <v>878.49275487732621</v>
      </c>
      <c r="Y63" s="63">
        <v>803.72289293055996</v>
      </c>
      <c r="Z63" s="63">
        <v>1181.0520915959646</v>
      </c>
      <c r="AA63" s="63">
        <v>1269.3125646657725</v>
      </c>
      <c r="AB63" s="63">
        <v>1348.4166637184223</v>
      </c>
      <c r="AC63" s="63">
        <v>1243.641794130057</v>
      </c>
      <c r="AD63" s="63">
        <v>1288.5266503198891</v>
      </c>
      <c r="AE63" s="63">
        <v>1498.548724022628</v>
      </c>
      <c r="AF63" s="63">
        <v>1482.2251691822223</v>
      </c>
      <c r="AG63" s="63">
        <v>1735.3698108250983</v>
      </c>
      <c r="AH63" s="63">
        <v>1566.493284553007</v>
      </c>
    </row>
    <row r="64" spans="3:34" x14ac:dyDescent="0.45">
      <c r="C64" s="63">
        <v>100</v>
      </c>
      <c r="D64" s="63">
        <v>123.36799576329001</v>
      </c>
      <c r="E64" s="63">
        <v>127.25177431597946</v>
      </c>
      <c r="F64" s="63">
        <v>156.69511361938962</v>
      </c>
      <c r="G64" s="63">
        <v>142.06976246014474</v>
      </c>
      <c r="H64" s="63">
        <v>174.92070160825125</v>
      </c>
      <c r="I64" s="63">
        <v>154.25418555658666</v>
      </c>
      <c r="J64" s="63">
        <v>168.61267159048549</v>
      </c>
      <c r="K64" s="63">
        <v>217.71444783249996</v>
      </c>
      <c r="L64" s="63">
        <v>258.07013057179853</v>
      </c>
      <c r="M64" s="63">
        <v>361.44665658801358</v>
      </c>
      <c r="N64" s="63">
        <v>340.32232421889938</v>
      </c>
      <c r="O64" s="63">
        <v>339.30034004417496</v>
      </c>
      <c r="P64" s="63">
        <v>387.41296571127384</v>
      </c>
      <c r="Q64" s="63">
        <v>362.65234864048062</v>
      </c>
      <c r="R64" s="63">
        <v>437.83673185177952</v>
      </c>
      <c r="S64" s="63">
        <v>496.90566725723806</v>
      </c>
      <c r="T64" s="63">
        <v>538.26102673396417</v>
      </c>
      <c r="U64" s="63">
        <v>646.96231716651153</v>
      </c>
      <c r="V64" s="63">
        <v>662.21153045580718</v>
      </c>
      <c r="W64" s="63">
        <v>749.88208303087981</v>
      </c>
      <c r="X64" s="63">
        <v>668.25009154924419</v>
      </c>
      <c r="Y64" s="63">
        <v>672.15744011606057</v>
      </c>
      <c r="Z64" s="63">
        <v>782.30753695739145</v>
      </c>
      <c r="AA64" s="63">
        <v>878.65729921386685</v>
      </c>
      <c r="AB64" s="63">
        <v>805.05990937168303</v>
      </c>
      <c r="AC64" s="63">
        <v>1021.9056946574069</v>
      </c>
      <c r="AD64" s="63">
        <v>1291.1597408997986</v>
      </c>
      <c r="AE64" s="63">
        <v>1125.1743981817283</v>
      </c>
      <c r="AF64" s="63">
        <v>1580.3248409730445</v>
      </c>
      <c r="AG64" s="63">
        <v>1485.165457449426</v>
      </c>
      <c r="AH64" s="63">
        <v>1833.5052281285025</v>
      </c>
    </row>
    <row r="65" spans="3:34" x14ac:dyDescent="0.45">
      <c r="C65" s="63">
        <v>100</v>
      </c>
      <c r="D65" s="63">
        <v>139.13050545989768</v>
      </c>
      <c r="E65" s="63">
        <v>170.57409112896335</v>
      </c>
      <c r="F65" s="63">
        <v>159.08694031647525</v>
      </c>
      <c r="G65" s="63">
        <v>145.79984450975002</v>
      </c>
      <c r="H65" s="63">
        <v>179.00840440801957</v>
      </c>
      <c r="I65" s="63">
        <v>252.67154475086545</v>
      </c>
      <c r="J65" s="63">
        <v>258.07554840896472</v>
      </c>
      <c r="K65" s="63">
        <v>221.73327523703875</v>
      </c>
      <c r="L65" s="63">
        <v>248.70402039149525</v>
      </c>
      <c r="M65" s="63">
        <v>270.88692788222733</v>
      </c>
      <c r="N65" s="63">
        <v>306.99527956135557</v>
      </c>
      <c r="O65" s="63">
        <v>336.00311773106176</v>
      </c>
      <c r="P65" s="63">
        <v>355.3277040842629</v>
      </c>
      <c r="Q65" s="63">
        <v>366.61387261288155</v>
      </c>
      <c r="R65" s="63">
        <v>419.1724978319337</v>
      </c>
      <c r="S65" s="63">
        <v>519.71580780141073</v>
      </c>
      <c r="T65" s="63">
        <v>617.37471008272337</v>
      </c>
      <c r="U65" s="63">
        <v>558.94090763866211</v>
      </c>
      <c r="V65" s="63">
        <v>693.16372668200256</v>
      </c>
      <c r="W65" s="63">
        <v>728.99595591847685</v>
      </c>
      <c r="X65" s="63">
        <v>785.04079265112796</v>
      </c>
      <c r="Y65" s="63">
        <v>818.32637012078885</v>
      </c>
      <c r="Z65" s="63">
        <v>1098.1887490889985</v>
      </c>
      <c r="AA65" s="63">
        <v>1003.7293166953737</v>
      </c>
      <c r="AB65" s="63">
        <v>1130.676965079351</v>
      </c>
      <c r="AC65" s="63">
        <v>1207.8792681389182</v>
      </c>
      <c r="AD65" s="63">
        <v>1177.3101971299993</v>
      </c>
      <c r="AE65" s="63">
        <v>1193.3131942764253</v>
      </c>
      <c r="AF65" s="63">
        <v>1538.4992546298408</v>
      </c>
      <c r="AG65" s="63">
        <v>1445.9225745442034</v>
      </c>
      <c r="AH65" s="63">
        <v>2004.0841057230778</v>
      </c>
    </row>
    <row r="66" spans="3:34" x14ac:dyDescent="0.45">
      <c r="C66" s="63">
        <v>100</v>
      </c>
      <c r="D66" s="63">
        <v>106.642414553287</v>
      </c>
      <c r="E66" s="63">
        <v>110.32141660869695</v>
      </c>
      <c r="F66" s="63">
        <v>98.656018814666822</v>
      </c>
      <c r="G66" s="63">
        <v>108.19897273217221</v>
      </c>
      <c r="H66" s="63">
        <v>159.61489376042442</v>
      </c>
      <c r="I66" s="63">
        <v>212.8977800092506</v>
      </c>
      <c r="J66" s="63">
        <v>257.34140386286515</v>
      </c>
      <c r="K66" s="63">
        <v>250.87119449460789</v>
      </c>
      <c r="L66" s="63">
        <v>319.0091688477653</v>
      </c>
      <c r="M66" s="63">
        <v>312.43739316447818</v>
      </c>
      <c r="N66" s="63">
        <v>253.1385028399383</v>
      </c>
      <c r="O66" s="63">
        <v>305.87526330769299</v>
      </c>
      <c r="P66" s="63">
        <v>337.80608040369447</v>
      </c>
      <c r="Q66" s="63">
        <v>432.55835633588197</v>
      </c>
      <c r="R66" s="63">
        <v>498.14441071340718</v>
      </c>
      <c r="S66" s="63">
        <v>511.5781074803715</v>
      </c>
      <c r="T66" s="63">
        <v>523.65106337994996</v>
      </c>
      <c r="U66" s="63">
        <v>517.39285810424997</v>
      </c>
      <c r="V66" s="63">
        <v>579.74018319943525</v>
      </c>
      <c r="W66" s="63">
        <v>611.18185686956417</v>
      </c>
      <c r="X66" s="63">
        <v>635.64202700091528</v>
      </c>
      <c r="Y66" s="63">
        <v>676.58588041915687</v>
      </c>
      <c r="Z66" s="63">
        <v>805.60438161856291</v>
      </c>
      <c r="AA66" s="63">
        <v>971.70344478025061</v>
      </c>
      <c r="AB66" s="63">
        <v>1082.1940190754058</v>
      </c>
      <c r="AC66" s="63">
        <v>1104.8701634434292</v>
      </c>
      <c r="AD66" s="63">
        <v>1269.8790480712205</v>
      </c>
      <c r="AE66" s="63">
        <v>1511.2584767543512</v>
      </c>
      <c r="AF66" s="63">
        <v>1675.484012588317</v>
      </c>
      <c r="AG66" s="63">
        <v>1912.5651887120537</v>
      </c>
      <c r="AH66" s="63">
        <v>1722.7783800811899</v>
      </c>
    </row>
    <row r="67" spans="3:34" x14ac:dyDescent="0.45">
      <c r="C67" s="63">
        <v>100</v>
      </c>
      <c r="D67" s="63">
        <v>113.00754293338629</v>
      </c>
      <c r="E67" s="63">
        <v>116.51543172588731</v>
      </c>
      <c r="F67" s="63">
        <v>138.69704954783424</v>
      </c>
      <c r="G67" s="63">
        <v>138.4205102308311</v>
      </c>
      <c r="H67" s="63">
        <v>184.5025277595434</v>
      </c>
      <c r="I67" s="63">
        <v>184.60469232655285</v>
      </c>
      <c r="J67" s="63">
        <v>180.49236185965134</v>
      </c>
      <c r="K67" s="63">
        <v>214.08480327045879</v>
      </c>
      <c r="L67" s="63">
        <v>233.9990968088884</v>
      </c>
      <c r="M67" s="63">
        <v>278.67985700998742</v>
      </c>
      <c r="N67" s="63">
        <v>334.96107935945815</v>
      </c>
      <c r="O67" s="63">
        <v>317.40784295106153</v>
      </c>
      <c r="P67" s="63">
        <v>409.89430569547784</v>
      </c>
      <c r="Q67" s="63">
        <v>424.45947044368233</v>
      </c>
      <c r="R67" s="63">
        <v>454.63209187563007</v>
      </c>
      <c r="S67" s="63">
        <v>488.27686596953447</v>
      </c>
      <c r="T67" s="63">
        <v>563.28014152233504</v>
      </c>
      <c r="U67" s="63">
        <v>544.44695715261639</v>
      </c>
      <c r="V67" s="63">
        <v>544.26861074138264</v>
      </c>
      <c r="W67" s="63">
        <v>613.21194840453154</v>
      </c>
      <c r="X67" s="63">
        <v>691.7975970842341</v>
      </c>
      <c r="Y67" s="63">
        <v>757.82511221887398</v>
      </c>
      <c r="Z67" s="63">
        <v>798.98541002394597</v>
      </c>
      <c r="AA67" s="63">
        <v>978.51849032199834</v>
      </c>
      <c r="AB67" s="63">
        <v>1073.9145771034775</v>
      </c>
      <c r="AC67" s="63">
        <v>1285.172718890281</v>
      </c>
      <c r="AD67" s="63">
        <v>1170.6347705769685</v>
      </c>
      <c r="AE67" s="63">
        <v>1206.2474909670127</v>
      </c>
      <c r="AF67" s="63">
        <v>1553.5447061220252</v>
      </c>
      <c r="AG67" s="63">
        <v>1499.4991271845963</v>
      </c>
      <c r="AH67" s="63">
        <v>1426.815679686636</v>
      </c>
    </row>
    <row r="68" spans="3:34" x14ac:dyDescent="0.45">
      <c r="C68" s="63">
        <v>100</v>
      </c>
      <c r="D68" s="63">
        <v>125.42078417596984</v>
      </c>
      <c r="E68" s="63">
        <v>138.1365774062358</v>
      </c>
      <c r="F68" s="63">
        <v>137.92225312577619</v>
      </c>
      <c r="G68" s="63">
        <v>141.90321335202782</v>
      </c>
      <c r="H68" s="63">
        <v>164.54580195301511</v>
      </c>
      <c r="I68" s="63">
        <v>181.50869140305804</v>
      </c>
      <c r="J68" s="63">
        <v>200.50289458735278</v>
      </c>
      <c r="K68" s="63">
        <v>212.33663000132867</v>
      </c>
      <c r="L68" s="63">
        <v>261.15239896407621</v>
      </c>
      <c r="M68" s="63">
        <v>274.02012420679915</v>
      </c>
      <c r="N68" s="63">
        <v>304.44119871534218</v>
      </c>
      <c r="O68" s="63">
        <v>380.32162023566332</v>
      </c>
      <c r="P68" s="63">
        <v>413.05498001665774</v>
      </c>
      <c r="Q68" s="63">
        <v>392.83493636655948</v>
      </c>
      <c r="R68" s="63">
        <v>466.75219244282914</v>
      </c>
      <c r="S68" s="63">
        <v>481.48283421988333</v>
      </c>
      <c r="T68" s="63">
        <v>518.54657324744721</v>
      </c>
      <c r="U68" s="63">
        <v>592.40029575100345</v>
      </c>
      <c r="V68" s="63">
        <v>500.7208296209447</v>
      </c>
      <c r="W68" s="63">
        <v>641.39482536023797</v>
      </c>
      <c r="X68" s="63">
        <v>656.14257324031405</v>
      </c>
      <c r="Y68" s="63">
        <v>680.41918019320929</v>
      </c>
      <c r="Z68" s="63">
        <v>793.65879133357589</v>
      </c>
      <c r="AA68" s="63">
        <v>790.28559901102665</v>
      </c>
      <c r="AB68" s="63">
        <v>1060.3751014037448</v>
      </c>
      <c r="AC68" s="63">
        <v>1317.2849292329283</v>
      </c>
      <c r="AD68" s="63">
        <v>1253.3689096131429</v>
      </c>
      <c r="AE68" s="63">
        <v>1470.079171894047</v>
      </c>
      <c r="AF68" s="63">
        <v>1590.0138976057688</v>
      </c>
      <c r="AG68" s="63">
        <v>1753.6280050104374</v>
      </c>
      <c r="AH68" s="63">
        <v>1928.1783515910849</v>
      </c>
    </row>
    <row r="69" spans="3:34" x14ac:dyDescent="0.45">
      <c r="C69" s="63">
        <v>100</v>
      </c>
      <c r="D69" s="63">
        <v>115.93573857497641</v>
      </c>
      <c r="E69" s="63">
        <v>112.88567162498394</v>
      </c>
      <c r="F69" s="63">
        <v>137.43834042922492</v>
      </c>
      <c r="G69" s="63">
        <v>147.19737873342063</v>
      </c>
      <c r="H69" s="63">
        <v>158.87054105570095</v>
      </c>
      <c r="I69" s="63">
        <v>204.5192536244532</v>
      </c>
      <c r="J69" s="63">
        <v>249.32985135623528</v>
      </c>
      <c r="K69" s="63">
        <v>224.5562283453001</v>
      </c>
      <c r="L69" s="63">
        <v>183.6660903612547</v>
      </c>
      <c r="M69" s="63">
        <v>232.46337166158168</v>
      </c>
      <c r="N69" s="63">
        <v>268.95496560856543</v>
      </c>
      <c r="O69" s="63">
        <v>321.72063421201403</v>
      </c>
      <c r="P69" s="63">
        <v>335.69145191884462</v>
      </c>
      <c r="Q69" s="63">
        <v>367.69933229061462</v>
      </c>
      <c r="R69" s="63">
        <v>382.52533029563222</v>
      </c>
      <c r="S69" s="63">
        <v>445.61807518633566</v>
      </c>
      <c r="T69" s="63">
        <v>511.96917148187993</v>
      </c>
      <c r="U69" s="63">
        <v>630.19595171409992</v>
      </c>
      <c r="V69" s="63">
        <v>658.97284617149489</v>
      </c>
      <c r="W69" s="63">
        <v>866.666476425523</v>
      </c>
      <c r="X69" s="63">
        <v>651.46926959087477</v>
      </c>
      <c r="Y69" s="63">
        <v>788.10881192698889</v>
      </c>
      <c r="Z69" s="63">
        <v>852.64940266438668</v>
      </c>
      <c r="AA69" s="63">
        <v>979.6209277776868</v>
      </c>
      <c r="AB69" s="63">
        <v>993.30421385618774</v>
      </c>
      <c r="AC69" s="63">
        <v>1106.0075312356221</v>
      </c>
      <c r="AD69" s="63">
        <v>1350.9852836711352</v>
      </c>
      <c r="AE69" s="63">
        <v>1456.6465158090148</v>
      </c>
      <c r="AF69" s="63">
        <v>1751.069580765271</v>
      </c>
      <c r="AG69" s="63">
        <v>2000.4134985855187</v>
      </c>
      <c r="AH69" s="63">
        <v>2451.4806466121472</v>
      </c>
    </row>
    <row r="70" spans="3:34" x14ac:dyDescent="0.45">
      <c r="C70" s="63">
        <v>100</v>
      </c>
      <c r="D70" s="63">
        <v>111.61592662880963</v>
      </c>
      <c r="E70" s="63">
        <v>152.05644989833687</v>
      </c>
      <c r="F70" s="63">
        <v>176.09768574104623</v>
      </c>
      <c r="G70" s="63">
        <v>156.61145709556416</v>
      </c>
      <c r="H70" s="63">
        <v>166.75483993581611</v>
      </c>
      <c r="I70" s="63">
        <v>184.3025834362484</v>
      </c>
      <c r="J70" s="63">
        <v>202.87070468793391</v>
      </c>
      <c r="K70" s="63">
        <v>209.68746330367162</v>
      </c>
      <c r="L70" s="63">
        <v>223.18264646054485</v>
      </c>
      <c r="M70" s="63">
        <v>253.25721609383069</v>
      </c>
      <c r="N70" s="63">
        <v>326.49834792000632</v>
      </c>
      <c r="O70" s="63">
        <v>376.55859387289809</v>
      </c>
      <c r="P70" s="63">
        <v>459.12568669064495</v>
      </c>
      <c r="Q70" s="63">
        <v>511.57356143581183</v>
      </c>
      <c r="R70" s="63">
        <v>395.9877089160251</v>
      </c>
      <c r="S70" s="63">
        <v>445.321437624493</v>
      </c>
      <c r="T70" s="63">
        <v>543.79848781326541</v>
      </c>
      <c r="U70" s="63">
        <v>670.70229412621268</v>
      </c>
      <c r="V70" s="63">
        <v>622.90316788358177</v>
      </c>
      <c r="W70" s="63">
        <v>641.69146893465495</v>
      </c>
      <c r="X70" s="63">
        <v>789.41623129488221</v>
      </c>
      <c r="Y70" s="63">
        <v>811.2287559033548</v>
      </c>
      <c r="Z70" s="63">
        <v>732.32237056289421</v>
      </c>
      <c r="AA70" s="63">
        <v>944.34713860501415</v>
      </c>
      <c r="AB70" s="63">
        <v>1090.8816152525228</v>
      </c>
      <c r="AC70" s="63">
        <v>1071.128386785615</v>
      </c>
      <c r="AD70" s="63">
        <v>1320.9695859003309</v>
      </c>
      <c r="AE70" s="63">
        <v>1491.2619610755844</v>
      </c>
      <c r="AF70" s="63">
        <v>1418.6495865019933</v>
      </c>
      <c r="AG70" s="63">
        <v>1922.8434555247711</v>
      </c>
      <c r="AH70" s="63">
        <v>1589.7778481068553</v>
      </c>
    </row>
    <row r="71" spans="3:34" x14ac:dyDescent="0.45">
      <c r="C71" s="63">
        <v>100</v>
      </c>
      <c r="D71" s="63">
        <v>129.43488601889652</v>
      </c>
      <c r="E71" s="63">
        <v>142.37368332214953</v>
      </c>
      <c r="F71" s="63">
        <v>142.94431766278046</v>
      </c>
      <c r="G71" s="63">
        <v>155.95679343978662</v>
      </c>
      <c r="H71" s="63">
        <v>188.26566242803358</v>
      </c>
      <c r="I71" s="63">
        <v>228.25084521866447</v>
      </c>
      <c r="J71" s="63">
        <v>192.56994941131344</v>
      </c>
      <c r="K71" s="63">
        <v>200.85909332040131</v>
      </c>
      <c r="L71" s="63">
        <v>272.32152405878992</v>
      </c>
      <c r="M71" s="63">
        <v>263.93252776997792</v>
      </c>
      <c r="N71" s="63">
        <v>294.68482157645769</v>
      </c>
      <c r="O71" s="63">
        <v>320.43147982204471</v>
      </c>
      <c r="P71" s="63">
        <v>376.2462858671617</v>
      </c>
      <c r="Q71" s="63">
        <v>420.62615295265641</v>
      </c>
      <c r="R71" s="63">
        <v>356.63258058989788</v>
      </c>
      <c r="S71" s="63">
        <v>362.21492916171746</v>
      </c>
      <c r="T71" s="63">
        <v>477.90429543720677</v>
      </c>
      <c r="U71" s="63">
        <v>495.84530891289421</v>
      </c>
      <c r="V71" s="63">
        <v>604.55887623352669</v>
      </c>
      <c r="W71" s="63">
        <v>611.79088938028963</v>
      </c>
      <c r="X71" s="63">
        <v>630.61459752320343</v>
      </c>
      <c r="Y71" s="63">
        <v>722.71138869756555</v>
      </c>
      <c r="Z71" s="63">
        <v>972.05301086766485</v>
      </c>
      <c r="AA71" s="63">
        <v>1058.9333987048262</v>
      </c>
      <c r="AB71" s="63">
        <v>1081.6366695813276</v>
      </c>
      <c r="AC71" s="63">
        <v>1462.4522187296416</v>
      </c>
      <c r="AD71" s="63">
        <v>1389.9067065804484</v>
      </c>
      <c r="AE71" s="63">
        <v>1361.0255472916044</v>
      </c>
      <c r="AF71" s="63">
        <v>1645.7142061132004</v>
      </c>
      <c r="AG71" s="63">
        <v>1465.2216047518934</v>
      </c>
      <c r="AH71" s="63">
        <v>1708.4135054227227</v>
      </c>
    </row>
    <row r="72" spans="3:34" x14ac:dyDescent="0.45">
      <c r="C72" s="63">
        <v>100</v>
      </c>
      <c r="D72" s="63">
        <v>119.51910038594914</v>
      </c>
      <c r="E72" s="63">
        <v>132.62205820007543</v>
      </c>
      <c r="F72" s="63">
        <v>116.31398554747918</v>
      </c>
      <c r="G72" s="63">
        <v>144.09702612088853</v>
      </c>
      <c r="H72" s="63">
        <v>167.30058850912425</v>
      </c>
      <c r="I72" s="63">
        <v>184.61469304198368</v>
      </c>
      <c r="J72" s="63">
        <v>235.97947331048636</v>
      </c>
      <c r="K72" s="63">
        <v>227.34513832166181</v>
      </c>
      <c r="L72" s="63">
        <v>272.21646460222121</v>
      </c>
      <c r="M72" s="63">
        <v>293.22547685754012</v>
      </c>
      <c r="N72" s="63">
        <v>252.04816854383327</v>
      </c>
      <c r="O72" s="63">
        <v>251.0314836548356</v>
      </c>
      <c r="P72" s="63">
        <v>297.58559030705982</v>
      </c>
      <c r="Q72" s="63">
        <v>314.96225959065089</v>
      </c>
      <c r="R72" s="63">
        <v>400.84256927359684</v>
      </c>
      <c r="S72" s="63">
        <v>448.5026835672935</v>
      </c>
      <c r="T72" s="63">
        <v>577.96563340776765</v>
      </c>
      <c r="U72" s="63">
        <v>555.54386640977486</v>
      </c>
      <c r="V72" s="63">
        <v>694.6802740092329</v>
      </c>
      <c r="W72" s="63">
        <v>965.32546322240501</v>
      </c>
      <c r="X72" s="63">
        <v>954.30960753967372</v>
      </c>
      <c r="Y72" s="63">
        <v>1112.3147185716703</v>
      </c>
      <c r="Z72" s="63">
        <v>1080.0236807817182</v>
      </c>
      <c r="AA72" s="63">
        <v>1129.0208296714252</v>
      </c>
      <c r="AB72" s="63">
        <v>1154.5801078563129</v>
      </c>
      <c r="AC72" s="63">
        <v>1305.1744014354281</v>
      </c>
      <c r="AD72" s="63">
        <v>1456.4784720082739</v>
      </c>
      <c r="AE72" s="63">
        <v>1516.3789195610884</v>
      </c>
      <c r="AF72" s="63">
        <v>1443.061949892038</v>
      </c>
      <c r="AG72" s="63">
        <v>1636.1004116255881</v>
      </c>
      <c r="AH72" s="63">
        <v>2078.6817053155373</v>
      </c>
    </row>
    <row r="73" spans="3:34" x14ac:dyDescent="0.45">
      <c r="C73" s="63">
        <v>100</v>
      </c>
      <c r="D73" s="63">
        <v>104.38692569646426</v>
      </c>
      <c r="E73" s="63">
        <v>109.63929922692361</v>
      </c>
      <c r="F73" s="63">
        <v>142.95068999665489</v>
      </c>
      <c r="G73" s="63">
        <v>169.30884175580303</v>
      </c>
      <c r="H73" s="63">
        <v>199.8847279688419</v>
      </c>
      <c r="I73" s="63">
        <v>179.8506436944121</v>
      </c>
      <c r="J73" s="63">
        <v>263.04908444768017</v>
      </c>
      <c r="K73" s="63">
        <v>231.15689539295983</v>
      </c>
      <c r="L73" s="63">
        <v>278.277996727019</v>
      </c>
      <c r="M73" s="63">
        <v>238.47579641839974</v>
      </c>
      <c r="N73" s="63">
        <v>293.50313654036705</v>
      </c>
      <c r="O73" s="63">
        <v>305.51467308540668</v>
      </c>
      <c r="P73" s="63">
        <v>350.16046382899185</v>
      </c>
      <c r="Q73" s="63">
        <v>439.28378907085528</v>
      </c>
      <c r="R73" s="63">
        <v>360.18928316353617</v>
      </c>
      <c r="S73" s="63">
        <v>402.96034329669862</v>
      </c>
      <c r="T73" s="63">
        <v>519.08827647486623</v>
      </c>
      <c r="U73" s="63">
        <v>601.34848372946396</v>
      </c>
      <c r="V73" s="63">
        <v>588.38147702497236</v>
      </c>
      <c r="W73" s="63">
        <v>676.71664222870515</v>
      </c>
      <c r="X73" s="63">
        <v>790.47661094386285</v>
      </c>
      <c r="Y73" s="63">
        <v>1026.5469579364521</v>
      </c>
      <c r="Z73" s="63">
        <v>1262.5048769548694</v>
      </c>
      <c r="AA73" s="63">
        <v>1296.1375184697774</v>
      </c>
      <c r="AB73" s="63">
        <v>1390.8139461316782</v>
      </c>
      <c r="AC73" s="63">
        <v>1402.2710804954693</v>
      </c>
      <c r="AD73" s="63">
        <v>1578.822521099783</v>
      </c>
      <c r="AE73" s="63">
        <v>1404.2278475032838</v>
      </c>
      <c r="AF73" s="63">
        <v>1592.5677609344357</v>
      </c>
      <c r="AG73" s="63">
        <v>1502.2369860484418</v>
      </c>
      <c r="AH73" s="63">
        <v>1804.544794519539</v>
      </c>
    </row>
    <row r="74" spans="3:34" x14ac:dyDescent="0.45">
      <c r="C74" s="63">
        <v>100</v>
      </c>
      <c r="D74" s="63">
        <v>102.44847998731143</v>
      </c>
      <c r="E74" s="63">
        <v>109.87231071850994</v>
      </c>
      <c r="F74" s="63">
        <v>125.23233671013504</v>
      </c>
      <c r="G74" s="63">
        <v>121.76530867943447</v>
      </c>
      <c r="H74" s="63">
        <v>171.86439456726907</v>
      </c>
      <c r="I74" s="63">
        <v>231.62253547064859</v>
      </c>
      <c r="J74" s="63">
        <v>197.21886991727422</v>
      </c>
      <c r="K74" s="63">
        <v>216.24452244530733</v>
      </c>
      <c r="L74" s="63">
        <v>238.27468793486867</v>
      </c>
      <c r="M74" s="63">
        <v>276.54695490944846</v>
      </c>
      <c r="N74" s="63">
        <v>321.98585000559126</v>
      </c>
      <c r="O74" s="63">
        <v>345.02514668747546</v>
      </c>
      <c r="P74" s="63">
        <v>393.19190998164777</v>
      </c>
      <c r="Q74" s="63">
        <v>388.66899621841259</v>
      </c>
      <c r="R74" s="63">
        <v>402.66561878740367</v>
      </c>
      <c r="S74" s="63">
        <v>407.50673653581885</v>
      </c>
      <c r="T74" s="63">
        <v>483.33031561452771</v>
      </c>
      <c r="U74" s="63">
        <v>589.12108130702882</v>
      </c>
      <c r="V74" s="63">
        <v>587.12270857991859</v>
      </c>
      <c r="W74" s="63">
        <v>622.82385470600138</v>
      </c>
      <c r="X74" s="63">
        <v>628.60525389322129</v>
      </c>
      <c r="Y74" s="63">
        <v>852.56279305436465</v>
      </c>
      <c r="Z74" s="63">
        <v>923.78407991462495</v>
      </c>
      <c r="AA74" s="63">
        <v>1027.7935190524859</v>
      </c>
      <c r="AB74" s="63">
        <v>1217.4144131452806</v>
      </c>
      <c r="AC74" s="63">
        <v>1427.2233872577635</v>
      </c>
      <c r="AD74" s="63">
        <v>1334.6084014117532</v>
      </c>
      <c r="AE74" s="63">
        <v>1430.6788715814525</v>
      </c>
      <c r="AF74" s="63">
        <v>1655.9395883482462</v>
      </c>
      <c r="AG74" s="63">
        <v>1688.0945437533032</v>
      </c>
      <c r="AH74" s="63">
        <v>1926.8476225664115</v>
      </c>
    </row>
    <row r="75" spans="3:34" x14ac:dyDescent="0.45">
      <c r="C75" s="63">
        <v>100</v>
      </c>
      <c r="D75" s="63">
        <v>115.45034026920213</v>
      </c>
      <c r="E75" s="63">
        <v>129.35342391397273</v>
      </c>
      <c r="F75" s="63">
        <v>136.63957303970545</v>
      </c>
      <c r="G75" s="63">
        <v>142.59100741749086</v>
      </c>
      <c r="H75" s="63">
        <v>134.04155874573235</v>
      </c>
      <c r="I75" s="63">
        <v>140.20966661426522</v>
      </c>
      <c r="J75" s="63">
        <v>175.1733246065296</v>
      </c>
      <c r="K75" s="63">
        <v>213.5778321791912</v>
      </c>
      <c r="L75" s="63">
        <v>198.66839675502689</v>
      </c>
      <c r="M75" s="63">
        <v>217.92823757810601</v>
      </c>
      <c r="N75" s="63">
        <v>275.44394177279509</v>
      </c>
      <c r="O75" s="63">
        <v>326.01965050324895</v>
      </c>
      <c r="P75" s="63">
        <v>373.42161618605974</v>
      </c>
      <c r="Q75" s="63">
        <v>387.03661010123358</v>
      </c>
      <c r="R75" s="63">
        <v>472.11843849518766</v>
      </c>
      <c r="S75" s="63">
        <v>332.58911822599271</v>
      </c>
      <c r="T75" s="63">
        <v>432.56246610583219</v>
      </c>
      <c r="U75" s="63">
        <v>547.93330438372288</v>
      </c>
      <c r="V75" s="63">
        <v>662.24359377027827</v>
      </c>
      <c r="W75" s="63">
        <v>675.00376181471472</v>
      </c>
      <c r="X75" s="63">
        <v>721.23682512989649</v>
      </c>
      <c r="Y75" s="63">
        <v>751.64972464567404</v>
      </c>
      <c r="Z75" s="63">
        <v>924.88113617201452</v>
      </c>
      <c r="AA75" s="63">
        <v>1004.146136037412</v>
      </c>
      <c r="AB75" s="63">
        <v>871.5993404584176</v>
      </c>
      <c r="AC75" s="63">
        <v>1168.1026674836489</v>
      </c>
      <c r="AD75" s="63">
        <v>1411.0241345690865</v>
      </c>
      <c r="AE75" s="63">
        <v>1199.4554177572998</v>
      </c>
      <c r="AF75" s="63">
        <v>1300.2637118967236</v>
      </c>
      <c r="AG75" s="63">
        <v>1554.6355727804898</v>
      </c>
      <c r="AH75" s="63">
        <v>2023.6229509614689</v>
      </c>
    </row>
    <row r="76" spans="3:34" x14ac:dyDescent="0.45">
      <c r="C76" s="63">
        <v>100</v>
      </c>
      <c r="D76" s="63">
        <v>91.223154159424936</v>
      </c>
      <c r="E76" s="63">
        <v>110.57526664627662</v>
      </c>
      <c r="F76" s="63">
        <v>128.98877981640737</v>
      </c>
      <c r="G76" s="63">
        <v>155.18329794171649</v>
      </c>
      <c r="H76" s="63">
        <v>178.68249252195673</v>
      </c>
      <c r="I76" s="63">
        <v>157.54874472311246</v>
      </c>
      <c r="J76" s="63">
        <v>159.569895886528</v>
      </c>
      <c r="K76" s="63">
        <v>190.22054720215999</v>
      </c>
      <c r="L76" s="63">
        <v>207.01328487197475</v>
      </c>
      <c r="M76" s="63">
        <v>217.60801999465312</v>
      </c>
      <c r="N76" s="63">
        <v>325.50574106895584</v>
      </c>
      <c r="O76" s="63">
        <v>381.69460500301739</v>
      </c>
      <c r="P76" s="63">
        <v>324.11318412451567</v>
      </c>
      <c r="Q76" s="63">
        <v>376.86968349511164</v>
      </c>
      <c r="R76" s="63">
        <v>340.62176565127152</v>
      </c>
      <c r="S76" s="63">
        <v>411.37949251254292</v>
      </c>
      <c r="T76" s="63">
        <v>455.20157796057924</v>
      </c>
      <c r="U76" s="63">
        <v>528.86847939912536</v>
      </c>
      <c r="V76" s="63">
        <v>593.85296339343995</v>
      </c>
      <c r="W76" s="63">
        <v>658.12653008120265</v>
      </c>
      <c r="X76" s="63">
        <v>628.42464141775372</v>
      </c>
      <c r="Y76" s="63">
        <v>758.79398535397877</v>
      </c>
      <c r="Z76" s="63">
        <v>774.32361175677511</v>
      </c>
      <c r="AA76" s="63">
        <v>940.67209016331014</v>
      </c>
      <c r="AB76" s="63">
        <v>1136.5711464972301</v>
      </c>
      <c r="AC76" s="63">
        <v>1147.4407924029615</v>
      </c>
      <c r="AD76" s="63">
        <v>1558.1625013914809</v>
      </c>
      <c r="AE76" s="63">
        <v>1411.3807954918518</v>
      </c>
      <c r="AF76" s="63">
        <v>1548.1882161511685</v>
      </c>
      <c r="AG76" s="63">
        <v>1420.3843352354343</v>
      </c>
      <c r="AH76" s="63">
        <v>1688.4516221550889</v>
      </c>
    </row>
    <row r="77" spans="3:34" x14ac:dyDescent="0.45">
      <c r="C77" s="63">
        <v>100</v>
      </c>
      <c r="D77" s="63">
        <v>120.28401200199129</v>
      </c>
      <c r="E77" s="63">
        <v>119.07657080640259</v>
      </c>
      <c r="F77" s="63">
        <v>119.54367121603485</v>
      </c>
      <c r="G77" s="63">
        <v>131.26377180684835</v>
      </c>
      <c r="H77" s="63">
        <v>155.13799884509052</v>
      </c>
      <c r="I77" s="63">
        <v>163.93013399899343</v>
      </c>
      <c r="J77" s="63">
        <v>162.31624452799019</v>
      </c>
      <c r="K77" s="63">
        <v>205.86429001238446</v>
      </c>
      <c r="L77" s="63">
        <v>241.42635759448893</v>
      </c>
      <c r="M77" s="63">
        <v>250.25454577267459</v>
      </c>
      <c r="N77" s="63">
        <v>295.55383311776671</v>
      </c>
      <c r="O77" s="63">
        <v>359.09523137490237</v>
      </c>
      <c r="P77" s="63">
        <v>342.77328352377731</v>
      </c>
      <c r="Q77" s="63">
        <v>390.72473839622711</v>
      </c>
      <c r="R77" s="63">
        <v>493.43663247285286</v>
      </c>
      <c r="S77" s="63">
        <v>485.75306217809253</v>
      </c>
      <c r="T77" s="63">
        <v>584.98384787120563</v>
      </c>
      <c r="U77" s="63">
        <v>578.98504571851583</v>
      </c>
      <c r="V77" s="63">
        <v>555.09636415616615</v>
      </c>
      <c r="W77" s="63">
        <v>693.30047417289393</v>
      </c>
      <c r="X77" s="63">
        <v>740.17622069888489</v>
      </c>
      <c r="Y77" s="63">
        <v>903.40933123289688</v>
      </c>
      <c r="Z77" s="63">
        <v>1056.4268968684182</v>
      </c>
      <c r="AA77" s="63">
        <v>980.3201172194224</v>
      </c>
      <c r="AB77" s="63">
        <v>1079.1707536847489</v>
      </c>
      <c r="AC77" s="63">
        <v>1205.1954690967066</v>
      </c>
      <c r="AD77" s="63">
        <v>1163.8151763182623</v>
      </c>
      <c r="AE77" s="63">
        <v>1224.0373012217717</v>
      </c>
      <c r="AF77" s="63">
        <v>1815.2339690389981</v>
      </c>
      <c r="AG77" s="63">
        <v>1772.1198065521569</v>
      </c>
      <c r="AH77" s="63">
        <v>2125.2554173757612</v>
      </c>
    </row>
    <row r="78" spans="3:34" x14ac:dyDescent="0.45">
      <c r="C78" s="63">
        <v>100</v>
      </c>
      <c r="D78" s="63">
        <v>107.56195889381223</v>
      </c>
      <c r="E78" s="63">
        <v>142.8171702468492</v>
      </c>
      <c r="F78" s="63">
        <v>148.7004718451897</v>
      </c>
      <c r="G78" s="63">
        <v>149.18796851915226</v>
      </c>
      <c r="H78" s="63">
        <v>145.18383239755278</v>
      </c>
      <c r="I78" s="63">
        <v>175.91638380035238</v>
      </c>
      <c r="J78" s="63">
        <v>202.97094164502113</v>
      </c>
      <c r="K78" s="63">
        <v>238.63600643947154</v>
      </c>
      <c r="L78" s="63">
        <v>208.93422856553809</v>
      </c>
      <c r="M78" s="63">
        <v>233.14082082766677</v>
      </c>
      <c r="N78" s="63">
        <v>247.20304559451233</v>
      </c>
      <c r="O78" s="63">
        <v>303.78426093138359</v>
      </c>
      <c r="P78" s="63">
        <v>376.39960667034859</v>
      </c>
      <c r="Q78" s="63">
        <v>440.40230294264859</v>
      </c>
      <c r="R78" s="63">
        <v>410.55068695958062</v>
      </c>
      <c r="S78" s="63">
        <v>445.64654267077219</v>
      </c>
      <c r="T78" s="63">
        <v>407.13489967267196</v>
      </c>
      <c r="U78" s="63">
        <v>424.79984592834762</v>
      </c>
      <c r="V78" s="63">
        <v>576.93688856764368</v>
      </c>
      <c r="W78" s="63">
        <v>737.93008617946316</v>
      </c>
      <c r="X78" s="63">
        <v>772.57259030609589</v>
      </c>
      <c r="Y78" s="63">
        <v>837.99652211889611</v>
      </c>
      <c r="Z78" s="63">
        <v>748.12342088439686</v>
      </c>
      <c r="AA78" s="63">
        <v>1066.5499752834749</v>
      </c>
      <c r="AB78" s="63">
        <v>1066.989258901224</v>
      </c>
      <c r="AC78" s="63">
        <v>1122.9497803709728</v>
      </c>
      <c r="AD78" s="63">
        <v>1207.6270169251434</v>
      </c>
      <c r="AE78" s="63">
        <v>1439.9014974674894</v>
      </c>
      <c r="AF78" s="63">
        <v>1639.0806085100212</v>
      </c>
      <c r="AG78" s="63">
        <v>1864.777286760657</v>
      </c>
      <c r="AH78" s="63">
        <v>2009.972261603406</v>
      </c>
    </row>
    <row r="79" spans="3:34" x14ac:dyDescent="0.45">
      <c r="C79" s="63">
        <v>100</v>
      </c>
      <c r="D79" s="63">
        <v>115.2622358404484</v>
      </c>
      <c r="E79" s="63">
        <v>119.98256944155756</v>
      </c>
      <c r="F79" s="63">
        <v>132.00356598796566</v>
      </c>
      <c r="G79" s="63">
        <v>130.83618842943133</v>
      </c>
      <c r="H79" s="63">
        <v>164.1418935123929</v>
      </c>
      <c r="I79" s="63">
        <v>154.20630727863511</v>
      </c>
      <c r="J79" s="63">
        <v>174.66284268998851</v>
      </c>
      <c r="K79" s="63">
        <v>224.17705210964874</v>
      </c>
      <c r="L79" s="63">
        <v>239.24161700198044</v>
      </c>
      <c r="M79" s="63">
        <v>303.04575255526026</v>
      </c>
      <c r="N79" s="63">
        <v>344.09058494911199</v>
      </c>
      <c r="O79" s="63">
        <v>381.44749044917029</v>
      </c>
      <c r="P79" s="63">
        <v>356.94945677764667</v>
      </c>
      <c r="Q79" s="63">
        <v>282.56837749085599</v>
      </c>
      <c r="R79" s="63">
        <v>386.3937932863808</v>
      </c>
      <c r="S79" s="63">
        <v>531.74640036497385</v>
      </c>
      <c r="T79" s="63">
        <v>540.41789402615802</v>
      </c>
      <c r="U79" s="63">
        <v>615.59548346040503</v>
      </c>
      <c r="V79" s="63">
        <v>645.32800452405786</v>
      </c>
      <c r="W79" s="63">
        <v>661.81567432845452</v>
      </c>
      <c r="X79" s="63">
        <v>695.81220988511154</v>
      </c>
      <c r="Y79" s="63">
        <v>762.35180881421002</v>
      </c>
      <c r="Z79" s="63">
        <v>672.58073322184202</v>
      </c>
      <c r="AA79" s="63">
        <v>911.91516747211881</v>
      </c>
      <c r="AB79" s="63">
        <v>1118.480162954862</v>
      </c>
      <c r="AC79" s="63">
        <v>1112.9022762820862</v>
      </c>
      <c r="AD79" s="63">
        <v>1191.4604731788354</v>
      </c>
      <c r="AE79" s="63">
        <v>1556.3909382527602</v>
      </c>
      <c r="AF79" s="63">
        <v>1704.6032199766464</v>
      </c>
      <c r="AG79" s="63">
        <v>1966.7789560389592</v>
      </c>
      <c r="AH79" s="63">
        <v>1974.3585159226268</v>
      </c>
    </row>
    <row r="80" spans="3:34" x14ac:dyDescent="0.45">
      <c r="C80" s="63">
        <v>100</v>
      </c>
      <c r="D80" s="63">
        <v>104.08270052477162</v>
      </c>
      <c r="E80" s="63">
        <v>102.53108439954559</v>
      </c>
      <c r="F80" s="63">
        <v>115.91669678311735</v>
      </c>
      <c r="G80" s="63">
        <v>140.60875376915931</v>
      </c>
      <c r="H80" s="63">
        <v>146.52143084709144</v>
      </c>
      <c r="I80" s="63">
        <v>150.86244455935733</v>
      </c>
      <c r="J80" s="63">
        <v>143.72918679496615</v>
      </c>
      <c r="K80" s="63">
        <v>178.10416063581499</v>
      </c>
      <c r="L80" s="63">
        <v>204.18534716347438</v>
      </c>
      <c r="M80" s="63">
        <v>192.398881452533</v>
      </c>
      <c r="N80" s="63">
        <v>269.68038352259327</v>
      </c>
      <c r="O80" s="63">
        <v>258.20107776062412</v>
      </c>
      <c r="P80" s="63">
        <v>319.12620667479553</v>
      </c>
      <c r="Q80" s="63">
        <v>337.59715324789045</v>
      </c>
      <c r="R80" s="63">
        <v>435.09432016857602</v>
      </c>
      <c r="S80" s="63">
        <v>462.93967441763459</v>
      </c>
      <c r="T80" s="63">
        <v>460.99081415888861</v>
      </c>
      <c r="U80" s="63">
        <v>425.55705339356689</v>
      </c>
      <c r="V80" s="63">
        <v>517.23839858071278</v>
      </c>
      <c r="W80" s="63">
        <v>675.6012323976629</v>
      </c>
      <c r="X80" s="63">
        <v>835.40558144387376</v>
      </c>
      <c r="Y80" s="63">
        <v>756.89781198943137</v>
      </c>
      <c r="Z80" s="63">
        <v>934.49155829853623</v>
      </c>
      <c r="AA80" s="63">
        <v>854.33711745226947</v>
      </c>
      <c r="AB80" s="63">
        <v>1212.2133706695779</v>
      </c>
      <c r="AC80" s="63">
        <v>1209.2911945849401</v>
      </c>
      <c r="AD80" s="63">
        <v>1341.6254602971649</v>
      </c>
      <c r="AE80" s="63">
        <v>1451.9536745070573</v>
      </c>
      <c r="AF80" s="63">
        <v>1605.7857892775714</v>
      </c>
      <c r="AG80" s="63">
        <v>1630.6632988905412</v>
      </c>
      <c r="AH80" s="63">
        <v>1900.1055130454647</v>
      </c>
    </row>
    <row r="81" spans="3:34" x14ac:dyDescent="0.45">
      <c r="C81" s="63">
        <v>100</v>
      </c>
      <c r="D81" s="63">
        <v>119.10309030202934</v>
      </c>
      <c r="E81" s="63">
        <v>122.18692093299479</v>
      </c>
      <c r="F81" s="63">
        <v>140.11334817389485</v>
      </c>
      <c r="G81" s="63">
        <v>172.71797959977755</v>
      </c>
      <c r="H81" s="63">
        <v>173.50105704437723</v>
      </c>
      <c r="I81" s="63">
        <v>169.3946119754039</v>
      </c>
      <c r="J81" s="63">
        <v>214.07263203035376</v>
      </c>
      <c r="K81" s="63">
        <v>245.2408697546951</v>
      </c>
      <c r="L81" s="63">
        <v>249.34274321888807</v>
      </c>
      <c r="M81" s="63">
        <v>282.02031897252772</v>
      </c>
      <c r="N81" s="63">
        <v>292.86286491021275</v>
      </c>
      <c r="O81" s="63">
        <v>295.55908879169147</v>
      </c>
      <c r="P81" s="63">
        <v>360.65068760613877</v>
      </c>
      <c r="Q81" s="63">
        <v>359.01567530019145</v>
      </c>
      <c r="R81" s="63">
        <v>457.9754098617027</v>
      </c>
      <c r="S81" s="63">
        <v>428.9472060797583</v>
      </c>
      <c r="T81" s="63">
        <v>374.07789444979318</v>
      </c>
      <c r="U81" s="63">
        <v>490.2756251319546</v>
      </c>
      <c r="V81" s="63">
        <v>594.11280428169971</v>
      </c>
      <c r="W81" s="63">
        <v>616.52617255547932</v>
      </c>
      <c r="X81" s="63">
        <v>747.86613555117606</v>
      </c>
      <c r="Y81" s="63">
        <v>845.83525536436628</v>
      </c>
      <c r="Z81" s="63">
        <v>733.89337959389354</v>
      </c>
      <c r="AA81" s="63">
        <v>895.44899346081127</v>
      </c>
      <c r="AB81" s="63">
        <v>927.57069371890032</v>
      </c>
      <c r="AC81" s="63">
        <v>1331.1880952912186</v>
      </c>
      <c r="AD81" s="63">
        <v>1450.1669666491978</v>
      </c>
      <c r="AE81" s="63">
        <v>1670.0946869933896</v>
      </c>
      <c r="AF81" s="63">
        <v>1932.5917626495859</v>
      </c>
      <c r="AG81" s="63">
        <v>1613.0201950717205</v>
      </c>
      <c r="AH81" s="63">
        <v>1713.4355730654588</v>
      </c>
    </row>
    <row r="82" spans="3:34" x14ac:dyDescent="0.45">
      <c r="C82" s="63">
        <v>100</v>
      </c>
      <c r="D82" s="63">
        <v>113.25221617746355</v>
      </c>
      <c r="E82" s="63">
        <v>127.607233777278</v>
      </c>
      <c r="F82" s="63">
        <v>121.083090750065</v>
      </c>
      <c r="G82" s="63">
        <v>123.34601524267485</v>
      </c>
      <c r="H82" s="63">
        <v>155.9715254329129</v>
      </c>
      <c r="I82" s="63">
        <v>164.45305148014063</v>
      </c>
      <c r="J82" s="63">
        <v>181.75008580738734</v>
      </c>
      <c r="K82" s="63">
        <v>201.75024586958483</v>
      </c>
      <c r="L82" s="63">
        <v>240.78659275007993</v>
      </c>
      <c r="M82" s="63">
        <v>258.04495381407554</v>
      </c>
      <c r="N82" s="63">
        <v>301.01291204911507</v>
      </c>
      <c r="O82" s="63">
        <v>327.30539077409856</v>
      </c>
      <c r="P82" s="63">
        <v>323.45898334053993</v>
      </c>
      <c r="Q82" s="63">
        <v>332.40697660771207</v>
      </c>
      <c r="R82" s="63">
        <v>316.05832385571068</v>
      </c>
      <c r="S82" s="63">
        <v>392.01424387105101</v>
      </c>
      <c r="T82" s="63">
        <v>411.88670901977099</v>
      </c>
      <c r="U82" s="63">
        <v>499.9473521756176</v>
      </c>
      <c r="V82" s="63">
        <v>610.48874516594481</v>
      </c>
      <c r="W82" s="63">
        <v>740.26080275788127</v>
      </c>
      <c r="X82" s="63">
        <v>773.69189310223987</v>
      </c>
      <c r="Y82" s="63">
        <v>840.88377238449584</v>
      </c>
      <c r="Z82" s="63">
        <v>878.15916630314757</v>
      </c>
      <c r="AA82" s="63">
        <v>1239.0695714903723</v>
      </c>
      <c r="AB82" s="63">
        <v>1226.5312698697892</v>
      </c>
      <c r="AC82" s="63">
        <v>1015.5064932812139</v>
      </c>
      <c r="AD82" s="63">
        <v>1129.7688874495216</v>
      </c>
      <c r="AE82" s="63">
        <v>1421.9159423220315</v>
      </c>
      <c r="AF82" s="63">
        <v>1872.275336413386</v>
      </c>
      <c r="AG82" s="63">
        <v>1920.5550686682989</v>
      </c>
      <c r="AH82" s="63">
        <v>1885.4094530003244</v>
      </c>
    </row>
    <row r="83" spans="3:34" x14ac:dyDescent="0.45">
      <c r="C83" s="63">
        <v>100</v>
      </c>
      <c r="D83" s="63">
        <v>104.65643125401112</v>
      </c>
      <c r="E83" s="63">
        <v>94.858148224871826</v>
      </c>
      <c r="F83" s="63">
        <v>88.214448926030755</v>
      </c>
      <c r="G83" s="63">
        <v>117.89435316172001</v>
      </c>
      <c r="H83" s="63">
        <v>131.74492765243917</v>
      </c>
      <c r="I83" s="63">
        <v>158.59099128576102</v>
      </c>
      <c r="J83" s="63">
        <v>188.2429496236559</v>
      </c>
      <c r="K83" s="63">
        <v>229.79548462682433</v>
      </c>
      <c r="L83" s="63">
        <v>245.22033158015361</v>
      </c>
      <c r="M83" s="63">
        <v>249.57509814663172</v>
      </c>
      <c r="N83" s="63">
        <v>336.36206788835898</v>
      </c>
      <c r="O83" s="63">
        <v>359.15276276908696</v>
      </c>
      <c r="P83" s="63">
        <v>303.24841348516713</v>
      </c>
      <c r="Q83" s="63">
        <v>355.15730276200372</v>
      </c>
      <c r="R83" s="63">
        <v>471.55963626865173</v>
      </c>
      <c r="S83" s="63">
        <v>531.74388167954396</v>
      </c>
      <c r="T83" s="63">
        <v>541.05592817757793</v>
      </c>
      <c r="U83" s="63">
        <v>444.59425292990522</v>
      </c>
      <c r="V83" s="63">
        <v>502.56020017779963</v>
      </c>
      <c r="W83" s="63">
        <v>504.67447520823885</v>
      </c>
      <c r="X83" s="63">
        <v>601.71366851793402</v>
      </c>
      <c r="Y83" s="63">
        <v>640.53421120804069</v>
      </c>
      <c r="Z83" s="63">
        <v>779.40734543396673</v>
      </c>
      <c r="AA83" s="63">
        <v>845.9711424138095</v>
      </c>
      <c r="AB83" s="63">
        <v>982.56902953547979</v>
      </c>
      <c r="AC83" s="63">
        <v>1235.9532681327378</v>
      </c>
      <c r="AD83" s="63">
        <v>1440.2959836659707</v>
      </c>
      <c r="AE83" s="63">
        <v>1793.3925854936037</v>
      </c>
      <c r="AF83" s="63">
        <v>1837.597561500751</v>
      </c>
      <c r="AG83" s="63">
        <v>1406.4029153329841</v>
      </c>
      <c r="AH83" s="63">
        <v>1576.0928008235005</v>
      </c>
    </row>
    <row r="84" spans="3:34" x14ac:dyDescent="0.45">
      <c r="C84" s="63">
        <v>100</v>
      </c>
      <c r="D84" s="63">
        <v>95.094479404848315</v>
      </c>
      <c r="E84" s="63">
        <v>94.947430256326356</v>
      </c>
      <c r="F84" s="63">
        <v>122.96623033275158</v>
      </c>
      <c r="G84" s="63">
        <v>120.41137569114733</v>
      </c>
      <c r="H84" s="63">
        <v>150.73299401405833</v>
      </c>
      <c r="I84" s="63">
        <v>149.75257023620657</v>
      </c>
      <c r="J84" s="63">
        <v>206.40775990087269</v>
      </c>
      <c r="K84" s="63">
        <v>200.86011558128098</v>
      </c>
      <c r="L84" s="63">
        <v>214.7775872607653</v>
      </c>
      <c r="M84" s="63">
        <v>255.80716836019502</v>
      </c>
      <c r="N84" s="63">
        <v>263.27146448305643</v>
      </c>
      <c r="O84" s="63">
        <v>301.77632360768956</v>
      </c>
      <c r="P84" s="63">
        <v>397.28320949940837</v>
      </c>
      <c r="Q84" s="63">
        <v>352.10876453365455</v>
      </c>
      <c r="R84" s="63">
        <v>361.87631091008319</v>
      </c>
      <c r="S84" s="63">
        <v>502.01208060801071</v>
      </c>
      <c r="T84" s="63">
        <v>580.22874785433578</v>
      </c>
      <c r="U84" s="63">
        <v>506.96823601472011</v>
      </c>
      <c r="V84" s="63">
        <v>644.43504975074597</v>
      </c>
      <c r="W84" s="63">
        <v>680.3908787178666</v>
      </c>
      <c r="X84" s="63">
        <v>834.68045263507872</v>
      </c>
      <c r="Y84" s="63">
        <v>974.97531203309472</v>
      </c>
      <c r="Z84" s="63">
        <v>957.58762344342415</v>
      </c>
      <c r="AA84" s="63">
        <v>1045.3974638680381</v>
      </c>
      <c r="AB84" s="63">
        <v>1257.8263292906011</v>
      </c>
      <c r="AC84" s="63">
        <v>1275.8068774238427</v>
      </c>
      <c r="AD84" s="63">
        <v>1451.8175111038663</v>
      </c>
      <c r="AE84" s="63">
        <v>1437.8090782792647</v>
      </c>
      <c r="AF84" s="63">
        <v>1377.6338641076165</v>
      </c>
      <c r="AG84" s="63">
        <v>1587.3535140670756</v>
      </c>
      <c r="AH84" s="63">
        <v>1873.5101524847059</v>
      </c>
    </row>
    <row r="85" spans="3:34" x14ac:dyDescent="0.45">
      <c r="C85" s="63">
        <v>100</v>
      </c>
      <c r="D85" s="63">
        <v>128.68008286709355</v>
      </c>
      <c r="E85" s="63">
        <v>104.66510881020599</v>
      </c>
      <c r="F85" s="63">
        <v>129.90039037309413</v>
      </c>
      <c r="G85" s="63">
        <v>124.96462967408345</v>
      </c>
      <c r="H85" s="63">
        <v>145.7096516342944</v>
      </c>
      <c r="I85" s="63">
        <v>169.69293034975414</v>
      </c>
      <c r="J85" s="63">
        <v>194.79101031386602</v>
      </c>
      <c r="K85" s="63">
        <v>238.31162572193114</v>
      </c>
      <c r="L85" s="63">
        <v>189.24594009168328</v>
      </c>
      <c r="M85" s="63">
        <v>209.04702295230521</v>
      </c>
      <c r="N85" s="63">
        <v>296.83825305069581</v>
      </c>
      <c r="O85" s="63">
        <v>283.02881663057633</v>
      </c>
      <c r="P85" s="63">
        <v>336.95893004791407</v>
      </c>
      <c r="Q85" s="63">
        <v>343.5529912494668</v>
      </c>
      <c r="R85" s="63">
        <v>388.61695531032399</v>
      </c>
      <c r="S85" s="63">
        <v>380.19251073448402</v>
      </c>
      <c r="T85" s="63">
        <v>503.67016852995192</v>
      </c>
      <c r="U85" s="63">
        <v>506.53260195533585</v>
      </c>
      <c r="V85" s="63">
        <v>650.8881388013516</v>
      </c>
      <c r="W85" s="63">
        <v>751.48348911834069</v>
      </c>
      <c r="X85" s="63">
        <v>704.76782829096169</v>
      </c>
      <c r="Y85" s="63">
        <v>781.73097065055072</v>
      </c>
      <c r="Z85" s="63">
        <v>806.7729300300914</v>
      </c>
      <c r="AA85" s="63">
        <v>1056.305690237961</v>
      </c>
      <c r="AB85" s="63">
        <v>1162.3244236966707</v>
      </c>
      <c r="AC85" s="63">
        <v>1240.2588530483563</v>
      </c>
      <c r="AD85" s="63">
        <v>1166.2400581640827</v>
      </c>
      <c r="AE85" s="63">
        <v>1221.3744702225995</v>
      </c>
      <c r="AF85" s="63">
        <v>1562.6614322811367</v>
      </c>
      <c r="AG85" s="63">
        <v>1697.9124070146895</v>
      </c>
      <c r="AH85" s="63">
        <v>1652.261489819696</v>
      </c>
    </row>
    <row r="86" spans="3:34" x14ac:dyDescent="0.45">
      <c r="C86" s="63">
        <v>100</v>
      </c>
      <c r="D86" s="63">
        <v>129.8060534963727</v>
      </c>
      <c r="E86" s="63">
        <v>142.46402589552886</v>
      </c>
      <c r="F86" s="63">
        <v>156.00075992276595</v>
      </c>
      <c r="G86" s="63">
        <v>155.76456258507511</v>
      </c>
      <c r="H86" s="63">
        <v>182.32671344233125</v>
      </c>
      <c r="I86" s="63">
        <v>160.47152412770885</v>
      </c>
      <c r="J86" s="63">
        <v>164.24388069842837</v>
      </c>
      <c r="K86" s="63">
        <v>232.40790353912399</v>
      </c>
      <c r="L86" s="63">
        <v>228.95776265803903</v>
      </c>
      <c r="M86" s="63">
        <v>265.63823037791053</v>
      </c>
      <c r="N86" s="63">
        <v>279.92361493942531</v>
      </c>
      <c r="O86" s="63">
        <v>353.07608442168726</v>
      </c>
      <c r="P86" s="63">
        <v>336.95673991157673</v>
      </c>
      <c r="Q86" s="63">
        <v>347.83491758946752</v>
      </c>
      <c r="R86" s="63">
        <v>485.81822383002009</v>
      </c>
      <c r="S86" s="63">
        <v>584.23567988676666</v>
      </c>
      <c r="T86" s="63">
        <v>565.68108907524197</v>
      </c>
      <c r="U86" s="63">
        <v>643.82848775278376</v>
      </c>
      <c r="V86" s="63">
        <v>663.28188725676193</v>
      </c>
      <c r="W86" s="63">
        <v>776.32708917779632</v>
      </c>
      <c r="X86" s="63">
        <v>812.07179172750716</v>
      </c>
      <c r="Y86" s="63">
        <v>920.22371382719052</v>
      </c>
      <c r="Z86" s="63">
        <v>1015.6851080185613</v>
      </c>
      <c r="AA86" s="63">
        <v>1104.2071938142844</v>
      </c>
      <c r="AB86" s="63">
        <v>1118.7440509673711</v>
      </c>
      <c r="AC86" s="63">
        <v>1307.4165058941333</v>
      </c>
      <c r="AD86" s="63">
        <v>1329.2403120508086</v>
      </c>
      <c r="AE86" s="63">
        <v>1363.1067864930806</v>
      </c>
      <c r="AF86" s="63">
        <v>1402.1391165108107</v>
      </c>
      <c r="AG86" s="63">
        <v>1357.0709070215266</v>
      </c>
      <c r="AH86" s="63">
        <v>1549.8647825976213</v>
      </c>
    </row>
    <row r="87" spans="3:34" x14ac:dyDescent="0.45">
      <c r="C87" s="63">
        <v>100</v>
      </c>
      <c r="D87" s="63">
        <v>103.24503030375539</v>
      </c>
      <c r="E87" s="63">
        <v>107.94464677595735</v>
      </c>
      <c r="F87" s="63">
        <v>147.50608667150149</v>
      </c>
      <c r="G87" s="63">
        <v>110.04406123248718</v>
      </c>
      <c r="H87" s="63">
        <v>134.98308447824436</v>
      </c>
      <c r="I87" s="63">
        <v>192.20136860144709</v>
      </c>
      <c r="J87" s="63">
        <v>232.72203052414733</v>
      </c>
      <c r="K87" s="63">
        <v>209.4201053435512</v>
      </c>
      <c r="L87" s="63">
        <v>249.11820735898931</v>
      </c>
      <c r="M87" s="63">
        <v>304.73365214988104</v>
      </c>
      <c r="N87" s="63">
        <v>294.07078584483457</v>
      </c>
      <c r="O87" s="63">
        <v>312.18321967551492</v>
      </c>
      <c r="P87" s="63">
        <v>303.56523816040465</v>
      </c>
      <c r="Q87" s="63">
        <v>359.76278127955362</v>
      </c>
      <c r="R87" s="63">
        <v>421.19724691187196</v>
      </c>
      <c r="S87" s="63">
        <v>522.95067230647874</v>
      </c>
      <c r="T87" s="63">
        <v>572.51117172103</v>
      </c>
      <c r="U87" s="63">
        <v>639.43332007000663</v>
      </c>
      <c r="V87" s="63">
        <v>728.32466906719776</v>
      </c>
      <c r="W87" s="63">
        <v>910.58576510589205</v>
      </c>
      <c r="X87" s="63">
        <v>941.94829330148161</v>
      </c>
      <c r="Y87" s="63">
        <v>794.76186212127016</v>
      </c>
      <c r="Z87" s="63">
        <v>1029.6441999824369</v>
      </c>
      <c r="AA87" s="63">
        <v>1096.8459170443996</v>
      </c>
      <c r="AB87" s="63">
        <v>1249.259120892687</v>
      </c>
      <c r="AC87" s="63">
        <v>1175.5920744860994</v>
      </c>
      <c r="AD87" s="63">
        <v>1401.6663641984333</v>
      </c>
      <c r="AE87" s="63">
        <v>1793.4936981396027</v>
      </c>
      <c r="AF87" s="63">
        <v>2059.2151956272492</v>
      </c>
      <c r="AG87" s="63">
        <v>2143.6467725343555</v>
      </c>
      <c r="AH87" s="63">
        <v>2242.1592598536886</v>
      </c>
    </row>
    <row r="88" spans="3:34" x14ac:dyDescent="0.45">
      <c r="C88" s="63">
        <v>100</v>
      </c>
      <c r="D88" s="63">
        <v>113.64289756487251</v>
      </c>
      <c r="E88" s="63">
        <v>131.27481445858035</v>
      </c>
      <c r="F88" s="63">
        <v>131.55217118472018</v>
      </c>
      <c r="G88" s="63">
        <v>141.73494297228342</v>
      </c>
      <c r="H88" s="63">
        <v>177.72459570690822</v>
      </c>
      <c r="I88" s="63">
        <v>140.03070641640551</v>
      </c>
      <c r="J88" s="63">
        <v>189.44240117546798</v>
      </c>
      <c r="K88" s="63">
        <v>218.44167944331036</v>
      </c>
      <c r="L88" s="63">
        <v>244.58381961794703</v>
      </c>
      <c r="M88" s="63">
        <v>248.05889756131771</v>
      </c>
      <c r="N88" s="63">
        <v>324.48447934249458</v>
      </c>
      <c r="O88" s="63">
        <v>300.42028889968094</v>
      </c>
      <c r="P88" s="63">
        <v>352.69077378376215</v>
      </c>
      <c r="Q88" s="63">
        <v>386.30971132078491</v>
      </c>
      <c r="R88" s="63">
        <v>365.82696423741334</v>
      </c>
      <c r="S88" s="63">
        <v>456.95739786267848</v>
      </c>
      <c r="T88" s="63">
        <v>468.24894364551523</v>
      </c>
      <c r="U88" s="63">
        <v>545.52111408556721</v>
      </c>
      <c r="V88" s="63">
        <v>531.4933471899011</v>
      </c>
      <c r="W88" s="63">
        <v>665.58285664818027</v>
      </c>
      <c r="X88" s="63">
        <v>812.18010968939143</v>
      </c>
      <c r="Y88" s="63">
        <v>730.59999257407458</v>
      </c>
      <c r="Z88" s="63">
        <v>749.4573949238312</v>
      </c>
      <c r="AA88" s="63">
        <v>866.09209519101023</v>
      </c>
      <c r="AB88" s="63">
        <v>1005.0855521666392</v>
      </c>
      <c r="AC88" s="63">
        <v>1061.9721915620712</v>
      </c>
      <c r="AD88" s="63">
        <v>1383.3208173461462</v>
      </c>
      <c r="AE88" s="63">
        <v>1395.957296770619</v>
      </c>
      <c r="AF88" s="63">
        <v>1746.5768226475582</v>
      </c>
      <c r="AG88" s="63">
        <v>1653.1464263747539</v>
      </c>
      <c r="AH88" s="63">
        <v>1776.5126804223785</v>
      </c>
    </row>
    <row r="89" spans="3:34" x14ac:dyDescent="0.45">
      <c r="C89" s="63">
        <v>100</v>
      </c>
      <c r="D89" s="63">
        <v>141.24681670036679</v>
      </c>
      <c r="E89" s="63">
        <v>142.86828247002936</v>
      </c>
      <c r="F89" s="63">
        <v>138.20046583314024</v>
      </c>
      <c r="G89" s="63">
        <v>114.47270669735236</v>
      </c>
      <c r="H89" s="63">
        <v>138.52150195853906</v>
      </c>
      <c r="I89" s="63">
        <v>149.84320835830692</v>
      </c>
      <c r="J89" s="63">
        <v>169.97308190189477</v>
      </c>
      <c r="K89" s="63">
        <v>207.1534377117635</v>
      </c>
      <c r="L89" s="63">
        <v>239.59848864068266</v>
      </c>
      <c r="M89" s="63">
        <v>252.28221451407333</v>
      </c>
      <c r="N89" s="63">
        <v>282.33477356557478</v>
      </c>
      <c r="O89" s="63">
        <v>333.9821361431691</v>
      </c>
      <c r="P89" s="63">
        <v>428.77397152109103</v>
      </c>
      <c r="Q89" s="63">
        <v>379.74477058989009</v>
      </c>
      <c r="R89" s="63">
        <v>383.35411221049617</v>
      </c>
      <c r="S89" s="63">
        <v>388.67937357016024</v>
      </c>
      <c r="T89" s="63">
        <v>425.19619617384518</v>
      </c>
      <c r="U89" s="63">
        <v>381.22740128497429</v>
      </c>
      <c r="V89" s="63">
        <v>410.56322377026618</v>
      </c>
      <c r="W89" s="63">
        <v>579.24565406730005</v>
      </c>
      <c r="X89" s="63">
        <v>706.9123517615858</v>
      </c>
      <c r="Y89" s="63">
        <v>636.84668350084144</v>
      </c>
      <c r="Z89" s="63">
        <v>964.53884055003107</v>
      </c>
      <c r="AA89" s="63">
        <v>1089.2117182053848</v>
      </c>
      <c r="AB89" s="63">
        <v>1059.3753227714269</v>
      </c>
      <c r="AC89" s="63">
        <v>1198.2476967429807</v>
      </c>
      <c r="AD89" s="63">
        <v>1349.8879752872808</v>
      </c>
      <c r="AE89" s="63">
        <v>1609.3436277811243</v>
      </c>
      <c r="AF89" s="63">
        <v>1377.7377056423541</v>
      </c>
      <c r="AG89" s="63">
        <v>1431.2371500282779</v>
      </c>
      <c r="AH89" s="63">
        <v>1610.2939137979567</v>
      </c>
    </row>
    <row r="90" spans="3:34" x14ac:dyDescent="0.45">
      <c r="C90" s="63">
        <v>100</v>
      </c>
      <c r="D90" s="63">
        <v>103.84958297672455</v>
      </c>
      <c r="E90" s="63">
        <v>118.98291827812986</v>
      </c>
      <c r="F90" s="63">
        <v>130.5574401544994</v>
      </c>
      <c r="G90" s="63">
        <v>177.74590631853459</v>
      </c>
      <c r="H90" s="63">
        <v>218.83901366084388</v>
      </c>
      <c r="I90" s="63">
        <v>166.81821528752837</v>
      </c>
      <c r="J90" s="63">
        <v>187.40710808090617</v>
      </c>
      <c r="K90" s="63">
        <v>173.78858023671432</v>
      </c>
      <c r="L90" s="63">
        <v>221.55493897076968</v>
      </c>
      <c r="M90" s="63">
        <v>243.04099212878251</v>
      </c>
      <c r="N90" s="63">
        <v>278.52078913308105</v>
      </c>
      <c r="O90" s="63">
        <v>253.96627617646948</v>
      </c>
      <c r="P90" s="63">
        <v>333.77545663633583</v>
      </c>
      <c r="Q90" s="63">
        <v>282.0551137018349</v>
      </c>
      <c r="R90" s="63">
        <v>389.21506650582967</v>
      </c>
      <c r="S90" s="63">
        <v>451.64131474823137</v>
      </c>
      <c r="T90" s="63">
        <v>444.91773215125033</v>
      </c>
      <c r="U90" s="63">
        <v>488.44782940007701</v>
      </c>
      <c r="V90" s="63">
        <v>529.08515730875251</v>
      </c>
      <c r="W90" s="63">
        <v>581.55439098951456</v>
      </c>
      <c r="X90" s="63">
        <v>622.21248184483829</v>
      </c>
      <c r="Y90" s="63">
        <v>733.07468418840426</v>
      </c>
      <c r="Z90" s="63">
        <v>828.34409326652042</v>
      </c>
      <c r="AA90" s="63">
        <v>1016.2312527581887</v>
      </c>
      <c r="AB90" s="63">
        <v>1164.6833333326406</v>
      </c>
      <c r="AC90" s="63">
        <v>1160.4465862035663</v>
      </c>
      <c r="AD90" s="63">
        <v>1070.7754083047962</v>
      </c>
      <c r="AE90" s="63">
        <v>1317.1593633017983</v>
      </c>
      <c r="AF90" s="63">
        <v>1468.7870892896374</v>
      </c>
      <c r="AG90" s="63">
        <v>1663.3528199438447</v>
      </c>
      <c r="AH90" s="63">
        <v>2264.2694758732869</v>
      </c>
    </row>
    <row r="91" spans="3:34" x14ac:dyDescent="0.45">
      <c r="C91" s="63">
        <v>100</v>
      </c>
      <c r="D91" s="63">
        <v>116.1723458484756</v>
      </c>
      <c r="E91" s="63">
        <v>129.67776475498874</v>
      </c>
      <c r="F91" s="63">
        <v>139.10491343635721</v>
      </c>
      <c r="G91" s="63">
        <v>135.48948227445567</v>
      </c>
      <c r="H91" s="63">
        <v>155.92137838028145</v>
      </c>
      <c r="I91" s="63">
        <v>168.00952107909131</v>
      </c>
      <c r="J91" s="63">
        <v>169.33035833389772</v>
      </c>
      <c r="K91" s="63">
        <v>227.46834288416909</v>
      </c>
      <c r="L91" s="63">
        <v>240.44439671171398</v>
      </c>
      <c r="M91" s="63">
        <v>257.45117903210678</v>
      </c>
      <c r="N91" s="63">
        <v>295.5409924401298</v>
      </c>
      <c r="O91" s="63">
        <v>380.09476918313885</v>
      </c>
      <c r="P91" s="63">
        <v>387.54736684608514</v>
      </c>
      <c r="Q91" s="63">
        <v>447.44885278567313</v>
      </c>
      <c r="R91" s="63">
        <v>473.22487908320556</v>
      </c>
      <c r="S91" s="63">
        <v>483.47809127891958</v>
      </c>
      <c r="T91" s="63">
        <v>497.78505314356028</v>
      </c>
      <c r="U91" s="63">
        <v>433.01262323355672</v>
      </c>
      <c r="V91" s="63">
        <v>490.23808212905448</v>
      </c>
      <c r="W91" s="63">
        <v>503.141117466065</v>
      </c>
      <c r="X91" s="63">
        <v>583.7788052081396</v>
      </c>
      <c r="Y91" s="63">
        <v>761.61628475212342</v>
      </c>
      <c r="Z91" s="63">
        <v>801.01584129455057</v>
      </c>
      <c r="AA91" s="63">
        <v>807.21241365028277</v>
      </c>
      <c r="AB91" s="63">
        <v>759.85633651509715</v>
      </c>
      <c r="AC91" s="63">
        <v>930.05826958420823</v>
      </c>
      <c r="AD91" s="63">
        <v>1151.0008130903868</v>
      </c>
      <c r="AE91" s="63">
        <v>1522.8565821734082</v>
      </c>
      <c r="AF91" s="63">
        <v>1789.8734090544444</v>
      </c>
      <c r="AG91" s="63">
        <v>1485.132718102263</v>
      </c>
      <c r="AH91" s="63">
        <v>1999.2065007024478</v>
      </c>
    </row>
    <row r="92" spans="3:34" x14ac:dyDescent="0.45">
      <c r="C92" s="63">
        <v>100</v>
      </c>
      <c r="D92" s="63">
        <v>105.20403620848944</v>
      </c>
      <c r="E92" s="63">
        <v>124.83040080364455</v>
      </c>
      <c r="F92" s="63">
        <v>108.12015531517949</v>
      </c>
      <c r="G92" s="63">
        <v>147.56942411194115</v>
      </c>
      <c r="H92" s="63">
        <v>160.66560466501807</v>
      </c>
      <c r="I92" s="63">
        <v>169.95466570675177</v>
      </c>
      <c r="J92" s="63">
        <v>186.94168242468783</v>
      </c>
      <c r="K92" s="63">
        <v>203.16953155630614</v>
      </c>
      <c r="L92" s="63">
        <v>266.88037436147386</v>
      </c>
      <c r="M92" s="63">
        <v>218.36226458792859</v>
      </c>
      <c r="N92" s="63">
        <v>250.50565279647486</v>
      </c>
      <c r="O92" s="63">
        <v>289.65075573399088</v>
      </c>
      <c r="P92" s="63">
        <v>255.61319706877802</v>
      </c>
      <c r="Q92" s="63">
        <v>340.63263053721897</v>
      </c>
      <c r="R92" s="63">
        <v>322.44562184766949</v>
      </c>
      <c r="S92" s="63">
        <v>440.30904765153377</v>
      </c>
      <c r="T92" s="63">
        <v>521.32442512903083</v>
      </c>
      <c r="U92" s="63">
        <v>557.67445124489302</v>
      </c>
      <c r="V92" s="63">
        <v>625.65161086481703</v>
      </c>
      <c r="W92" s="63">
        <v>698.03104509738409</v>
      </c>
      <c r="X92" s="63">
        <v>722.2974447104923</v>
      </c>
      <c r="Y92" s="63">
        <v>597.06524548252696</v>
      </c>
      <c r="Z92" s="63">
        <v>837.27760668772714</v>
      </c>
      <c r="AA92" s="63">
        <v>1047.5464756311831</v>
      </c>
      <c r="AB92" s="63">
        <v>1068.9839719954289</v>
      </c>
      <c r="AC92" s="63">
        <v>1024.2765218526351</v>
      </c>
      <c r="AD92" s="63">
        <v>1373.7545507222749</v>
      </c>
      <c r="AE92" s="63">
        <v>1383.771969403394</v>
      </c>
      <c r="AF92" s="63">
        <v>1207.3448305121622</v>
      </c>
      <c r="AG92" s="63">
        <v>1511.2667736256449</v>
      </c>
      <c r="AH92" s="63">
        <v>1599.1735025445244</v>
      </c>
    </row>
    <row r="93" spans="3:34" x14ac:dyDescent="0.45">
      <c r="C93" s="63">
        <v>100</v>
      </c>
      <c r="D93" s="63">
        <v>107.55567693487006</v>
      </c>
      <c r="E93" s="63">
        <v>116.10194160108293</v>
      </c>
      <c r="F93" s="63">
        <v>123.26739697294026</v>
      </c>
      <c r="G93" s="63">
        <v>131.74317743079368</v>
      </c>
      <c r="H93" s="63">
        <v>179.01983049725567</v>
      </c>
      <c r="I93" s="63">
        <v>195.04314368769741</v>
      </c>
      <c r="J93" s="63">
        <v>208.53013821032982</v>
      </c>
      <c r="K93" s="63">
        <v>200.59438762953994</v>
      </c>
      <c r="L93" s="63">
        <v>204.04556655000056</v>
      </c>
      <c r="M93" s="63">
        <v>234.17295948277891</v>
      </c>
      <c r="N93" s="63">
        <v>331.51822046227505</v>
      </c>
      <c r="O93" s="63">
        <v>336.99058293270957</v>
      </c>
      <c r="P93" s="63">
        <v>294.61229285305234</v>
      </c>
      <c r="Q93" s="63">
        <v>374.35357802661792</v>
      </c>
      <c r="R93" s="63">
        <v>369.38334521793354</v>
      </c>
      <c r="S93" s="63">
        <v>446.62065795256262</v>
      </c>
      <c r="T93" s="63">
        <v>478.54289861059311</v>
      </c>
      <c r="U93" s="63">
        <v>609.81579637677066</v>
      </c>
      <c r="V93" s="63">
        <v>610.03793225035815</v>
      </c>
      <c r="W93" s="63">
        <v>630.83683228919949</v>
      </c>
      <c r="X93" s="63">
        <v>790.6505251705006</v>
      </c>
      <c r="Y93" s="63">
        <v>755.05252399986648</v>
      </c>
      <c r="Z93" s="63">
        <v>808.17113987845073</v>
      </c>
      <c r="AA93" s="63">
        <v>1012.181746957121</v>
      </c>
      <c r="AB93" s="63">
        <v>1202.8050670846142</v>
      </c>
      <c r="AC93" s="63">
        <v>1593.4261738093835</v>
      </c>
      <c r="AD93" s="63">
        <v>1724.220925546615</v>
      </c>
      <c r="AE93" s="63">
        <v>1585.2950900094477</v>
      </c>
      <c r="AF93" s="63">
        <v>1559.1938025265713</v>
      </c>
      <c r="AG93" s="63">
        <v>1484.8357921414167</v>
      </c>
      <c r="AH93" s="63">
        <v>1600.3004546999896</v>
      </c>
    </row>
    <row r="94" spans="3:34" x14ac:dyDescent="0.45">
      <c r="C94" s="63">
        <v>100</v>
      </c>
      <c r="D94" s="63">
        <v>73.585302486570683</v>
      </c>
      <c r="E94" s="63">
        <v>85.716736411255056</v>
      </c>
      <c r="F94" s="63">
        <v>118.6117323403315</v>
      </c>
      <c r="G94" s="63">
        <v>148.76812084318578</v>
      </c>
      <c r="H94" s="63">
        <v>157.52134077543931</v>
      </c>
      <c r="I94" s="63">
        <v>159.30630084444783</v>
      </c>
      <c r="J94" s="63">
        <v>201.40345207151188</v>
      </c>
      <c r="K94" s="63">
        <v>226.37570535191253</v>
      </c>
      <c r="L94" s="63">
        <v>274.05421088917302</v>
      </c>
      <c r="M94" s="63">
        <v>288.28318691004841</v>
      </c>
      <c r="N94" s="63">
        <v>287.49051607547818</v>
      </c>
      <c r="O94" s="63">
        <v>345.28439702046978</v>
      </c>
      <c r="P94" s="63">
        <v>347.47819923747329</v>
      </c>
      <c r="Q94" s="63">
        <v>332.64867518816061</v>
      </c>
      <c r="R94" s="63">
        <v>467.81645088315679</v>
      </c>
      <c r="S94" s="63">
        <v>545.47610944981568</v>
      </c>
      <c r="T94" s="63">
        <v>666.14604722615968</v>
      </c>
      <c r="U94" s="63">
        <v>567.11342216116907</v>
      </c>
      <c r="V94" s="63">
        <v>553.85545084880778</v>
      </c>
      <c r="W94" s="63">
        <v>685.55574650410153</v>
      </c>
      <c r="X94" s="63">
        <v>862.82645475726792</v>
      </c>
      <c r="Y94" s="63">
        <v>915.84170912039394</v>
      </c>
      <c r="Z94" s="63">
        <v>1071.6794029488333</v>
      </c>
      <c r="AA94" s="63">
        <v>1082.9427137120117</v>
      </c>
      <c r="AB94" s="63">
        <v>1046.208979078993</v>
      </c>
      <c r="AC94" s="63">
        <v>1187.6529566638687</v>
      </c>
      <c r="AD94" s="63">
        <v>1381.4806978110669</v>
      </c>
      <c r="AE94" s="63">
        <v>1646.7931847797879</v>
      </c>
      <c r="AF94" s="63">
        <v>1453.4626520427091</v>
      </c>
      <c r="AG94" s="63">
        <v>1642.0057408629718</v>
      </c>
      <c r="AH94" s="63">
        <v>1846.1647540322238</v>
      </c>
    </row>
    <row r="95" spans="3:34" x14ac:dyDescent="0.45">
      <c r="C95" s="63">
        <v>100</v>
      </c>
      <c r="D95" s="63">
        <v>127.61843649013787</v>
      </c>
      <c r="E95" s="63">
        <v>89.909977748665511</v>
      </c>
      <c r="F95" s="63">
        <v>122.21879226449579</v>
      </c>
      <c r="G95" s="63">
        <v>135.40250748902366</v>
      </c>
      <c r="H95" s="63">
        <v>136.13049509544047</v>
      </c>
      <c r="I95" s="63">
        <v>139.75458161733042</v>
      </c>
      <c r="J95" s="63">
        <v>194.25604316071548</v>
      </c>
      <c r="K95" s="63">
        <v>238.05339002835018</v>
      </c>
      <c r="L95" s="63">
        <v>332.36585994277021</v>
      </c>
      <c r="M95" s="63">
        <v>334.19418245911936</v>
      </c>
      <c r="N95" s="63">
        <v>347.44908239084259</v>
      </c>
      <c r="O95" s="63">
        <v>277.26836892311258</v>
      </c>
      <c r="P95" s="63">
        <v>304.78684406004118</v>
      </c>
      <c r="Q95" s="63">
        <v>351.54890913719589</v>
      </c>
      <c r="R95" s="63">
        <v>406.69566806862622</v>
      </c>
      <c r="S95" s="63">
        <v>382.20632248492916</v>
      </c>
      <c r="T95" s="63">
        <v>464.95543589684843</v>
      </c>
      <c r="U95" s="63">
        <v>556.97461482900871</v>
      </c>
      <c r="V95" s="63">
        <v>595.71946847607592</v>
      </c>
      <c r="W95" s="63">
        <v>666.77497852442184</v>
      </c>
      <c r="X95" s="63">
        <v>824.10275320555138</v>
      </c>
      <c r="Y95" s="63">
        <v>853.47369519042036</v>
      </c>
      <c r="Z95" s="63">
        <v>1018.0880007322446</v>
      </c>
      <c r="AA95" s="63">
        <v>1113.5856114920762</v>
      </c>
      <c r="AB95" s="63">
        <v>1224.0917337360775</v>
      </c>
      <c r="AC95" s="63">
        <v>1510.6746108355251</v>
      </c>
      <c r="AD95" s="63">
        <v>1786.0692289559374</v>
      </c>
      <c r="AE95" s="63">
        <v>1860.7425093455101</v>
      </c>
      <c r="AF95" s="63">
        <v>2009.2341109039244</v>
      </c>
      <c r="AG95" s="63">
        <v>1833.4770905703313</v>
      </c>
      <c r="AH95" s="63">
        <v>2148.2799931610862</v>
      </c>
    </row>
    <row r="96" spans="3:34" x14ac:dyDescent="0.45">
      <c r="C96" s="63">
        <v>100</v>
      </c>
      <c r="D96" s="63">
        <v>111.62072515898103</v>
      </c>
      <c r="E96" s="63">
        <v>79.842884196839066</v>
      </c>
      <c r="F96" s="63">
        <v>106.11923222795723</v>
      </c>
      <c r="G96" s="63">
        <v>131.36279331826378</v>
      </c>
      <c r="H96" s="63">
        <v>159.004587471555</v>
      </c>
      <c r="I96" s="63">
        <v>179.42631563150584</v>
      </c>
      <c r="J96" s="63">
        <v>190.44965101357926</v>
      </c>
      <c r="K96" s="63">
        <v>193.37960234018055</v>
      </c>
      <c r="L96" s="63">
        <v>220.41617382263581</v>
      </c>
      <c r="M96" s="63">
        <v>226.55356700912864</v>
      </c>
      <c r="N96" s="63">
        <v>247.08624622219742</v>
      </c>
      <c r="O96" s="63">
        <v>294.11264020199087</v>
      </c>
      <c r="P96" s="63">
        <v>306.87843312498813</v>
      </c>
      <c r="Q96" s="63">
        <v>325.36470289186548</v>
      </c>
      <c r="R96" s="63">
        <v>385.64583291043618</v>
      </c>
      <c r="S96" s="63">
        <v>478.96967473666177</v>
      </c>
      <c r="T96" s="63">
        <v>537.13660929599314</v>
      </c>
      <c r="U96" s="63">
        <v>535.17785528339539</v>
      </c>
      <c r="V96" s="63">
        <v>539.68537494799784</v>
      </c>
      <c r="W96" s="63">
        <v>659.19980005181515</v>
      </c>
      <c r="X96" s="63">
        <v>891.51781434055022</v>
      </c>
      <c r="Y96" s="63">
        <v>870.56747350487865</v>
      </c>
      <c r="Z96" s="63">
        <v>939.61359935857104</v>
      </c>
      <c r="AA96" s="63">
        <v>1138.4654449767131</v>
      </c>
      <c r="AB96" s="63">
        <v>1400.8500900076492</v>
      </c>
      <c r="AC96" s="63">
        <v>1275.1593724320617</v>
      </c>
      <c r="AD96" s="63">
        <v>1257.6713353554114</v>
      </c>
      <c r="AE96" s="63">
        <v>1351.4284328739323</v>
      </c>
      <c r="AF96" s="63">
        <v>1330.3484824679624</v>
      </c>
      <c r="AG96" s="63">
        <v>1337.8374223848464</v>
      </c>
      <c r="AH96" s="63">
        <v>1969.7604745571491</v>
      </c>
    </row>
    <row r="97" spans="3:34" x14ac:dyDescent="0.45">
      <c r="C97" s="63">
        <v>100</v>
      </c>
      <c r="D97" s="63">
        <v>99.080922505874668</v>
      </c>
      <c r="E97" s="63">
        <v>122.29790807856395</v>
      </c>
      <c r="F97" s="63">
        <v>101.39765474044114</v>
      </c>
      <c r="G97" s="63">
        <v>102.52414502987524</v>
      </c>
      <c r="H97" s="63">
        <v>123.14050348935552</v>
      </c>
      <c r="I97" s="63">
        <v>140.30922711827088</v>
      </c>
      <c r="J97" s="63">
        <v>204.21878662722889</v>
      </c>
      <c r="K97" s="63">
        <v>194.81345357494797</v>
      </c>
      <c r="L97" s="63">
        <v>190.87386694063662</v>
      </c>
      <c r="M97" s="63">
        <v>243.43069651392531</v>
      </c>
      <c r="N97" s="63">
        <v>253.25044802201478</v>
      </c>
      <c r="O97" s="63">
        <v>245.50095727929045</v>
      </c>
      <c r="P97" s="63">
        <v>238.50050265050069</v>
      </c>
      <c r="Q97" s="63">
        <v>372.55457688810139</v>
      </c>
      <c r="R97" s="63">
        <v>354.84795233348387</v>
      </c>
      <c r="S97" s="63">
        <v>398.80112268208211</v>
      </c>
      <c r="T97" s="63">
        <v>430.96722633245429</v>
      </c>
      <c r="U97" s="63">
        <v>497.60918944493551</v>
      </c>
      <c r="V97" s="63">
        <v>540.99287287500465</v>
      </c>
      <c r="W97" s="63">
        <v>601.6542653575134</v>
      </c>
      <c r="X97" s="63">
        <v>690.35991465055088</v>
      </c>
      <c r="Y97" s="63">
        <v>830.52446928217512</v>
      </c>
      <c r="Z97" s="63">
        <v>914.93492084561331</v>
      </c>
      <c r="AA97" s="63">
        <v>1046.9284614541252</v>
      </c>
      <c r="AB97" s="63">
        <v>1046.1282084397874</v>
      </c>
      <c r="AC97" s="63">
        <v>1213.0586638669461</v>
      </c>
      <c r="AD97" s="63">
        <v>1377.0805531184751</v>
      </c>
      <c r="AE97" s="63">
        <v>1296.1900960265482</v>
      </c>
      <c r="AF97" s="63">
        <v>1622.5286200079072</v>
      </c>
      <c r="AG97" s="63">
        <v>1657.6267477460308</v>
      </c>
      <c r="AH97" s="63">
        <v>2002.5670846206285</v>
      </c>
    </row>
    <row r="98" spans="3:34" x14ac:dyDescent="0.45">
      <c r="C98" s="63">
        <v>100</v>
      </c>
      <c r="D98" s="63">
        <v>115.25896934771353</v>
      </c>
      <c r="E98" s="63">
        <v>137.25892138753184</v>
      </c>
      <c r="F98" s="63">
        <v>162.94374630608323</v>
      </c>
      <c r="G98" s="63">
        <v>161.57352179578254</v>
      </c>
      <c r="H98" s="63">
        <v>154.38788799169438</v>
      </c>
      <c r="I98" s="63">
        <v>145.40223446581695</v>
      </c>
      <c r="J98" s="63">
        <v>204.16844423850472</v>
      </c>
      <c r="K98" s="63">
        <v>229.66701084848938</v>
      </c>
      <c r="L98" s="63">
        <v>217.44392476418903</v>
      </c>
      <c r="M98" s="63">
        <v>282.20214533670651</v>
      </c>
      <c r="N98" s="63">
        <v>324.15184060701256</v>
      </c>
      <c r="O98" s="63">
        <v>260.65377799075026</v>
      </c>
      <c r="P98" s="63">
        <v>316.65138978328957</v>
      </c>
      <c r="Q98" s="63">
        <v>340.24038970346169</v>
      </c>
      <c r="R98" s="63">
        <v>387.92359542380302</v>
      </c>
      <c r="S98" s="63">
        <v>504.84693920151904</v>
      </c>
      <c r="T98" s="63">
        <v>592.57522549968962</v>
      </c>
      <c r="U98" s="63">
        <v>563.69008619147939</v>
      </c>
      <c r="V98" s="63">
        <v>640.25531146257197</v>
      </c>
      <c r="W98" s="63">
        <v>713.26197886563727</v>
      </c>
      <c r="X98" s="63">
        <v>666.92192664554591</v>
      </c>
      <c r="Y98" s="63">
        <v>808.46694566440783</v>
      </c>
      <c r="Z98" s="63">
        <v>794.83290469009717</v>
      </c>
      <c r="AA98" s="63">
        <v>956.25757153619907</v>
      </c>
      <c r="AB98" s="63">
        <v>1018.3822296679261</v>
      </c>
      <c r="AC98" s="63">
        <v>1155.1055776236126</v>
      </c>
      <c r="AD98" s="63">
        <v>1244.4166170128706</v>
      </c>
      <c r="AE98" s="63">
        <v>1157.0130402014825</v>
      </c>
      <c r="AF98" s="63">
        <v>1584.5984724416296</v>
      </c>
      <c r="AG98" s="63">
        <v>1752.777429246617</v>
      </c>
      <c r="AH98" s="63">
        <v>2045.107458729479</v>
      </c>
    </row>
    <row r="99" spans="3:34" x14ac:dyDescent="0.45">
      <c r="C99" s="63">
        <v>100</v>
      </c>
      <c r="D99" s="63">
        <v>86.584672596833812</v>
      </c>
      <c r="E99" s="63">
        <v>99.13936014142422</v>
      </c>
      <c r="F99" s="63">
        <v>121.28356938234754</v>
      </c>
      <c r="G99" s="63">
        <v>131.77933027118047</v>
      </c>
      <c r="H99" s="63">
        <v>146.00361817031708</v>
      </c>
      <c r="I99" s="63">
        <v>165.84367151960038</v>
      </c>
      <c r="J99" s="63">
        <v>194.97450210196916</v>
      </c>
      <c r="K99" s="63">
        <v>190.14946190662511</v>
      </c>
      <c r="L99" s="63">
        <v>210.19490987053609</v>
      </c>
      <c r="M99" s="63">
        <v>272.08142282072538</v>
      </c>
      <c r="N99" s="63">
        <v>311.38461637002013</v>
      </c>
      <c r="O99" s="63">
        <v>325.03673914356114</v>
      </c>
      <c r="P99" s="63">
        <v>357.03821554101586</v>
      </c>
      <c r="Q99" s="63">
        <v>393.26366697053038</v>
      </c>
      <c r="R99" s="63">
        <v>390.14879535243017</v>
      </c>
      <c r="S99" s="63">
        <v>517.47172645645503</v>
      </c>
      <c r="T99" s="63">
        <v>472.19707434404251</v>
      </c>
      <c r="U99" s="63">
        <v>581.76809659648859</v>
      </c>
      <c r="V99" s="63">
        <v>643.67537283841557</v>
      </c>
      <c r="W99" s="63">
        <v>682.86323583398803</v>
      </c>
      <c r="X99" s="63">
        <v>578.25041365869595</v>
      </c>
      <c r="Y99" s="63">
        <v>799.50418161772893</v>
      </c>
      <c r="Z99" s="63">
        <v>693.4097355572676</v>
      </c>
      <c r="AA99" s="63">
        <v>902.92020728218847</v>
      </c>
      <c r="AB99" s="63">
        <v>1042.4016194735998</v>
      </c>
      <c r="AC99" s="63">
        <v>1275.3385945838818</v>
      </c>
      <c r="AD99" s="63">
        <v>1142.1394546259667</v>
      </c>
      <c r="AE99" s="63">
        <v>1329.7414463620194</v>
      </c>
      <c r="AF99" s="63">
        <v>1654.0367036405296</v>
      </c>
      <c r="AG99" s="63">
        <v>2052.7113400191947</v>
      </c>
      <c r="AH99" s="63">
        <v>2263.6410679257888</v>
      </c>
    </row>
    <row r="100" spans="3:34" x14ac:dyDescent="0.45">
      <c r="C100" s="63">
        <v>100</v>
      </c>
      <c r="D100" s="63">
        <v>105.85483332564493</v>
      </c>
      <c r="E100" s="63">
        <v>133.18595242289507</v>
      </c>
      <c r="F100" s="63">
        <v>143.11491786854253</v>
      </c>
      <c r="G100" s="63">
        <v>161.14058550538635</v>
      </c>
      <c r="H100" s="63">
        <v>161.16827129765247</v>
      </c>
      <c r="I100" s="63">
        <v>166.52149957921881</v>
      </c>
      <c r="J100" s="63">
        <v>184.65459868498391</v>
      </c>
      <c r="K100" s="63">
        <v>187.02718676064114</v>
      </c>
      <c r="L100" s="63">
        <v>230.34636270764003</v>
      </c>
      <c r="M100" s="63">
        <v>277.07189533099574</v>
      </c>
      <c r="N100" s="63">
        <v>306.67545800461551</v>
      </c>
      <c r="O100" s="63">
        <v>367.74079971650525</v>
      </c>
      <c r="P100" s="63">
        <v>426.76448397976583</v>
      </c>
      <c r="Q100" s="63">
        <v>482.08692617684528</v>
      </c>
      <c r="R100" s="63">
        <v>641.79974416480297</v>
      </c>
      <c r="S100" s="63">
        <v>522.53957617462038</v>
      </c>
      <c r="T100" s="63">
        <v>449.04887078332467</v>
      </c>
      <c r="U100" s="63">
        <v>498.3411431005037</v>
      </c>
      <c r="V100" s="63">
        <v>567.90150602101767</v>
      </c>
      <c r="W100" s="63">
        <v>593.06293158517781</v>
      </c>
      <c r="X100" s="63">
        <v>736.91104994114562</v>
      </c>
      <c r="Y100" s="63">
        <v>832.13740066401715</v>
      </c>
      <c r="Z100" s="63">
        <v>835.80774167671177</v>
      </c>
      <c r="AA100" s="63">
        <v>1291.2849775802285</v>
      </c>
      <c r="AB100" s="63">
        <v>1314.0361178530263</v>
      </c>
      <c r="AC100" s="63">
        <v>1394.2252915117806</v>
      </c>
      <c r="AD100" s="63">
        <v>1470.3149115937013</v>
      </c>
      <c r="AE100" s="63">
        <v>1464.4614441267643</v>
      </c>
      <c r="AF100" s="63">
        <v>1290.5617982768731</v>
      </c>
      <c r="AG100" s="63">
        <v>1706.2071015414037</v>
      </c>
      <c r="AH100" s="63">
        <v>1596.9014173599471</v>
      </c>
    </row>
    <row r="101" spans="3:34" x14ac:dyDescent="0.45">
      <c r="C101" s="63">
        <v>100</v>
      </c>
      <c r="D101" s="63">
        <v>111.67799646644943</v>
      </c>
      <c r="E101" s="63">
        <v>132.71898472730277</v>
      </c>
      <c r="F101" s="63">
        <v>142.16483613202462</v>
      </c>
      <c r="G101" s="63">
        <v>152.00100500174079</v>
      </c>
      <c r="H101" s="63">
        <v>170.33262738716024</v>
      </c>
      <c r="I101" s="63">
        <v>186.0414760290399</v>
      </c>
      <c r="J101" s="63">
        <v>171.45856449712056</v>
      </c>
      <c r="K101" s="63">
        <v>176.325427906421</v>
      </c>
      <c r="L101" s="63">
        <v>202.98412845064951</v>
      </c>
      <c r="M101" s="63">
        <v>246.66213591046164</v>
      </c>
      <c r="N101" s="63">
        <v>284.67464026297785</v>
      </c>
      <c r="O101" s="63">
        <v>284.41019189917108</v>
      </c>
      <c r="P101" s="63">
        <v>331.04189607532942</v>
      </c>
      <c r="Q101" s="63">
        <v>388.5468598836664</v>
      </c>
      <c r="R101" s="63">
        <v>446.38236077134599</v>
      </c>
      <c r="S101" s="63">
        <v>462.95597012102331</v>
      </c>
      <c r="T101" s="63">
        <v>522.33101704061016</v>
      </c>
      <c r="U101" s="63">
        <v>650.72261502417268</v>
      </c>
      <c r="V101" s="63">
        <v>758.81514993751716</v>
      </c>
      <c r="W101" s="63">
        <v>708.9505364102605</v>
      </c>
      <c r="X101" s="63">
        <v>690.54238384251448</v>
      </c>
      <c r="Y101" s="63">
        <v>794.39495681607286</v>
      </c>
      <c r="Z101" s="63">
        <v>778.82518576211908</v>
      </c>
      <c r="AA101" s="63">
        <v>1091.0296445318161</v>
      </c>
      <c r="AB101" s="63">
        <v>1123.3248979302284</v>
      </c>
      <c r="AC101" s="63">
        <v>1410.7432196650507</v>
      </c>
      <c r="AD101" s="63">
        <v>1470.9935092636069</v>
      </c>
      <c r="AE101" s="63">
        <v>1917.459507317913</v>
      </c>
      <c r="AF101" s="63">
        <v>1843.2419116018884</v>
      </c>
      <c r="AG101" s="63">
        <v>1991.9206670459589</v>
      </c>
      <c r="AH101" s="63">
        <v>2132.018758002328</v>
      </c>
    </row>
    <row r="102" spans="3:34" x14ac:dyDescent="0.45">
      <c r="C102" s="63">
        <v>100</v>
      </c>
      <c r="D102" s="63">
        <v>119.52690676049124</v>
      </c>
      <c r="E102" s="63">
        <v>127.79698987316016</v>
      </c>
      <c r="F102" s="63">
        <v>136.95194704198821</v>
      </c>
      <c r="G102" s="63">
        <v>176.73778474624191</v>
      </c>
      <c r="H102" s="63">
        <v>192.44545860481912</v>
      </c>
      <c r="I102" s="63">
        <v>169.27719323927099</v>
      </c>
      <c r="J102" s="63">
        <v>220.54123873458096</v>
      </c>
      <c r="K102" s="63">
        <v>193.77902428056905</v>
      </c>
      <c r="L102" s="63">
        <v>274.29471347707226</v>
      </c>
      <c r="M102" s="63">
        <v>246.56548421075112</v>
      </c>
      <c r="N102" s="63">
        <v>271.97662701074563</v>
      </c>
      <c r="O102" s="63">
        <v>287.96518201468098</v>
      </c>
      <c r="P102" s="63">
        <v>336.96818625580698</v>
      </c>
      <c r="Q102" s="63">
        <v>346.84946754370856</v>
      </c>
      <c r="R102" s="63">
        <v>387.74963914209638</v>
      </c>
      <c r="S102" s="63">
        <v>408.62535628706576</v>
      </c>
      <c r="T102" s="63">
        <v>464.10351711197148</v>
      </c>
      <c r="U102" s="63">
        <v>554.84257408686858</v>
      </c>
      <c r="V102" s="63">
        <v>607.6159546484879</v>
      </c>
      <c r="W102" s="63">
        <v>669.90585094999369</v>
      </c>
      <c r="X102" s="63">
        <v>709.17109624419072</v>
      </c>
      <c r="Y102" s="63">
        <v>896.41272538754492</v>
      </c>
      <c r="Z102" s="63">
        <v>891.19942467893691</v>
      </c>
      <c r="AA102" s="63">
        <v>961.91646291177062</v>
      </c>
      <c r="AB102" s="63">
        <v>927.15742130518402</v>
      </c>
      <c r="AC102" s="63">
        <v>1168.1273792420445</v>
      </c>
      <c r="AD102" s="63">
        <v>1511.6360343663989</v>
      </c>
      <c r="AE102" s="63">
        <v>1607.9486478927615</v>
      </c>
      <c r="AF102" s="63">
        <v>1723.7021623085502</v>
      </c>
      <c r="AG102" s="63">
        <v>1912.7785625531551</v>
      </c>
      <c r="AH102" s="63">
        <v>2102.1498748216368</v>
      </c>
    </row>
    <row r="103" spans="3:34" x14ac:dyDescent="0.45">
      <c r="C103" s="63">
        <v>100</v>
      </c>
      <c r="D103" s="63">
        <v>95.835389788819427</v>
      </c>
      <c r="E103" s="63">
        <v>108.04032380987712</v>
      </c>
      <c r="F103" s="63">
        <v>130.28126987430812</v>
      </c>
      <c r="G103" s="63">
        <v>108.46458718565061</v>
      </c>
      <c r="H103" s="63">
        <v>119.01738799089856</v>
      </c>
      <c r="I103" s="63">
        <v>152.08899727733453</v>
      </c>
      <c r="J103" s="63">
        <v>155.52199547652666</v>
      </c>
      <c r="K103" s="63">
        <v>177.30468681260902</v>
      </c>
      <c r="L103" s="63">
        <v>228.16215593358891</v>
      </c>
      <c r="M103" s="63">
        <v>261.30438956702665</v>
      </c>
      <c r="N103" s="63">
        <v>270.2961732156441</v>
      </c>
      <c r="O103" s="63">
        <v>322.84591608921863</v>
      </c>
      <c r="P103" s="63">
        <v>385.47961911643631</v>
      </c>
      <c r="Q103" s="63">
        <v>372.15227284589304</v>
      </c>
      <c r="R103" s="63">
        <v>368.75986248373334</v>
      </c>
      <c r="S103" s="63">
        <v>390.69108501385108</v>
      </c>
      <c r="T103" s="63">
        <v>513.47962871508958</v>
      </c>
      <c r="U103" s="63">
        <v>548.79235747548148</v>
      </c>
      <c r="V103" s="63">
        <v>648.76346436379981</v>
      </c>
      <c r="W103" s="63">
        <v>751.61195815209283</v>
      </c>
      <c r="X103" s="63">
        <v>722.48087532355885</v>
      </c>
      <c r="Y103" s="63">
        <v>880.69298125592786</v>
      </c>
      <c r="Z103" s="63">
        <v>940.10868655503145</v>
      </c>
      <c r="AA103" s="63">
        <v>1062.9823102866872</v>
      </c>
      <c r="AB103" s="63">
        <v>1014.2670511685246</v>
      </c>
      <c r="AC103" s="63">
        <v>1191.9784924347719</v>
      </c>
      <c r="AD103" s="63">
        <v>1616.3957516096025</v>
      </c>
      <c r="AE103" s="63">
        <v>1644.5697436622331</v>
      </c>
      <c r="AF103" s="63">
        <v>1750.270754215373</v>
      </c>
      <c r="AG103" s="63">
        <v>1815.1072608436389</v>
      </c>
      <c r="AH103" s="63">
        <v>1707.0624671019514</v>
      </c>
    </row>
    <row r="104" spans="3:34" x14ac:dyDescent="0.45">
      <c r="C104" s="63">
        <v>100</v>
      </c>
      <c r="D104" s="63">
        <v>90.413118008812347</v>
      </c>
      <c r="E104" s="63">
        <v>105.2424000685786</v>
      </c>
      <c r="F104" s="63">
        <v>134.71007712051301</v>
      </c>
      <c r="G104" s="63">
        <v>145.31748306867809</v>
      </c>
      <c r="H104" s="63">
        <v>163.62282833107929</v>
      </c>
      <c r="I104" s="63">
        <v>164.21248847069774</v>
      </c>
      <c r="J104" s="63">
        <v>196.9053284121689</v>
      </c>
      <c r="K104" s="63">
        <v>192.24611745386733</v>
      </c>
      <c r="L104" s="63">
        <v>184.06068346940657</v>
      </c>
      <c r="M104" s="63">
        <v>228.00043135329076</v>
      </c>
      <c r="N104" s="63">
        <v>266.31336166811889</v>
      </c>
      <c r="O104" s="63">
        <v>317.24294210947329</v>
      </c>
      <c r="P104" s="63">
        <v>270.39629515926981</v>
      </c>
      <c r="Q104" s="63">
        <v>250.1105586702368</v>
      </c>
      <c r="R104" s="63">
        <v>352.40723772775181</v>
      </c>
      <c r="S104" s="63">
        <v>401.63426679037059</v>
      </c>
      <c r="T104" s="63">
        <v>477.03959717568779</v>
      </c>
      <c r="U104" s="63">
        <v>589.38536116723583</v>
      </c>
      <c r="V104" s="63">
        <v>619.73341237430736</v>
      </c>
      <c r="W104" s="63">
        <v>692.21696922647004</v>
      </c>
      <c r="X104" s="63">
        <v>622.80041036192415</v>
      </c>
      <c r="Y104" s="63">
        <v>824.57330338315137</v>
      </c>
      <c r="Z104" s="63">
        <v>859.40220891825129</v>
      </c>
      <c r="AA104" s="63">
        <v>1195.2495897097403</v>
      </c>
      <c r="AB104" s="63">
        <v>1165.9355986413404</v>
      </c>
      <c r="AC104" s="63">
        <v>1486.5393687190003</v>
      </c>
      <c r="AD104" s="63">
        <v>1300.4298990282628</v>
      </c>
      <c r="AE104" s="63">
        <v>1464.9027670251664</v>
      </c>
      <c r="AF104" s="63">
        <v>1348.1544275778983</v>
      </c>
      <c r="AG104" s="63">
        <v>1492.5246197030303</v>
      </c>
      <c r="AH104" s="63">
        <v>1830.9667650922224</v>
      </c>
    </row>
    <row r="105" spans="3:34" x14ac:dyDescent="0.45">
      <c r="C105" s="63">
        <v>100</v>
      </c>
      <c r="D105" s="63">
        <v>98.561957273085653</v>
      </c>
      <c r="E105" s="63">
        <v>152.13481616905014</v>
      </c>
      <c r="F105" s="63">
        <v>173.15556115967865</v>
      </c>
      <c r="G105" s="63">
        <v>141.39940391122082</v>
      </c>
      <c r="H105" s="63">
        <v>165.34904961963107</v>
      </c>
      <c r="I105" s="63">
        <v>154.85607198535473</v>
      </c>
      <c r="J105" s="63">
        <v>191.22891077066288</v>
      </c>
      <c r="K105" s="63">
        <v>220.81303254385665</v>
      </c>
      <c r="L105" s="63">
        <v>190.88681449859644</v>
      </c>
      <c r="M105" s="63">
        <v>271.15585837258743</v>
      </c>
      <c r="N105" s="63">
        <v>280.21903910558547</v>
      </c>
      <c r="O105" s="63">
        <v>271.15868716891811</v>
      </c>
      <c r="P105" s="63">
        <v>320.26598581912515</v>
      </c>
      <c r="Q105" s="63">
        <v>382.10895902542376</v>
      </c>
      <c r="R105" s="63">
        <v>460.27252256336396</v>
      </c>
      <c r="S105" s="63">
        <v>606.0258834478476</v>
      </c>
      <c r="T105" s="63">
        <v>584.80334954048249</v>
      </c>
      <c r="U105" s="63">
        <v>563.78171677555133</v>
      </c>
      <c r="V105" s="63">
        <v>582.15249516363485</v>
      </c>
      <c r="W105" s="63">
        <v>561.32218177684035</v>
      </c>
      <c r="X105" s="63">
        <v>565.47525919890336</v>
      </c>
      <c r="Y105" s="63">
        <v>610.05505461407392</v>
      </c>
      <c r="Z105" s="63">
        <v>719.52886717806336</v>
      </c>
      <c r="AA105" s="63">
        <v>761.96904547777376</v>
      </c>
      <c r="AB105" s="63">
        <v>901.40895274861259</v>
      </c>
      <c r="AC105" s="63">
        <v>1149.9870044337665</v>
      </c>
      <c r="AD105" s="63">
        <v>1002.4929381027924</v>
      </c>
      <c r="AE105" s="63">
        <v>1289.389945508743</v>
      </c>
      <c r="AF105" s="63">
        <v>1267.0505773579862</v>
      </c>
      <c r="AG105" s="63">
        <v>1422.4515871355673</v>
      </c>
      <c r="AH105" s="63">
        <v>1755.7368101990091</v>
      </c>
    </row>
    <row r="106" spans="3:34" x14ac:dyDescent="0.45">
      <c r="C106" s="63">
        <v>100</v>
      </c>
      <c r="D106" s="63">
        <v>116.40974539876505</v>
      </c>
      <c r="E106" s="63">
        <v>138.5429115133152</v>
      </c>
      <c r="F106" s="63">
        <v>141.04838956165952</v>
      </c>
      <c r="G106" s="63">
        <v>144.9378358214243</v>
      </c>
      <c r="H106" s="63">
        <v>129.30944371621999</v>
      </c>
      <c r="I106" s="63">
        <v>149.65511720672617</v>
      </c>
      <c r="J106" s="63">
        <v>183.15782392367373</v>
      </c>
      <c r="K106" s="63">
        <v>203.3386022120107</v>
      </c>
      <c r="L106" s="63">
        <v>207.0382465231674</v>
      </c>
      <c r="M106" s="63">
        <v>220.28729436500436</v>
      </c>
      <c r="N106" s="63">
        <v>218.27921605689016</v>
      </c>
      <c r="O106" s="63">
        <v>282.24075311324941</v>
      </c>
      <c r="P106" s="63">
        <v>342.63231634002693</v>
      </c>
      <c r="Q106" s="63">
        <v>368.42597767901509</v>
      </c>
      <c r="R106" s="63">
        <v>406.24833235701772</v>
      </c>
      <c r="S106" s="63">
        <v>441.44356944577271</v>
      </c>
      <c r="T106" s="63">
        <v>475.46963285132597</v>
      </c>
      <c r="U106" s="63">
        <v>482.47871921563683</v>
      </c>
      <c r="V106" s="63">
        <v>507.10044638333909</v>
      </c>
      <c r="W106" s="63">
        <v>603.57732736187791</v>
      </c>
      <c r="X106" s="63">
        <v>724.55645939706778</v>
      </c>
      <c r="Y106" s="63">
        <v>797.88071695062808</v>
      </c>
      <c r="Z106" s="63">
        <v>888.46684460674396</v>
      </c>
      <c r="AA106" s="63">
        <v>1074.8400957604804</v>
      </c>
      <c r="AB106" s="63">
        <v>1169.2696461705536</v>
      </c>
      <c r="AC106" s="63">
        <v>1171.825329677815</v>
      </c>
      <c r="AD106" s="63">
        <v>1441.4216467628326</v>
      </c>
      <c r="AE106" s="63">
        <v>1471.1715740100321</v>
      </c>
      <c r="AF106" s="63">
        <v>1498.5463540560138</v>
      </c>
      <c r="AG106" s="63">
        <v>1603.6061831372404</v>
      </c>
      <c r="AH106" s="63">
        <v>1849.8257065095372</v>
      </c>
    </row>
    <row r="107" spans="3:34" x14ac:dyDescent="0.45">
      <c r="C107" s="63">
        <v>100</v>
      </c>
      <c r="D107" s="63">
        <v>117.77262897468223</v>
      </c>
      <c r="E107" s="63">
        <v>127.00514596592438</v>
      </c>
      <c r="F107" s="63">
        <v>124.06665183113313</v>
      </c>
      <c r="G107" s="63">
        <v>126.64523741808489</v>
      </c>
      <c r="H107" s="63">
        <v>142.04729634496002</v>
      </c>
      <c r="I107" s="63">
        <v>170.04070307289197</v>
      </c>
      <c r="J107" s="63">
        <v>208.34948007669857</v>
      </c>
      <c r="K107" s="63">
        <v>197.66677907616724</v>
      </c>
      <c r="L107" s="63">
        <v>242.90169386092435</v>
      </c>
      <c r="M107" s="63">
        <v>250.76819069789659</v>
      </c>
      <c r="N107" s="63">
        <v>273.08514677412745</v>
      </c>
      <c r="O107" s="63">
        <v>308.96789513548782</v>
      </c>
      <c r="P107" s="63">
        <v>320.84792348499514</v>
      </c>
      <c r="Q107" s="63">
        <v>367.48137757483647</v>
      </c>
      <c r="R107" s="63">
        <v>377.75228819968214</v>
      </c>
      <c r="S107" s="63">
        <v>371.45934521155237</v>
      </c>
      <c r="T107" s="63">
        <v>428.88716483184612</v>
      </c>
      <c r="U107" s="63">
        <v>494.85812265346158</v>
      </c>
      <c r="V107" s="63">
        <v>636.39477345630996</v>
      </c>
      <c r="W107" s="63">
        <v>743.46939191997444</v>
      </c>
      <c r="X107" s="63">
        <v>929.52144170592874</v>
      </c>
      <c r="Y107" s="63">
        <v>842.21788383413104</v>
      </c>
      <c r="Z107" s="63">
        <v>856.00585751099675</v>
      </c>
      <c r="AA107" s="63">
        <v>905.83013140321373</v>
      </c>
      <c r="AB107" s="63">
        <v>1076.1811526089391</v>
      </c>
      <c r="AC107" s="63">
        <v>1098.1896801784344</v>
      </c>
      <c r="AD107" s="63">
        <v>1163.6091819052081</v>
      </c>
      <c r="AE107" s="63">
        <v>1444.4228856483662</v>
      </c>
      <c r="AF107" s="63">
        <v>1510.0473450030136</v>
      </c>
      <c r="AG107" s="63">
        <v>1870.9981898409126</v>
      </c>
      <c r="AH107" s="63">
        <v>1960.934988458876</v>
      </c>
    </row>
    <row r="108" spans="3:34" x14ac:dyDescent="0.45">
      <c r="C108" s="63">
        <v>100</v>
      </c>
      <c r="D108" s="63">
        <v>107.1718977875562</v>
      </c>
      <c r="E108" s="63">
        <v>138.22117715595925</v>
      </c>
      <c r="F108" s="63">
        <v>147.57204672933284</v>
      </c>
      <c r="G108" s="63">
        <v>154.91353700026491</v>
      </c>
      <c r="H108" s="63">
        <v>157.70687824876157</v>
      </c>
      <c r="I108" s="63">
        <v>196.82316338218465</v>
      </c>
      <c r="J108" s="63">
        <v>226.53130202841311</v>
      </c>
      <c r="K108" s="63">
        <v>240.49730231367704</v>
      </c>
      <c r="L108" s="63">
        <v>220.67014919758941</v>
      </c>
      <c r="M108" s="63">
        <v>235.99366222785196</v>
      </c>
      <c r="N108" s="63">
        <v>260.79317218930402</v>
      </c>
      <c r="O108" s="63">
        <v>249.36945537190491</v>
      </c>
      <c r="P108" s="63">
        <v>288.70677689958916</v>
      </c>
      <c r="Q108" s="63">
        <v>368.15778149547202</v>
      </c>
      <c r="R108" s="63">
        <v>395.23964481609028</v>
      </c>
      <c r="S108" s="63">
        <v>495.73335498410961</v>
      </c>
      <c r="T108" s="63">
        <v>559.37132711121774</v>
      </c>
      <c r="U108" s="63">
        <v>656.48854697508443</v>
      </c>
      <c r="V108" s="63">
        <v>760.19125648331578</v>
      </c>
      <c r="W108" s="63">
        <v>669.38407135522573</v>
      </c>
      <c r="X108" s="63">
        <v>677.40734369302231</v>
      </c>
      <c r="Y108" s="63">
        <v>766.07153484969422</v>
      </c>
      <c r="Z108" s="63">
        <v>869.50404702373908</v>
      </c>
      <c r="AA108" s="63">
        <v>889.09846604493941</v>
      </c>
      <c r="AB108" s="63">
        <v>1044.2873547523395</v>
      </c>
      <c r="AC108" s="63">
        <v>1393.3336766552391</v>
      </c>
      <c r="AD108" s="63">
        <v>1655.6177696095174</v>
      </c>
      <c r="AE108" s="63">
        <v>1610.8684130974009</v>
      </c>
      <c r="AF108" s="63">
        <v>2008.00492403214</v>
      </c>
      <c r="AG108" s="63">
        <v>2026.1773456339647</v>
      </c>
      <c r="AH108" s="63">
        <v>2014.1625056276282</v>
      </c>
    </row>
    <row r="109" spans="3:34" x14ac:dyDescent="0.45">
      <c r="C109" s="63">
        <v>100</v>
      </c>
      <c r="D109" s="63">
        <v>118.72792444469542</v>
      </c>
      <c r="E109" s="63">
        <v>118.59951910891638</v>
      </c>
      <c r="F109" s="63">
        <v>111.15296064676019</v>
      </c>
      <c r="G109" s="63">
        <v>121.92469593396969</v>
      </c>
      <c r="H109" s="63">
        <v>148.98112165643667</v>
      </c>
      <c r="I109" s="63">
        <v>191.37883143617643</v>
      </c>
      <c r="J109" s="63">
        <v>239.22470741414173</v>
      </c>
      <c r="K109" s="63">
        <v>255.69584419309291</v>
      </c>
      <c r="L109" s="63">
        <v>328.88184221365765</v>
      </c>
      <c r="M109" s="63">
        <v>324.38654232172564</v>
      </c>
      <c r="N109" s="63">
        <v>366.02914314526311</v>
      </c>
      <c r="O109" s="63">
        <v>338.07455690651204</v>
      </c>
      <c r="P109" s="63">
        <v>345.86556331145709</v>
      </c>
      <c r="Q109" s="63">
        <v>338.4161079362749</v>
      </c>
      <c r="R109" s="63">
        <v>393.46456881560721</v>
      </c>
      <c r="S109" s="63">
        <v>497.37363259810763</v>
      </c>
      <c r="T109" s="63">
        <v>434.13066112847213</v>
      </c>
      <c r="U109" s="63">
        <v>585.18018413575828</v>
      </c>
      <c r="V109" s="63">
        <v>587.59739928939234</v>
      </c>
      <c r="W109" s="63">
        <v>548.20808346424644</v>
      </c>
      <c r="X109" s="63">
        <v>638.57447565556367</v>
      </c>
      <c r="Y109" s="63">
        <v>700.31534061644265</v>
      </c>
      <c r="Z109" s="63">
        <v>964.15690307021714</v>
      </c>
      <c r="AA109" s="63">
        <v>1045.4886510690799</v>
      </c>
      <c r="AB109" s="63">
        <v>992.16131836223258</v>
      </c>
      <c r="AC109" s="63">
        <v>979.23852375060801</v>
      </c>
      <c r="AD109" s="63">
        <v>1216.7710180828608</v>
      </c>
      <c r="AE109" s="63">
        <v>1501.5435761423951</v>
      </c>
      <c r="AF109" s="63">
        <v>1746.9799811003895</v>
      </c>
      <c r="AG109" s="63">
        <v>1940.033830716904</v>
      </c>
      <c r="AH109" s="63">
        <v>2155.418299048295</v>
      </c>
    </row>
    <row r="110" spans="3:34" x14ac:dyDescent="0.45">
      <c r="C110" s="63">
        <v>100</v>
      </c>
      <c r="D110" s="63">
        <v>108.54667005173459</v>
      </c>
      <c r="E110" s="63">
        <v>97.933253195956183</v>
      </c>
      <c r="F110" s="63">
        <v>122.8068647826351</v>
      </c>
      <c r="G110" s="63">
        <v>143.49637170234092</v>
      </c>
      <c r="H110" s="63">
        <v>141.07657310107152</v>
      </c>
      <c r="I110" s="63">
        <v>181.12804739691458</v>
      </c>
      <c r="J110" s="63">
        <v>230.30248705398682</v>
      </c>
      <c r="K110" s="63">
        <v>209.54546481397506</v>
      </c>
      <c r="L110" s="63">
        <v>246.04066754955022</v>
      </c>
      <c r="M110" s="63">
        <v>269.3053038153173</v>
      </c>
      <c r="N110" s="63">
        <v>275.21626546922357</v>
      </c>
      <c r="O110" s="63">
        <v>274.51937907536421</v>
      </c>
      <c r="P110" s="63">
        <v>298.06761750856128</v>
      </c>
      <c r="Q110" s="63">
        <v>415.89880476544243</v>
      </c>
      <c r="R110" s="63">
        <v>451.45409798756657</v>
      </c>
      <c r="S110" s="63">
        <v>480.81315945575227</v>
      </c>
      <c r="T110" s="63">
        <v>535.54955046558371</v>
      </c>
      <c r="U110" s="63">
        <v>593.75319741398607</v>
      </c>
      <c r="V110" s="63">
        <v>677.09514209203508</v>
      </c>
      <c r="W110" s="63">
        <v>768.79663662277778</v>
      </c>
      <c r="X110" s="63">
        <v>788.34682561710952</v>
      </c>
      <c r="Y110" s="63">
        <v>811.28009124647883</v>
      </c>
      <c r="Z110" s="63">
        <v>900.92068259808843</v>
      </c>
      <c r="AA110" s="63">
        <v>975.29167675825613</v>
      </c>
      <c r="AB110" s="63">
        <v>925.37870119128115</v>
      </c>
      <c r="AC110" s="63">
        <v>1184.5095052856263</v>
      </c>
      <c r="AD110" s="63">
        <v>1285.3812304428475</v>
      </c>
      <c r="AE110" s="63">
        <v>1415.8399279135915</v>
      </c>
      <c r="AF110" s="63">
        <v>1871.9331028108747</v>
      </c>
      <c r="AG110" s="63">
        <v>1984.0848431116674</v>
      </c>
      <c r="AH110" s="63">
        <v>2202.2956805374552</v>
      </c>
    </row>
    <row r="111" spans="3:34" x14ac:dyDescent="0.45">
      <c r="C111" s="63">
        <v>100</v>
      </c>
      <c r="D111" s="63">
        <v>94.451064678559419</v>
      </c>
      <c r="E111" s="63">
        <v>115.10836744091679</v>
      </c>
      <c r="F111" s="63">
        <v>135.11824939618899</v>
      </c>
      <c r="G111" s="63">
        <v>148.46590042555462</v>
      </c>
      <c r="H111" s="63">
        <v>137.574257917578</v>
      </c>
      <c r="I111" s="63">
        <v>190.77993002184422</v>
      </c>
      <c r="J111" s="63">
        <v>160.94255287898108</v>
      </c>
      <c r="K111" s="63">
        <v>209.3383596664201</v>
      </c>
      <c r="L111" s="63">
        <v>225.15339325291501</v>
      </c>
      <c r="M111" s="63">
        <v>263.80826787474217</v>
      </c>
      <c r="N111" s="63">
        <v>245.90801832592834</v>
      </c>
      <c r="O111" s="63">
        <v>299.57964580221181</v>
      </c>
      <c r="P111" s="63">
        <v>385.25317898442086</v>
      </c>
      <c r="Q111" s="63">
        <v>408.98643495880657</v>
      </c>
      <c r="R111" s="63">
        <v>512.85438918942623</v>
      </c>
      <c r="S111" s="63">
        <v>572.6761077337643</v>
      </c>
      <c r="T111" s="63">
        <v>527.39438090224189</v>
      </c>
      <c r="U111" s="63">
        <v>586.78909545658087</v>
      </c>
      <c r="V111" s="63">
        <v>581.93689987921675</v>
      </c>
      <c r="W111" s="63">
        <v>627.65633853942325</v>
      </c>
      <c r="X111" s="63">
        <v>840.10860223248869</v>
      </c>
      <c r="Y111" s="63">
        <v>929.81303057188893</v>
      </c>
      <c r="Z111" s="63">
        <v>1051.6232671672096</v>
      </c>
      <c r="AA111" s="63">
        <v>1066.6087168993758</v>
      </c>
      <c r="AB111" s="63">
        <v>1200.9488957507599</v>
      </c>
      <c r="AC111" s="63">
        <v>1337.4820729203575</v>
      </c>
      <c r="AD111" s="63">
        <v>1410.4582547425607</v>
      </c>
      <c r="AE111" s="63">
        <v>1256.038544389545</v>
      </c>
      <c r="AF111" s="63">
        <v>1355.2908327516966</v>
      </c>
      <c r="AG111" s="63">
        <v>1589.0127778336064</v>
      </c>
      <c r="AH111" s="63">
        <v>1534.7466508315661</v>
      </c>
    </row>
    <row r="112" spans="3:34" x14ac:dyDescent="0.45">
      <c r="C112" s="63">
        <v>100</v>
      </c>
      <c r="D112" s="63">
        <v>118.9762361086202</v>
      </c>
      <c r="E112" s="63">
        <v>117.38396550758891</v>
      </c>
      <c r="F112" s="63">
        <v>166.44739364115108</v>
      </c>
      <c r="G112" s="63">
        <v>156.0779598454381</v>
      </c>
      <c r="H112" s="63">
        <v>178.52711135036037</v>
      </c>
      <c r="I112" s="63">
        <v>184.84253242104083</v>
      </c>
      <c r="J112" s="63">
        <v>230.3320199659355</v>
      </c>
      <c r="K112" s="63">
        <v>249.31503708587593</v>
      </c>
      <c r="L112" s="63">
        <v>260.74498606936993</v>
      </c>
      <c r="M112" s="63">
        <v>271.36262169738745</v>
      </c>
      <c r="N112" s="63">
        <v>262.64023177534591</v>
      </c>
      <c r="O112" s="63">
        <v>309.97918172483776</v>
      </c>
      <c r="P112" s="63">
        <v>297.35856063657837</v>
      </c>
      <c r="Q112" s="63">
        <v>386.05768141385988</v>
      </c>
      <c r="R112" s="63">
        <v>319.53810495726486</v>
      </c>
      <c r="S112" s="63">
        <v>424.4202418351681</v>
      </c>
      <c r="T112" s="63">
        <v>381.93016509055053</v>
      </c>
      <c r="U112" s="63">
        <v>486.93405856019399</v>
      </c>
      <c r="V112" s="63">
        <v>569.3219550134362</v>
      </c>
      <c r="W112" s="63">
        <v>586.15499096063672</v>
      </c>
      <c r="X112" s="63">
        <v>787.69962817904957</v>
      </c>
      <c r="Y112" s="63">
        <v>644.67408178291339</v>
      </c>
      <c r="Z112" s="63">
        <v>808.80822806291076</v>
      </c>
      <c r="AA112" s="63">
        <v>938.73841723974965</v>
      </c>
      <c r="AB112" s="63">
        <v>1092.4301722371824</v>
      </c>
      <c r="AC112" s="63">
        <v>1161.5669511981268</v>
      </c>
      <c r="AD112" s="63">
        <v>1688.4351559015308</v>
      </c>
      <c r="AE112" s="63">
        <v>1477.8645492302819</v>
      </c>
      <c r="AF112" s="63">
        <v>1722.7732930916404</v>
      </c>
      <c r="AG112" s="63">
        <v>1915.0769416109129</v>
      </c>
      <c r="AH112" s="63">
        <v>1856.8432573228145</v>
      </c>
    </row>
    <row r="113" spans="3:34" x14ac:dyDescent="0.45">
      <c r="C113" s="63">
        <v>100</v>
      </c>
      <c r="D113" s="63">
        <v>102.92368339252486</v>
      </c>
      <c r="E113" s="63">
        <v>115.88574275835633</v>
      </c>
      <c r="F113" s="63">
        <v>130.43087162697947</v>
      </c>
      <c r="G113" s="63">
        <v>138.59491868513157</v>
      </c>
      <c r="H113" s="63">
        <v>177.86623709566678</v>
      </c>
      <c r="I113" s="63">
        <v>179.86967532286195</v>
      </c>
      <c r="J113" s="63">
        <v>187.80425404032508</v>
      </c>
      <c r="K113" s="63">
        <v>201.91673174057814</v>
      </c>
      <c r="L113" s="63">
        <v>187.55577671124706</v>
      </c>
      <c r="M113" s="63">
        <v>262.98650765892341</v>
      </c>
      <c r="N113" s="63">
        <v>247.9005545585994</v>
      </c>
      <c r="O113" s="63">
        <v>279.0484216983765</v>
      </c>
      <c r="P113" s="63">
        <v>307.3473143226235</v>
      </c>
      <c r="Q113" s="63">
        <v>345.80638364544552</v>
      </c>
      <c r="R113" s="63">
        <v>388.31490725156823</v>
      </c>
      <c r="S113" s="63">
        <v>477.20033096117243</v>
      </c>
      <c r="T113" s="63">
        <v>531.91407986054446</v>
      </c>
      <c r="U113" s="63">
        <v>611.82121151926333</v>
      </c>
      <c r="V113" s="63">
        <v>651.44917572675536</v>
      </c>
      <c r="W113" s="63">
        <v>753.70421306379126</v>
      </c>
      <c r="X113" s="63">
        <v>736.79709825747739</v>
      </c>
      <c r="Y113" s="63">
        <v>753.27423806266552</v>
      </c>
      <c r="Z113" s="63">
        <v>865.92479712291185</v>
      </c>
      <c r="AA113" s="63">
        <v>1036.4498957121993</v>
      </c>
      <c r="AB113" s="63">
        <v>1093.1315219838166</v>
      </c>
      <c r="AC113" s="63">
        <v>1341.5238618271731</v>
      </c>
      <c r="AD113" s="63">
        <v>1335.3620559642554</v>
      </c>
      <c r="AE113" s="63">
        <v>1709.6193886884521</v>
      </c>
      <c r="AF113" s="63">
        <v>1619.5876436755711</v>
      </c>
      <c r="AG113" s="63">
        <v>1843.7982324242787</v>
      </c>
      <c r="AH113" s="63">
        <v>1709.3428063367196</v>
      </c>
    </row>
    <row r="114" spans="3:34" x14ac:dyDescent="0.45">
      <c r="C114" s="63">
        <v>100</v>
      </c>
      <c r="D114" s="63">
        <v>115.17505152861614</v>
      </c>
      <c r="E114" s="63">
        <v>141.26772232282818</v>
      </c>
      <c r="F114" s="63">
        <v>173.07694758584103</v>
      </c>
      <c r="G114" s="63">
        <v>214.63996019708912</v>
      </c>
      <c r="H114" s="63">
        <v>225.62739953369518</v>
      </c>
      <c r="I114" s="63">
        <v>213.33113150921383</v>
      </c>
      <c r="J114" s="63">
        <v>174.94223153555635</v>
      </c>
      <c r="K114" s="63">
        <v>204.12995146178321</v>
      </c>
      <c r="L114" s="63">
        <v>251.47516967077871</v>
      </c>
      <c r="M114" s="63">
        <v>286.29220322563287</v>
      </c>
      <c r="N114" s="63">
        <v>336.35330373704676</v>
      </c>
      <c r="O114" s="63">
        <v>341.76075713314691</v>
      </c>
      <c r="P114" s="63">
        <v>421.20566275302372</v>
      </c>
      <c r="Q114" s="63">
        <v>413.8629535205651</v>
      </c>
      <c r="R114" s="63">
        <v>420.65538227332479</v>
      </c>
      <c r="S114" s="63">
        <v>435.33259767834579</v>
      </c>
      <c r="T114" s="63">
        <v>520.78913330500677</v>
      </c>
      <c r="U114" s="63">
        <v>414.42191085724835</v>
      </c>
      <c r="V114" s="63">
        <v>488.03253305315394</v>
      </c>
      <c r="W114" s="63">
        <v>593.59315574303253</v>
      </c>
      <c r="X114" s="63">
        <v>613.57701861410533</v>
      </c>
      <c r="Y114" s="63">
        <v>882.65393642844151</v>
      </c>
      <c r="Z114" s="63">
        <v>924.63439660254437</v>
      </c>
      <c r="AA114" s="63">
        <v>1136.8906062739713</v>
      </c>
      <c r="AB114" s="63">
        <v>1280.343432182035</v>
      </c>
      <c r="AC114" s="63">
        <v>1256.1105190330768</v>
      </c>
      <c r="AD114" s="63">
        <v>1070.7246166604391</v>
      </c>
      <c r="AE114" s="63">
        <v>1223.0311918222872</v>
      </c>
      <c r="AF114" s="63">
        <v>1444.5751362397255</v>
      </c>
      <c r="AG114" s="63">
        <v>1476.6462771475983</v>
      </c>
      <c r="AH114" s="63">
        <v>1570.5657040345809</v>
      </c>
    </row>
    <row r="115" spans="3:34" x14ac:dyDescent="0.45">
      <c r="C115" s="63">
        <v>100</v>
      </c>
      <c r="D115" s="63">
        <v>113.72154121470244</v>
      </c>
      <c r="E115" s="63">
        <v>127.72141912787001</v>
      </c>
      <c r="F115" s="63">
        <v>150.35962338220347</v>
      </c>
      <c r="G115" s="63">
        <v>174.99994848583088</v>
      </c>
      <c r="H115" s="63">
        <v>161.92289413032861</v>
      </c>
      <c r="I115" s="63">
        <v>208.15854735806977</v>
      </c>
      <c r="J115" s="63">
        <v>259.02926285283485</v>
      </c>
      <c r="K115" s="63">
        <v>273.71261000568819</v>
      </c>
      <c r="L115" s="63">
        <v>212.9738134244721</v>
      </c>
      <c r="M115" s="63">
        <v>278.12306608405203</v>
      </c>
      <c r="N115" s="63">
        <v>307.53245280301388</v>
      </c>
      <c r="O115" s="63">
        <v>303.63119179972739</v>
      </c>
      <c r="P115" s="63">
        <v>315.95605861657111</v>
      </c>
      <c r="Q115" s="63">
        <v>385.19305521386423</v>
      </c>
      <c r="R115" s="63">
        <v>430.6686612005218</v>
      </c>
      <c r="S115" s="63">
        <v>421.03381400599835</v>
      </c>
      <c r="T115" s="63">
        <v>517.86407505186924</v>
      </c>
      <c r="U115" s="63">
        <v>530.74245954833646</v>
      </c>
      <c r="V115" s="63">
        <v>597.58449455600885</v>
      </c>
      <c r="W115" s="63">
        <v>570.30853323109704</v>
      </c>
      <c r="X115" s="63">
        <v>607.79696091659571</v>
      </c>
      <c r="Y115" s="63">
        <v>830.90849435102086</v>
      </c>
      <c r="Z115" s="63">
        <v>668.35983003807394</v>
      </c>
      <c r="AA115" s="63">
        <v>953.54185517159499</v>
      </c>
      <c r="AB115" s="63">
        <v>917.88857950662259</v>
      </c>
      <c r="AC115" s="63">
        <v>1099.7223298509143</v>
      </c>
      <c r="AD115" s="63">
        <v>1223.2727474408216</v>
      </c>
      <c r="AE115" s="63">
        <v>1435.03959683945</v>
      </c>
      <c r="AF115" s="63">
        <v>1570.6653617015111</v>
      </c>
      <c r="AG115" s="63">
        <v>2046.4470787402934</v>
      </c>
      <c r="AH115" s="63">
        <v>1681.4197770861324</v>
      </c>
    </row>
    <row r="116" spans="3:34" x14ac:dyDescent="0.45">
      <c r="C116" s="63">
        <v>100</v>
      </c>
      <c r="D116" s="63">
        <v>99.365777218286667</v>
      </c>
      <c r="E116" s="63">
        <v>99.919628293907266</v>
      </c>
      <c r="F116" s="63">
        <v>112.30765543884785</v>
      </c>
      <c r="G116" s="63">
        <v>123.45993787884464</v>
      </c>
      <c r="H116" s="63">
        <v>145.27018995271655</v>
      </c>
      <c r="I116" s="63">
        <v>174.43140994923345</v>
      </c>
      <c r="J116" s="63">
        <v>207.91008359967151</v>
      </c>
      <c r="K116" s="63">
        <v>218.57973458012469</v>
      </c>
      <c r="L116" s="63">
        <v>253.66302868729036</v>
      </c>
      <c r="M116" s="63">
        <v>294.69417894333475</v>
      </c>
      <c r="N116" s="63">
        <v>332.84706918371222</v>
      </c>
      <c r="O116" s="63">
        <v>350.50849065523846</v>
      </c>
      <c r="P116" s="63">
        <v>326.14289148801055</v>
      </c>
      <c r="Q116" s="63">
        <v>445.45703747181767</v>
      </c>
      <c r="R116" s="63">
        <v>361.34410581400732</v>
      </c>
      <c r="S116" s="63">
        <v>389.41674365497454</v>
      </c>
      <c r="T116" s="63">
        <v>477.95026817477429</v>
      </c>
      <c r="U116" s="63">
        <v>624.87193156853027</v>
      </c>
      <c r="V116" s="63">
        <v>534.01462619195422</v>
      </c>
      <c r="W116" s="63">
        <v>644.96676175032383</v>
      </c>
      <c r="X116" s="63">
        <v>749.42485608566994</v>
      </c>
      <c r="Y116" s="63">
        <v>665.72762481797304</v>
      </c>
      <c r="Z116" s="63">
        <v>714.12072926227029</v>
      </c>
      <c r="AA116" s="63">
        <v>858.23460461566992</v>
      </c>
      <c r="AB116" s="63">
        <v>983.91654365539011</v>
      </c>
      <c r="AC116" s="63">
        <v>1313.5738459734721</v>
      </c>
      <c r="AD116" s="63">
        <v>1677.8271476148279</v>
      </c>
      <c r="AE116" s="63">
        <v>1495.027621930547</v>
      </c>
      <c r="AF116" s="63">
        <v>1621.8546805009419</v>
      </c>
      <c r="AG116" s="63">
        <v>1783.6965291147224</v>
      </c>
      <c r="AH116" s="63">
        <v>2110.9020591938456</v>
      </c>
    </row>
    <row r="117" spans="3:34" x14ac:dyDescent="0.45">
      <c r="C117" s="64"/>
      <c r="D117" s="5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</row>
    <row r="118" spans="3:34" x14ac:dyDescent="0.45">
      <c r="C118" s="64"/>
      <c r="D118" s="5"/>
      <c r="E118" s="64"/>
      <c r="F118" s="64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</row>
    <row r="119" spans="3:34" x14ac:dyDescent="0.45">
      <c r="C119" s="64"/>
      <c r="D119" s="5"/>
      <c r="E119" s="64"/>
      <c r="F119" s="64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</row>
    <row r="120" spans="3:34" x14ac:dyDescent="0.45">
      <c r="C120" s="64"/>
      <c r="D120" s="5"/>
      <c r="E120" s="64"/>
      <c r="F120" s="64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</row>
    <row r="121" spans="3:34" x14ac:dyDescent="0.45">
      <c r="C121" s="64"/>
      <c r="D121" s="5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</row>
    <row r="122" spans="3:34" x14ac:dyDescent="0.45">
      <c r="C122" s="64"/>
      <c r="D122" s="5"/>
      <c r="E122" s="64"/>
      <c r="F122" s="64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</row>
    <row r="123" spans="3:34" x14ac:dyDescent="0.45">
      <c r="C123" s="64"/>
      <c r="D123" s="5"/>
      <c r="E123" s="64"/>
      <c r="F123" s="64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</row>
    <row r="124" spans="3:34" x14ac:dyDescent="0.45">
      <c r="C124" s="64"/>
      <c r="D124" s="5"/>
      <c r="E124" s="64"/>
      <c r="F124" s="64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</row>
    <row r="125" spans="3:34" x14ac:dyDescent="0.45">
      <c r="C125" s="64"/>
      <c r="D125" s="5"/>
      <c r="E125" s="64"/>
      <c r="F125" s="64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</row>
    <row r="126" spans="3:34" x14ac:dyDescent="0.45">
      <c r="C126" s="64"/>
      <c r="D126" s="5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</row>
    <row r="127" spans="3:34" x14ac:dyDescent="0.45">
      <c r="C127" s="64"/>
      <c r="D127" s="5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</row>
    <row r="128" spans="3:34" x14ac:dyDescent="0.45">
      <c r="C128" s="64"/>
      <c r="D128" s="5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</row>
    <row r="129" spans="3:34" x14ac:dyDescent="0.45">
      <c r="C129" s="64"/>
      <c r="D129" s="5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</row>
    <row r="130" spans="3:34" x14ac:dyDescent="0.45">
      <c r="C130" s="64"/>
      <c r="D130" s="5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</row>
    <row r="131" spans="3:34" x14ac:dyDescent="0.45">
      <c r="C131" s="64"/>
      <c r="D131" s="5"/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</row>
    <row r="132" spans="3:34" x14ac:dyDescent="0.45">
      <c r="C132" s="64"/>
      <c r="D132" s="5"/>
      <c r="E132" s="64"/>
      <c r="F132" s="64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</row>
    <row r="133" spans="3:34" x14ac:dyDescent="0.45">
      <c r="C133" s="64"/>
      <c r="D133" s="5"/>
      <c r="E133" s="64"/>
      <c r="F133" s="64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</row>
    <row r="134" spans="3:34" x14ac:dyDescent="0.45">
      <c r="C134" s="64"/>
      <c r="D134" s="5"/>
      <c r="E134" s="64"/>
      <c r="F134" s="64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</row>
    <row r="135" spans="3:34" x14ac:dyDescent="0.45">
      <c r="C135" s="64"/>
      <c r="D135" s="5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</row>
    <row r="136" spans="3:34" x14ac:dyDescent="0.45">
      <c r="C136" s="64"/>
      <c r="D136" s="5"/>
      <c r="E136" s="64"/>
      <c r="F136" s="64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</row>
    <row r="137" spans="3:34" x14ac:dyDescent="0.45">
      <c r="C137" s="64"/>
      <c r="D137" s="5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</row>
    <row r="138" spans="3:34" x14ac:dyDescent="0.45">
      <c r="C138" s="64"/>
      <c r="D138" s="5"/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</row>
    <row r="139" spans="3:34" x14ac:dyDescent="0.45">
      <c r="C139" s="64"/>
      <c r="D139" s="5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</row>
    <row r="140" spans="3:34" x14ac:dyDescent="0.45">
      <c r="C140" s="64"/>
      <c r="D140" s="5"/>
      <c r="E140" s="64"/>
      <c r="F140" s="64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</row>
    <row r="141" spans="3:34" x14ac:dyDescent="0.45">
      <c r="C141" s="64"/>
      <c r="D141" s="5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</row>
    <row r="142" spans="3:34" x14ac:dyDescent="0.45">
      <c r="C142" s="64"/>
      <c r="D142" s="5"/>
      <c r="E142" s="64"/>
      <c r="F142" s="64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</row>
    <row r="143" spans="3:34" x14ac:dyDescent="0.45">
      <c r="C143" s="64"/>
      <c r="D143" s="5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</row>
    <row r="144" spans="3:34" x14ac:dyDescent="0.45">
      <c r="C144" s="64"/>
      <c r="D144" s="5"/>
      <c r="E144" s="64"/>
      <c r="F144" s="64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</row>
    <row r="145" spans="3:34" x14ac:dyDescent="0.45">
      <c r="C145" s="64"/>
      <c r="D145" s="5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</row>
    <row r="146" spans="3:34" x14ac:dyDescent="0.45">
      <c r="C146" s="64"/>
      <c r="D146" s="5"/>
      <c r="E146" s="64"/>
      <c r="F146" s="64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</row>
    <row r="147" spans="3:34" x14ac:dyDescent="0.45">
      <c r="C147" s="64"/>
      <c r="D147" s="5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</row>
    <row r="148" spans="3:34" x14ac:dyDescent="0.45">
      <c r="C148" s="64"/>
      <c r="D148" s="5"/>
      <c r="E148" s="64"/>
      <c r="F148" s="64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</row>
    <row r="149" spans="3:34" x14ac:dyDescent="0.45">
      <c r="C149" s="64"/>
      <c r="D149" s="5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</row>
    <row r="150" spans="3:34" x14ac:dyDescent="0.45">
      <c r="C150" s="64"/>
      <c r="D150" s="5"/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</row>
    <row r="151" spans="3:34" x14ac:dyDescent="0.45">
      <c r="C151" s="64"/>
      <c r="D151" s="5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</row>
    <row r="152" spans="3:34" x14ac:dyDescent="0.45">
      <c r="C152" s="64"/>
      <c r="D152" s="5"/>
      <c r="E152" s="64"/>
      <c r="F152" s="64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</row>
    <row r="153" spans="3:34" x14ac:dyDescent="0.45">
      <c r="C153" s="64"/>
      <c r="D153" s="5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</row>
    <row r="154" spans="3:34" x14ac:dyDescent="0.45">
      <c r="C154" s="64"/>
      <c r="D154" s="5"/>
      <c r="E154" s="64"/>
      <c r="F154" s="64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</row>
    <row r="155" spans="3:34" x14ac:dyDescent="0.45">
      <c r="C155" s="64"/>
      <c r="D155" s="5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</row>
    <row r="156" spans="3:34" x14ac:dyDescent="0.45">
      <c r="C156" s="64"/>
      <c r="D156" s="5"/>
      <c r="E156" s="64"/>
      <c r="F156" s="64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</row>
    <row r="157" spans="3:34" x14ac:dyDescent="0.45">
      <c r="C157" s="64"/>
      <c r="D157" s="5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</row>
    <row r="158" spans="3:34" x14ac:dyDescent="0.45">
      <c r="C158" s="64"/>
      <c r="D158" s="5"/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</row>
    <row r="159" spans="3:34" x14ac:dyDescent="0.45">
      <c r="C159" s="64"/>
      <c r="D159" s="5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</row>
    <row r="160" spans="3:34" x14ac:dyDescent="0.45">
      <c r="C160" s="64"/>
      <c r="D160" s="5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</row>
    <row r="161" spans="3:34" x14ac:dyDescent="0.45">
      <c r="C161" s="64"/>
      <c r="D161" s="5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</row>
    <row r="162" spans="3:34" x14ac:dyDescent="0.45">
      <c r="C162" s="64"/>
      <c r="D162" s="5"/>
      <c r="E162" s="64"/>
      <c r="F162" s="64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</row>
    <row r="163" spans="3:34" x14ac:dyDescent="0.45">
      <c r="C163" s="64"/>
      <c r="D163" s="5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</row>
    <row r="164" spans="3:34" x14ac:dyDescent="0.45">
      <c r="C164" s="64"/>
      <c r="D164" s="5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</row>
    <row r="165" spans="3:34" x14ac:dyDescent="0.45">
      <c r="C165" s="64"/>
      <c r="D165" s="5"/>
      <c r="E165" s="64"/>
      <c r="F165" s="64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</row>
    <row r="166" spans="3:34" x14ac:dyDescent="0.45">
      <c r="C166" s="64"/>
      <c r="D166" s="5"/>
      <c r="E166" s="64"/>
      <c r="F166" s="64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</row>
    <row r="167" spans="3:34" x14ac:dyDescent="0.45">
      <c r="C167" s="64"/>
      <c r="D167" s="5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</row>
    <row r="168" spans="3:34" x14ac:dyDescent="0.45">
      <c r="C168" s="64"/>
      <c r="D168" s="5"/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</row>
    <row r="169" spans="3:34" x14ac:dyDescent="0.45">
      <c r="C169" s="64"/>
      <c r="D169" s="5"/>
      <c r="E169" s="64"/>
      <c r="F169" s="64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</row>
    <row r="170" spans="3:34" x14ac:dyDescent="0.45">
      <c r="C170" s="64"/>
      <c r="D170" s="5"/>
      <c r="E170" s="64"/>
      <c r="F170" s="64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</row>
    <row r="171" spans="3:34" x14ac:dyDescent="0.45">
      <c r="C171" s="64"/>
      <c r="D171" s="5"/>
      <c r="E171" s="64"/>
      <c r="F171" s="64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</row>
    <row r="172" spans="3:34" x14ac:dyDescent="0.45">
      <c r="C172" s="64"/>
      <c r="D172" s="5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</row>
    <row r="173" spans="3:34" x14ac:dyDescent="0.45">
      <c r="C173" s="64"/>
      <c r="D173" s="5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</row>
    <row r="174" spans="3:34" x14ac:dyDescent="0.45">
      <c r="C174" s="64"/>
      <c r="D174" s="5"/>
      <c r="E174" s="64"/>
      <c r="F174" s="64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</row>
    <row r="175" spans="3:34" x14ac:dyDescent="0.45">
      <c r="C175" s="64"/>
      <c r="D175" s="5"/>
      <c r="E175" s="64"/>
      <c r="F175" s="64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</row>
    <row r="176" spans="3:34" x14ac:dyDescent="0.45">
      <c r="C176" s="64"/>
      <c r="D176" s="5"/>
      <c r="E176" s="64"/>
      <c r="F176" s="64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</row>
    <row r="177" spans="3:34" x14ac:dyDescent="0.45">
      <c r="C177" s="64"/>
      <c r="D177" s="5"/>
      <c r="E177" s="64"/>
      <c r="F177" s="64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</row>
    <row r="178" spans="3:34" x14ac:dyDescent="0.45">
      <c r="C178" s="64"/>
      <c r="D178" s="5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</row>
    <row r="179" spans="3:34" x14ac:dyDescent="0.45">
      <c r="C179" s="64"/>
      <c r="D179" s="5"/>
      <c r="E179" s="64"/>
      <c r="F179" s="64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</row>
    <row r="180" spans="3:34" x14ac:dyDescent="0.45">
      <c r="C180" s="64"/>
      <c r="D180" s="5"/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</row>
    <row r="181" spans="3:34" x14ac:dyDescent="0.45">
      <c r="C181" s="64"/>
      <c r="D181" s="5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</row>
    <row r="182" spans="3:34" x14ac:dyDescent="0.45">
      <c r="C182" s="64"/>
      <c r="D182" s="5"/>
      <c r="E182" s="64"/>
      <c r="F182" s="64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</row>
    <row r="183" spans="3:34" x14ac:dyDescent="0.45">
      <c r="C183" s="64"/>
      <c r="D183" s="5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</row>
    <row r="184" spans="3:34" x14ac:dyDescent="0.45">
      <c r="C184" s="64"/>
      <c r="D184" s="5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</row>
    <row r="185" spans="3:34" x14ac:dyDescent="0.45">
      <c r="C185" s="64"/>
      <c r="D185" s="5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</row>
    <row r="186" spans="3:34" x14ac:dyDescent="0.45">
      <c r="C186" s="64"/>
      <c r="D186" s="5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</row>
    <row r="187" spans="3:34" x14ac:dyDescent="0.45">
      <c r="C187" s="64"/>
      <c r="D187" s="5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</row>
    <row r="188" spans="3:34" x14ac:dyDescent="0.45">
      <c r="C188" s="64"/>
      <c r="D188" s="5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</row>
    <row r="189" spans="3:34" x14ac:dyDescent="0.45">
      <c r="C189" s="64"/>
      <c r="D189" s="5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</row>
    <row r="190" spans="3:34" x14ac:dyDescent="0.45">
      <c r="C190" s="64"/>
      <c r="D190" s="5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</row>
    <row r="191" spans="3:34" x14ac:dyDescent="0.45">
      <c r="C191" s="64"/>
      <c r="D191" s="5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</row>
    <row r="192" spans="3:34" x14ac:dyDescent="0.45">
      <c r="C192" s="64"/>
      <c r="D192" s="5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</row>
    <row r="193" spans="3:34" x14ac:dyDescent="0.45">
      <c r="C193" s="64"/>
      <c r="D193" s="5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</row>
    <row r="194" spans="3:34" x14ac:dyDescent="0.45">
      <c r="C194" s="64"/>
      <c r="D194" s="5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</row>
    <row r="195" spans="3:34" x14ac:dyDescent="0.45">
      <c r="C195" s="64"/>
      <c r="D195" s="5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</row>
    <row r="196" spans="3:34" x14ac:dyDescent="0.45">
      <c r="C196" s="64"/>
      <c r="D196" s="5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</row>
    <row r="197" spans="3:34" x14ac:dyDescent="0.45">
      <c r="C197" s="64"/>
      <c r="D197" s="5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</row>
    <row r="198" spans="3:34" x14ac:dyDescent="0.45">
      <c r="C198" s="64"/>
      <c r="D198" s="5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</row>
    <row r="199" spans="3:34" x14ac:dyDescent="0.45">
      <c r="C199" s="64"/>
      <c r="D199" s="5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</row>
    <row r="200" spans="3:34" x14ac:dyDescent="0.45">
      <c r="C200" s="64"/>
      <c r="D200" s="5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</row>
    <row r="201" spans="3:34" x14ac:dyDescent="0.45">
      <c r="C201" s="64"/>
      <c r="D201" s="5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</row>
    <row r="202" spans="3:34" x14ac:dyDescent="0.45">
      <c r="C202" s="64"/>
      <c r="D202" s="5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</row>
    <row r="203" spans="3:34" x14ac:dyDescent="0.45">
      <c r="C203" s="64"/>
      <c r="D203" s="5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</row>
    <row r="204" spans="3:34" x14ac:dyDescent="0.45">
      <c r="C204" s="64"/>
      <c r="D204" s="5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</row>
    <row r="205" spans="3:34" x14ac:dyDescent="0.45">
      <c r="C205" s="64"/>
      <c r="D205" s="5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</row>
    <row r="206" spans="3:34" x14ac:dyDescent="0.45">
      <c r="C206" s="64"/>
      <c r="D206" s="5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</row>
    <row r="207" spans="3:34" x14ac:dyDescent="0.45">
      <c r="C207" s="64"/>
      <c r="D207" s="5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</row>
    <row r="208" spans="3:34" x14ac:dyDescent="0.45">
      <c r="C208" s="64"/>
      <c r="D208" s="5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</row>
    <row r="209" spans="3:34" x14ac:dyDescent="0.45">
      <c r="C209" s="64"/>
      <c r="D209" s="5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</row>
    <row r="210" spans="3:34" x14ac:dyDescent="0.45">
      <c r="C210" s="64"/>
      <c r="D210" s="5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</row>
    <row r="211" spans="3:34" x14ac:dyDescent="0.45">
      <c r="C211" s="64"/>
      <c r="D211" s="5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</row>
    <row r="212" spans="3:34" x14ac:dyDescent="0.45">
      <c r="C212" s="64"/>
      <c r="D212" s="5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</row>
    <row r="213" spans="3:34" x14ac:dyDescent="0.45">
      <c r="C213" s="64"/>
      <c r="D213" s="5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</row>
    <row r="214" spans="3:34" x14ac:dyDescent="0.45">
      <c r="C214" s="64"/>
      <c r="D214" s="5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</row>
    <row r="215" spans="3:34" x14ac:dyDescent="0.45">
      <c r="C215" s="64"/>
      <c r="D215" s="5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</row>
    <row r="216" spans="3:34" x14ac:dyDescent="0.45">
      <c r="C216" s="64"/>
      <c r="D216" s="5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4"/>
      <c r="Z216" s="64"/>
      <c r="AA216" s="64"/>
      <c r="AB216" s="64"/>
      <c r="AC216" s="64"/>
      <c r="AD216" s="64"/>
      <c r="AE216" s="64"/>
      <c r="AF216" s="64"/>
      <c r="AG216" s="64"/>
      <c r="AH216" s="64"/>
    </row>
    <row r="217" spans="3:34" x14ac:dyDescent="0.45">
      <c r="C217" s="64"/>
      <c r="D217" s="5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  <c r="AG217" s="64"/>
      <c r="AH217" s="64"/>
    </row>
    <row r="218" spans="3:34" x14ac:dyDescent="0.45">
      <c r="C218" s="64"/>
      <c r="D218" s="5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4"/>
      <c r="Y218" s="64"/>
      <c r="Z218" s="64"/>
      <c r="AA218" s="64"/>
      <c r="AB218" s="64"/>
      <c r="AC218" s="64"/>
      <c r="AD218" s="64"/>
      <c r="AE218" s="64"/>
      <c r="AF218" s="64"/>
      <c r="AG218" s="64"/>
      <c r="AH218" s="64"/>
    </row>
    <row r="219" spans="3:34" x14ac:dyDescent="0.45">
      <c r="C219" s="64"/>
      <c r="D219" s="5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</row>
    <row r="220" spans="3:34" x14ac:dyDescent="0.45">
      <c r="C220" s="64"/>
      <c r="D220" s="5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4"/>
      <c r="Z220" s="64"/>
      <c r="AA220" s="64"/>
      <c r="AB220" s="64"/>
      <c r="AC220" s="64"/>
      <c r="AD220" s="64"/>
      <c r="AE220" s="64"/>
      <c r="AF220" s="64"/>
      <c r="AG220" s="64"/>
      <c r="AH220" s="64"/>
    </row>
    <row r="221" spans="3:34" x14ac:dyDescent="0.45">
      <c r="C221" s="64"/>
      <c r="D221" s="5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</row>
    <row r="222" spans="3:34" x14ac:dyDescent="0.45">
      <c r="C222" s="64"/>
      <c r="D222" s="5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B222" s="64"/>
      <c r="AC222" s="64"/>
      <c r="AD222" s="64"/>
      <c r="AE222" s="64"/>
      <c r="AF222" s="64"/>
      <c r="AG222" s="64"/>
      <c r="AH222" s="64"/>
    </row>
    <row r="223" spans="3:34" x14ac:dyDescent="0.45">
      <c r="C223" s="64"/>
      <c r="D223" s="5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</row>
    <row r="224" spans="3:34" x14ac:dyDescent="0.45">
      <c r="C224" s="64"/>
      <c r="D224" s="5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4"/>
      <c r="Z224" s="64"/>
      <c r="AA224" s="64"/>
      <c r="AB224" s="64"/>
      <c r="AC224" s="64"/>
      <c r="AD224" s="64"/>
      <c r="AE224" s="64"/>
      <c r="AF224" s="64"/>
      <c r="AG224" s="64"/>
      <c r="AH224" s="64"/>
    </row>
    <row r="225" spans="3:34" x14ac:dyDescent="0.45">
      <c r="C225" s="64"/>
      <c r="D225" s="5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</row>
    <row r="226" spans="3:34" x14ac:dyDescent="0.45">
      <c r="C226" s="64"/>
      <c r="D226" s="5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4"/>
      <c r="Z226" s="64"/>
      <c r="AA226" s="64"/>
      <c r="AB226" s="64"/>
      <c r="AC226" s="64"/>
      <c r="AD226" s="64"/>
      <c r="AE226" s="64"/>
      <c r="AF226" s="64"/>
      <c r="AG226" s="64"/>
      <c r="AH226" s="64"/>
    </row>
    <row r="227" spans="3:34" x14ac:dyDescent="0.45">
      <c r="C227" s="64"/>
      <c r="D227" s="5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</row>
    <row r="228" spans="3:34" x14ac:dyDescent="0.45">
      <c r="C228" s="64"/>
      <c r="D228" s="5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4"/>
      <c r="Z228" s="64"/>
      <c r="AA228" s="64"/>
      <c r="AB228" s="64"/>
      <c r="AC228" s="64"/>
      <c r="AD228" s="64"/>
      <c r="AE228" s="64"/>
      <c r="AF228" s="64"/>
      <c r="AG228" s="64"/>
      <c r="AH228" s="64"/>
    </row>
    <row r="229" spans="3:34" x14ac:dyDescent="0.45">
      <c r="C229" s="64"/>
      <c r="D229" s="5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4"/>
      <c r="Z229" s="64"/>
      <c r="AA229" s="64"/>
      <c r="AB229" s="64"/>
      <c r="AC229" s="64"/>
      <c r="AD229" s="64"/>
      <c r="AE229" s="64"/>
      <c r="AF229" s="64"/>
      <c r="AG229" s="64"/>
      <c r="AH229" s="64"/>
    </row>
    <row r="230" spans="3:34" x14ac:dyDescent="0.45">
      <c r="C230" s="64"/>
      <c r="D230" s="5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  <c r="AG230" s="64"/>
      <c r="AH230" s="64"/>
    </row>
    <row r="231" spans="3:34" x14ac:dyDescent="0.45">
      <c r="C231" s="64"/>
      <c r="D231" s="5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</row>
    <row r="232" spans="3:34" x14ac:dyDescent="0.45">
      <c r="C232" s="64"/>
      <c r="D232" s="5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</row>
    <row r="233" spans="3:34" x14ac:dyDescent="0.45">
      <c r="C233" s="64"/>
      <c r="D233" s="5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  <c r="AF233" s="64"/>
      <c r="AG233" s="64"/>
      <c r="AH233" s="64"/>
    </row>
    <row r="234" spans="3:34" x14ac:dyDescent="0.45">
      <c r="C234" s="64"/>
      <c r="D234" s="5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  <c r="AF234" s="64"/>
      <c r="AG234" s="64"/>
      <c r="AH234" s="64"/>
    </row>
    <row r="235" spans="3:34" x14ac:dyDescent="0.45">
      <c r="C235" s="64"/>
      <c r="D235" s="5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</row>
    <row r="236" spans="3:34" x14ac:dyDescent="0.45">
      <c r="C236" s="64"/>
      <c r="D236" s="5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/>
      <c r="AD236" s="64"/>
      <c r="AE236" s="64"/>
      <c r="AF236" s="64"/>
      <c r="AG236" s="64"/>
      <c r="AH236" s="64"/>
    </row>
    <row r="237" spans="3:34" x14ac:dyDescent="0.45">
      <c r="C237" s="64"/>
      <c r="D237" s="5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4"/>
      <c r="AE237" s="64"/>
      <c r="AF237" s="64"/>
      <c r="AG237" s="64"/>
      <c r="AH237" s="64"/>
    </row>
    <row r="238" spans="3:34" x14ac:dyDescent="0.45">
      <c r="C238" s="64"/>
      <c r="D238" s="5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/>
      <c r="AD238" s="64"/>
      <c r="AE238" s="64"/>
      <c r="AF238" s="64"/>
      <c r="AG238" s="64"/>
      <c r="AH238" s="64"/>
    </row>
    <row r="239" spans="3:34" x14ac:dyDescent="0.45">
      <c r="C239" s="64"/>
      <c r="D239" s="5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</row>
    <row r="240" spans="3:34" x14ac:dyDescent="0.45">
      <c r="C240" s="64"/>
      <c r="D240" s="5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/>
      <c r="AD240" s="64"/>
      <c r="AE240" s="64"/>
      <c r="AF240" s="64"/>
      <c r="AG240" s="64"/>
      <c r="AH240" s="64"/>
    </row>
    <row r="241" spans="3:34" x14ac:dyDescent="0.45">
      <c r="C241" s="64"/>
      <c r="D241" s="5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/>
      <c r="AD241" s="64"/>
      <c r="AE241" s="64"/>
      <c r="AF241" s="64"/>
      <c r="AG241" s="64"/>
      <c r="AH241" s="64"/>
    </row>
    <row r="242" spans="3:34" x14ac:dyDescent="0.45">
      <c r="C242" s="64"/>
      <c r="D242" s="5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/>
      <c r="AD242" s="64"/>
      <c r="AE242" s="64"/>
      <c r="AF242" s="64"/>
      <c r="AG242" s="64"/>
      <c r="AH242" s="64"/>
    </row>
    <row r="243" spans="3:34" x14ac:dyDescent="0.45">
      <c r="C243" s="64"/>
      <c r="D243" s="5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</row>
    <row r="244" spans="3:34" x14ac:dyDescent="0.45">
      <c r="C244" s="64"/>
      <c r="D244" s="5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/>
      <c r="AD244" s="64"/>
      <c r="AE244" s="64"/>
      <c r="AF244" s="64"/>
      <c r="AG244" s="64"/>
      <c r="AH244" s="64"/>
    </row>
    <row r="245" spans="3:34" x14ac:dyDescent="0.45">
      <c r="C245" s="64"/>
      <c r="D245" s="5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/>
      <c r="AD245" s="64"/>
      <c r="AE245" s="64"/>
      <c r="AF245" s="64"/>
      <c r="AG245" s="64"/>
      <c r="AH245" s="64"/>
    </row>
    <row r="246" spans="3:34" x14ac:dyDescent="0.45">
      <c r="C246" s="64"/>
      <c r="D246" s="5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</row>
    <row r="247" spans="3:34" x14ac:dyDescent="0.45">
      <c r="C247" s="64"/>
      <c r="D247" s="5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</row>
    <row r="248" spans="3:34" x14ac:dyDescent="0.45">
      <c r="C248" s="64"/>
      <c r="D248" s="5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/>
      <c r="AD248" s="64"/>
      <c r="AE248" s="64"/>
      <c r="AF248" s="64"/>
      <c r="AG248" s="64"/>
      <c r="AH248" s="64"/>
    </row>
    <row r="249" spans="3:34" x14ac:dyDescent="0.45">
      <c r="C249" s="64"/>
      <c r="D249" s="5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/>
      <c r="AD249" s="64"/>
      <c r="AE249" s="64"/>
      <c r="AF249" s="64"/>
      <c r="AG249" s="64"/>
      <c r="AH249" s="64"/>
    </row>
    <row r="250" spans="3:34" x14ac:dyDescent="0.45">
      <c r="C250" s="64"/>
      <c r="D250" s="5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/>
      <c r="AD250" s="64"/>
      <c r="AE250" s="64"/>
      <c r="AF250" s="64"/>
      <c r="AG250" s="64"/>
      <c r="AH250" s="64"/>
    </row>
    <row r="251" spans="3:34" x14ac:dyDescent="0.45">
      <c r="C251" s="64"/>
      <c r="D251" s="5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</row>
    <row r="252" spans="3:34" x14ac:dyDescent="0.45">
      <c r="C252" s="64"/>
      <c r="D252" s="5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/>
      <c r="AD252" s="64"/>
      <c r="AE252" s="64"/>
      <c r="AF252" s="64"/>
      <c r="AG252" s="64"/>
      <c r="AH252" s="64"/>
    </row>
    <row r="253" spans="3:34" x14ac:dyDescent="0.45">
      <c r="C253" s="64"/>
      <c r="D253" s="5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/>
      <c r="AD253" s="64"/>
      <c r="AE253" s="64"/>
      <c r="AF253" s="64"/>
      <c r="AG253" s="64"/>
      <c r="AH253" s="64"/>
    </row>
    <row r="254" spans="3:34" x14ac:dyDescent="0.45">
      <c r="C254" s="64"/>
      <c r="D254" s="5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/>
      <c r="AD254" s="64"/>
      <c r="AE254" s="64"/>
      <c r="AF254" s="64"/>
      <c r="AG254" s="64"/>
      <c r="AH254" s="64"/>
    </row>
    <row r="255" spans="3:34" x14ac:dyDescent="0.45">
      <c r="C255" s="64"/>
      <c r="D255" s="5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</row>
    <row r="256" spans="3:34" x14ac:dyDescent="0.45">
      <c r="C256" s="64"/>
      <c r="D256" s="5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/>
      <c r="AD256" s="64"/>
      <c r="AE256" s="64"/>
      <c r="AF256" s="64"/>
      <c r="AG256" s="64"/>
      <c r="AH256" s="64"/>
    </row>
    <row r="257" spans="3:34" x14ac:dyDescent="0.45">
      <c r="C257" s="64"/>
      <c r="D257" s="5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</row>
    <row r="258" spans="3:34" x14ac:dyDescent="0.45">
      <c r="C258" s="64"/>
      <c r="D258" s="5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</row>
    <row r="259" spans="3:34" x14ac:dyDescent="0.45">
      <c r="C259" s="64"/>
      <c r="D259" s="5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</row>
    <row r="260" spans="3:34" x14ac:dyDescent="0.45">
      <c r="C260" s="64"/>
      <c r="D260" s="5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  <c r="AF260" s="64"/>
      <c r="AG260" s="64"/>
      <c r="AH260" s="64"/>
    </row>
    <row r="261" spans="3:34" x14ac:dyDescent="0.45">
      <c r="C261" s="64"/>
      <c r="D261" s="5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</row>
    <row r="262" spans="3:34" x14ac:dyDescent="0.45">
      <c r="C262" s="64"/>
      <c r="D262" s="5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</row>
    <row r="263" spans="3:34" x14ac:dyDescent="0.45">
      <c r="C263" s="64"/>
      <c r="D263" s="5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</row>
    <row r="264" spans="3:34" x14ac:dyDescent="0.45">
      <c r="C264" s="64"/>
      <c r="D264" s="5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/>
      <c r="AD264" s="64"/>
      <c r="AE264" s="64"/>
      <c r="AF264" s="64"/>
      <c r="AG264" s="64"/>
      <c r="AH264" s="64"/>
    </row>
    <row r="265" spans="3:34" x14ac:dyDescent="0.45">
      <c r="C265" s="64"/>
      <c r="D265" s="5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</row>
    <row r="266" spans="3:34" x14ac:dyDescent="0.45">
      <c r="C266" s="64"/>
      <c r="D266" s="5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/>
      <c r="AD266" s="64"/>
      <c r="AE266" s="64"/>
      <c r="AF266" s="64"/>
      <c r="AG266" s="64"/>
      <c r="AH266" s="64"/>
    </row>
    <row r="267" spans="3:34" x14ac:dyDescent="0.45">
      <c r="C267" s="64"/>
      <c r="D267" s="5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</row>
    <row r="268" spans="3:34" x14ac:dyDescent="0.45">
      <c r="C268" s="64"/>
      <c r="D268" s="5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/>
      <c r="AD268" s="64"/>
      <c r="AE268" s="64"/>
      <c r="AF268" s="64"/>
      <c r="AG268" s="64"/>
      <c r="AH268" s="64"/>
    </row>
    <row r="269" spans="3:34" x14ac:dyDescent="0.45">
      <c r="C269" s="64"/>
      <c r="D269" s="5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</row>
    <row r="270" spans="3:34" x14ac:dyDescent="0.45">
      <c r="C270" s="64"/>
      <c r="D270" s="5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</row>
    <row r="271" spans="3:34" x14ac:dyDescent="0.45">
      <c r="C271" s="64"/>
      <c r="D271" s="5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</row>
    <row r="272" spans="3:34" x14ac:dyDescent="0.45">
      <c r="C272" s="64"/>
      <c r="D272" s="5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</row>
    <row r="273" spans="3:34" x14ac:dyDescent="0.45">
      <c r="C273" s="64"/>
      <c r="D273" s="5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</row>
    <row r="274" spans="3:34" x14ac:dyDescent="0.45">
      <c r="C274" s="64"/>
      <c r="D274" s="5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</row>
    <row r="275" spans="3:34" x14ac:dyDescent="0.45">
      <c r="C275" s="64"/>
      <c r="D275" s="5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/>
      <c r="AD275" s="64"/>
      <c r="AE275" s="64"/>
      <c r="AF275" s="64"/>
      <c r="AG275" s="64"/>
      <c r="AH275" s="64"/>
    </row>
    <row r="276" spans="3:34" x14ac:dyDescent="0.45">
      <c r="C276" s="64"/>
      <c r="D276" s="5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/>
      <c r="AD276" s="64"/>
      <c r="AE276" s="64"/>
      <c r="AF276" s="64"/>
      <c r="AG276" s="64"/>
      <c r="AH276" s="64"/>
    </row>
    <row r="277" spans="3:34" x14ac:dyDescent="0.45">
      <c r="C277" s="64"/>
      <c r="D277" s="5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/>
      <c r="AD277" s="64"/>
      <c r="AE277" s="64"/>
      <c r="AF277" s="64"/>
      <c r="AG277" s="64"/>
      <c r="AH277" s="64"/>
    </row>
    <row r="278" spans="3:34" x14ac:dyDescent="0.45">
      <c r="C278" s="64"/>
      <c r="D278" s="5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</row>
    <row r="279" spans="3:34" x14ac:dyDescent="0.45">
      <c r="C279" s="64"/>
      <c r="D279" s="5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</row>
    <row r="280" spans="3:34" x14ac:dyDescent="0.45">
      <c r="C280" s="64"/>
      <c r="D280" s="5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/>
      <c r="AD280" s="64"/>
      <c r="AE280" s="64"/>
      <c r="AF280" s="64"/>
      <c r="AG280" s="64"/>
      <c r="AH280" s="64"/>
    </row>
    <row r="281" spans="3:34" x14ac:dyDescent="0.45">
      <c r="C281" s="64"/>
      <c r="D281" s="5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/>
      <c r="AD281" s="64"/>
      <c r="AE281" s="64"/>
      <c r="AF281" s="64"/>
      <c r="AG281" s="64"/>
      <c r="AH281" s="64"/>
    </row>
    <row r="282" spans="3:34" x14ac:dyDescent="0.45">
      <c r="C282" s="64"/>
      <c r="D282" s="5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/>
      <c r="AD282" s="64"/>
      <c r="AE282" s="64"/>
      <c r="AF282" s="64"/>
      <c r="AG282" s="64"/>
      <c r="AH282" s="64"/>
    </row>
    <row r="283" spans="3:34" x14ac:dyDescent="0.45">
      <c r="C283" s="64"/>
      <c r="D283" s="5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</row>
    <row r="284" spans="3:34" x14ac:dyDescent="0.45">
      <c r="C284" s="64"/>
      <c r="D284" s="5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</row>
    <row r="285" spans="3:34" x14ac:dyDescent="0.45">
      <c r="C285" s="64"/>
      <c r="D285" s="5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</row>
    <row r="286" spans="3:34" x14ac:dyDescent="0.45">
      <c r="C286" s="64"/>
      <c r="D286" s="5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</row>
    <row r="287" spans="3:34" x14ac:dyDescent="0.45">
      <c r="C287" s="64"/>
      <c r="D287" s="5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</row>
    <row r="288" spans="3:34" x14ac:dyDescent="0.45">
      <c r="C288" s="64"/>
      <c r="D288" s="5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</row>
    <row r="289" spans="3:34" x14ac:dyDescent="0.45">
      <c r="C289" s="64"/>
      <c r="D289" s="5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</row>
    <row r="290" spans="3:34" x14ac:dyDescent="0.45">
      <c r="C290" s="64"/>
      <c r="D290" s="5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</row>
    <row r="291" spans="3:34" x14ac:dyDescent="0.45">
      <c r="C291" s="64"/>
      <c r="D291" s="5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</row>
    <row r="292" spans="3:34" x14ac:dyDescent="0.45">
      <c r="C292" s="64"/>
      <c r="D292" s="5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</row>
    <row r="293" spans="3:34" x14ac:dyDescent="0.45">
      <c r="C293" s="64"/>
      <c r="D293" s="5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</row>
    <row r="294" spans="3:34" x14ac:dyDescent="0.45">
      <c r="C294" s="64"/>
      <c r="D294" s="5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</row>
    <row r="295" spans="3:34" x14ac:dyDescent="0.45">
      <c r="C295" s="64"/>
      <c r="D295" s="5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</row>
    <row r="296" spans="3:34" x14ac:dyDescent="0.45">
      <c r="C296" s="64"/>
      <c r="D296" s="5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</row>
    <row r="297" spans="3:34" x14ac:dyDescent="0.45">
      <c r="C297" s="64"/>
      <c r="D297" s="5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</row>
    <row r="298" spans="3:34" x14ac:dyDescent="0.45">
      <c r="C298" s="64"/>
      <c r="D298" s="5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</row>
    <row r="299" spans="3:34" x14ac:dyDescent="0.45">
      <c r="C299" s="64"/>
      <c r="D299" s="5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</row>
    <row r="300" spans="3:34" x14ac:dyDescent="0.45">
      <c r="C300" s="64"/>
      <c r="D300" s="5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</row>
    <row r="301" spans="3:34" x14ac:dyDescent="0.45">
      <c r="C301" s="64"/>
      <c r="D301" s="5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</row>
    <row r="302" spans="3:34" x14ac:dyDescent="0.45">
      <c r="C302" s="64"/>
      <c r="D302" s="5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</row>
    <row r="303" spans="3:34" x14ac:dyDescent="0.45">
      <c r="C303" s="64"/>
      <c r="D303" s="5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</row>
    <row r="304" spans="3:34" x14ac:dyDescent="0.45">
      <c r="C304" s="64"/>
      <c r="D304" s="5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</row>
    <row r="305" spans="3:34" x14ac:dyDescent="0.45">
      <c r="C305" s="64"/>
      <c r="D305" s="5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</row>
    <row r="306" spans="3:34" x14ac:dyDescent="0.45">
      <c r="C306" s="64"/>
      <c r="D306" s="5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</row>
    <row r="307" spans="3:34" x14ac:dyDescent="0.45">
      <c r="C307" s="64"/>
      <c r="D307" s="5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</row>
    <row r="308" spans="3:34" x14ac:dyDescent="0.45">
      <c r="C308" s="64"/>
      <c r="D308" s="5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</row>
    <row r="309" spans="3:34" x14ac:dyDescent="0.45">
      <c r="C309" s="64"/>
      <c r="D309" s="5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</row>
    <row r="310" spans="3:34" x14ac:dyDescent="0.45">
      <c r="C310" s="64"/>
      <c r="D310" s="5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</row>
    <row r="311" spans="3:34" x14ac:dyDescent="0.45">
      <c r="C311" s="64"/>
      <c r="D311" s="5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</row>
    <row r="312" spans="3:34" x14ac:dyDescent="0.45">
      <c r="C312" s="64"/>
      <c r="D312" s="5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</row>
    <row r="313" spans="3:34" x14ac:dyDescent="0.45">
      <c r="C313" s="64"/>
      <c r="D313" s="5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</row>
    <row r="314" spans="3:34" x14ac:dyDescent="0.45">
      <c r="C314" s="64"/>
      <c r="D314" s="5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</row>
    <row r="315" spans="3:34" x14ac:dyDescent="0.45">
      <c r="C315" s="64"/>
      <c r="D315" s="5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</row>
    <row r="316" spans="3:34" x14ac:dyDescent="0.45">
      <c r="C316" s="64"/>
      <c r="D316" s="5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</row>
    <row r="317" spans="3:34" x14ac:dyDescent="0.45">
      <c r="C317" s="64"/>
      <c r="D317" s="5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</row>
    <row r="318" spans="3:34" x14ac:dyDescent="0.45">
      <c r="C318" s="64"/>
      <c r="D318" s="5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</row>
    <row r="319" spans="3:34" x14ac:dyDescent="0.45">
      <c r="C319" s="64"/>
      <c r="D319" s="5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</row>
    <row r="320" spans="3:34" x14ac:dyDescent="0.45">
      <c r="C320" s="64"/>
      <c r="D320" s="5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</row>
    <row r="321" spans="3:34" x14ac:dyDescent="0.45">
      <c r="C321" s="64"/>
      <c r="D321" s="5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</row>
    <row r="322" spans="3:34" x14ac:dyDescent="0.45">
      <c r="C322" s="64"/>
      <c r="D322" s="5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</row>
    <row r="323" spans="3:34" x14ac:dyDescent="0.45">
      <c r="C323" s="64"/>
      <c r="D323" s="5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</row>
    <row r="324" spans="3:34" x14ac:dyDescent="0.45">
      <c r="C324" s="64"/>
      <c r="D324" s="5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</row>
    <row r="325" spans="3:34" x14ac:dyDescent="0.45">
      <c r="C325" s="64"/>
      <c r="D325" s="5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</row>
    <row r="326" spans="3:34" x14ac:dyDescent="0.45">
      <c r="C326" s="64"/>
      <c r="D326" s="5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</row>
    <row r="327" spans="3:34" x14ac:dyDescent="0.45">
      <c r="C327" s="64"/>
      <c r="D327" s="5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</row>
    <row r="328" spans="3:34" x14ac:dyDescent="0.45">
      <c r="C328" s="64"/>
      <c r="D328" s="5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</row>
    <row r="329" spans="3:34" x14ac:dyDescent="0.45">
      <c r="C329" s="64"/>
      <c r="D329" s="5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</row>
    <row r="330" spans="3:34" x14ac:dyDescent="0.45">
      <c r="C330" s="64"/>
      <c r="D330" s="5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</row>
    <row r="331" spans="3:34" x14ac:dyDescent="0.45">
      <c r="C331" s="64"/>
      <c r="D331" s="5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</row>
    <row r="332" spans="3:34" x14ac:dyDescent="0.45">
      <c r="C332" s="64"/>
      <c r="D332" s="5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</row>
    <row r="333" spans="3:34" x14ac:dyDescent="0.45">
      <c r="C333" s="64"/>
      <c r="D333" s="5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</row>
    <row r="334" spans="3:34" x14ac:dyDescent="0.45">
      <c r="C334" s="64"/>
      <c r="D334" s="5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</row>
    <row r="335" spans="3:34" x14ac:dyDescent="0.45">
      <c r="C335" s="64"/>
      <c r="D335" s="5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</row>
    <row r="336" spans="3:34" x14ac:dyDescent="0.45">
      <c r="C336" s="64"/>
      <c r="D336" s="5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</row>
    <row r="337" spans="3:34" x14ac:dyDescent="0.45">
      <c r="C337" s="64"/>
      <c r="D337" s="5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</row>
    <row r="338" spans="3:34" x14ac:dyDescent="0.45">
      <c r="C338" s="64"/>
      <c r="D338" s="5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</row>
    <row r="339" spans="3:34" x14ac:dyDescent="0.45">
      <c r="C339" s="64"/>
      <c r="D339" s="5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</row>
    <row r="340" spans="3:34" x14ac:dyDescent="0.45">
      <c r="C340" s="64"/>
      <c r="D340" s="5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</row>
    <row r="341" spans="3:34" x14ac:dyDescent="0.45">
      <c r="C341" s="64"/>
      <c r="D341" s="5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</row>
    <row r="342" spans="3:34" x14ac:dyDescent="0.45">
      <c r="C342" s="64"/>
      <c r="D342" s="5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</row>
    <row r="343" spans="3:34" x14ac:dyDescent="0.45">
      <c r="C343" s="64"/>
      <c r="D343" s="5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</row>
    <row r="344" spans="3:34" x14ac:dyDescent="0.45">
      <c r="C344" s="64"/>
      <c r="D344" s="5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</row>
    <row r="345" spans="3:34" x14ac:dyDescent="0.45">
      <c r="C345" s="64"/>
      <c r="D345" s="5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</row>
    <row r="346" spans="3:34" x14ac:dyDescent="0.45">
      <c r="C346" s="64"/>
      <c r="D346" s="5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</row>
    <row r="347" spans="3:34" x14ac:dyDescent="0.45">
      <c r="C347" s="64"/>
      <c r="D347" s="5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</row>
    <row r="348" spans="3:34" x14ac:dyDescent="0.45">
      <c r="C348" s="64"/>
      <c r="D348" s="5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</row>
    <row r="349" spans="3:34" x14ac:dyDescent="0.45">
      <c r="C349" s="64"/>
      <c r="D349" s="5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</row>
    <row r="350" spans="3:34" x14ac:dyDescent="0.45">
      <c r="C350" s="64"/>
      <c r="D350" s="5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</row>
    <row r="351" spans="3:34" x14ac:dyDescent="0.45">
      <c r="C351" s="64"/>
      <c r="D351" s="5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</row>
    <row r="352" spans="3:34" x14ac:dyDescent="0.45">
      <c r="C352" s="64"/>
      <c r="D352" s="5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</row>
    <row r="353" spans="3:34" x14ac:dyDescent="0.45">
      <c r="C353" s="64"/>
      <c r="D353" s="5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</row>
    <row r="354" spans="3:34" x14ac:dyDescent="0.45">
      <c r="C354" s="64"/>
      <c r="D354" s="5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Workspace Document" ma:contentTypeID="0x01010089AB591AB1016B4F8F529114CCFB6EDE0200C1BDA40B17C86E449BEE61798F6D31EE" ma:contentTypeVersion="20" ma:contentTypeDescription="Workspace Document" ma:contentTypeScope="" ma:versionID="64dbfd6323874f444a04265cbf03bc56">
  <xsd:schema xmlns:xsd="http://www.w3.org/2001/XMLSchema" xmlns:xs="http://www.w3.org/2001/XMLSchema" xmlns:p="http://schemas.microsoft.com/office/2006/metadata/properties" xmlns:ns2="fa09b008-355e-4989-bb82-016df1a33e72" xmlns:ns3="3b0738c1-0000-4a3e-a11a-0f14df93f9bd" xmlns:ns4="db25da8e-36f3-4304-baf8-e9c28fe09a8f" xmlns:ns5="9b14b1e2-2dc6-40e1-9f70-9d23a8f41b7e" targetNamespace="http://schemas.microsoft.com/office/2006/metadata/properties" ma:root="true" ma:fieldsID="bac1b825e6ac6f34222d7c9bac8bd53c" ns2:_="" ns3:_="" ns4:_="" ns5:_="">
    <xsd:import namespace="fa09b008-355e-4989-bb82-016df1a33e72"/>
    <xsd:import namespace="3b0738c1-0000-4a3e-a11a-0f14df93f9bd"/>
    <xsd:import namespace="db25da8e-36f3-4304-baf8-e9c28fe09a8f"/>
    <xsd:import namespace="9b14b1e2-2dc6-40e1-9f70-9d23a8f41b7e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o7c0bf5882104927995dc00803bd65b5" minOccurs="0"/>
                <xsd:element ref="ns3:TaxCatchAll" minOccurs="0"/>
                <xsd:element ref="ns3:TaxCatchAllLabel" minOccurs="0"/>
                <xsd:element ref="ns2:pd40e9a052f346d0b773076ac8d9bbe1" minOccurs="0"/>
                <xsd:element ref="ns2:obe8cc8202374cebb2f12c2c9e11b228" minOccurs="0"/>
                <xsd:element ref="ns4:mcDescription" minOccurs="0"/>
                <xsd:element ref="ns5:MediaServiceMetadata" minOccurs="0"/>
                <xsd:element ref="ns5:MediaServiceFastMetadata" minOccurs="0"/>
                <xsd:element ref="ns5:MediaServiceAutoKeyPoints" minOccurs="0"/>
                <xsd:element ref="ns2:SharedWithUsers" minOccurs="0"/>
                <xsd:element ref="ns2:SharedWithDetails" minOccurs="0"/>
                <xsd:element ref="ns5:MediaServiceGenerationTime" minOccurs="0"/>
                <xsd:element ref="ns5:MediaServiceEventHashCode" minOccurs="0"/>
                <xsd:element ref="ns5:MediaServiceDateTaken" minOccurs="0"/>
                <xsd:element ref="ns5:MediaLengthInSeconds" minOccurs="0"/>
                <xsd:element ref="ns5:lcf76f155ced4ddcb4097134ff3c332f" minOccurs="0"/>
                <xsd:element ref="ns5:MediaServiceLocation" minOccurs="0"/>
                <xsd:element ref="ns5:MediaServiceObjectDetectorVersions" minOccurs="0"/>
                <xsd:element ref="ns5:MediaServiceSearchProperties" minOccurs="0"/>
                <xsd:element ref="ns5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09b008-355e-4989-bb82-016df1a33e7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o7c0bf5882104927995dc00803bd65b5" ma:index="11" nillable="true" ma:taxonomy="true" ma:internalName="o7c0bf5882104927995dc00803bd65b5" ma:taxonomyFieldName="mcTransaction" ma:displayName="Transaction" ma:default="" ma:fieldId="{87c0bf58-8210-4927-995d-c00803bd65b5}" ma:sspId="611d4f9b-f87b-4141-8e07-e8898016638a" ma:termSetId="5db480db-c37c-4e30-9086-679cfbedd85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pd40e9a052f346d0b773076ac8d9bbe1" ma:index="15" nillable="true" ma:taxonomy="true" ma:internalName="pd40e9a052f346d0b773076ac8d9bbe1" ma:taxonomyFieldName="mcClient" ma:displayName="Client" ma:default="" ma:fieldId="{9d40e9a0-52f3-46d0-b773-076ac8d9bbe1}" ma:sspId="611d4f9b-f87b-4141-8e07-e8898016638a" ma:termSetId="cc0d6842-82fa-4aea-a012-977a2a0b881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be8cc8202374cebb2f12c2c9e11b228" ma:index="17" nillable="true" ma:taxonomy="true" ma:internalName="obe8cc8202374cebb2f12c2c9e11b228" ma:taxonomyFieldName="mcDocumentType" ma:displayName="Document Type" ma:default="" ma:fieldId="{8be8cc82-0237-4ceb-b2f1-2c2c9e11b228}" ma:taxonomyMulti="true" ma:sspId="611d4f9b-f87b-4141-8e07-e8898016638a" ma:termSetId="9b621f28-fe7d-434f-a1fa-980c167cbeb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Users" ma:index="2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0738c1-0000-4a3e-a11a-0f14df93f9bd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4ac62e94-2303-4442-a48a-1536c7299ec0}" ma:internalName="TaxCatchAll" ma:showField="CatchAllData" ma:web="fa09b008-355e-4989-bb82-016df1a33e7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4ac62e94-2303-4442-a48a-1536c7299ec0}" ma:internalName="TaxCatchAllLabel" ma:readOnly="true" ma:showField="CatchAllDataLabel" ma:web="fa09b008-355e-4989-bb82-016df1a33e7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25da8e-36f3-4304-baf8-e9c28fe09a8f" elementFormDefault="qualified">
    <xsd:import namespace="http://schemas.microsoft.com/office/2006/documentManagement/types"/>
    <xsd:import namespace="http://schemas.microsoft.com/office/infopath/2007/PartnerControls"/>
    <xsd:element name="mcDescription" ma:index="19" nillable="true" ma:displayName="Description" ma:internalName="mc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14b1e2-2dc6-40e1-9f70-9d23a8f41b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GenerationTime" ma:index="2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30" nillable="true" ma:taxonomy="true" ma:internalName="lcf76f155ced4ddcb4097134ff3c332f" ma:taxonomyFieldName="MediaServiceImageTags" ma:displayName="Image Tags" ma:readOnly="false" ma:fieldId="{5cf76f15-5ced-4ddc-b409-7134ff3c332f}" ma:taxonomyMulti="true" ma:sspId="611d4f9b-f87b-4141-8e07-e8898016638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3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3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be8cc8202374cebb2f12c2c9e11b228 xmlns="fa09b008-355e-4989-bb82-016df1a33e72">
      <Terms xmlns="http://schemas.microsoft.com/office/infopath/2007/PartnerControls"/>
    </obe8cc8202374cebb2f12c2c9e11b228>
    <_dlc_DocId xmlns="fa09b008-355e-4989-bb82-016df1a33e72">NWK7ZKVJYH5A-529948635-182870</_dlc_DocId>
    <o7c0bf5882104927995dc00803bd65b5 xmlns="fa09b008-355e-4989-bb82-016df1a33e72">
      <Terms xmlns="http://schemas.microsoft.com/office/infopath/2007/PartnerControls"/>
    </o7c0bf5882104927995dc00803bd65b5>
    <mcDescription xmlns="db25da8e-36f3-4304-baf8-e9c28fe09a8f" xsi:nil="true"/>
    <_dlc_DocIdUrl xmlns="fa09b008-355e-4989-bb82-016df1a33e72">
      <Url>https://macquariegroup.sharepoint.com/sites/MACCAPIND000281/_layouts/15/DocIdRedir.aspx?ID=NWK7ZKVJYH5A-529948635-182870</Url>
      <Description>NWK7ZKVJYH5A-529948635-182870</Description>
    </_dlc_DocIdUrl>
    <pd40e9a052f346d0b773076ac8d9bbe1 xmlns="fa09b008-355e-4989-bb82-016df1a33e72">
      <Terms xmlns="http://schemas.microsoft.com/office/infopath/2007/PartnerControls"/>
    </pd40e9a052f346d0b773076ac8d9bbe1>
    <lcf76f155ced4ddcb4097134ff3c332f xmlns="9b14b1e2-2dc6-40e1-9f70-9d23a8f41b7e">
      <Terms xmlns="http://schemas.microsoft.com/office/infopath/2007/PartnerControls"/>
    </lcf76f155ced4ddcb4097134ff3c332f>
    <TaxCatchAll xmlns="3b0738c1-0000-4a3e-a11a-0f14df93f9bd" xsi:nil="true"/>
  </documentManagement>
</p:properties>
</file>

<file path=customXml/itemProps1.xml><?xml version="1.0" encoding="utf-8"?>
<ds:datastoreItem xmlns:ds="http://schemas.openxmlformats.org/officeDocument/2006/customXml" ds:itemID="{D72456AD-7B7A-4348-A63B-E19DF6E5A3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09b008-355e-4989-bb82-016df1a33e72"/>
    <ds:schemaRef ds:uri="3b0738c1-0000-4a3e-a11a-0f14df93f9bd"/>
    <ds:schemaRef ds:uri="db25da8e-36f3-4304-baf8-e9c28fe09a8f"/>
    <ds:schemaRef ds:uri="9b14b1e2-2dc6-40e1-9f70-9d23a8f41b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CFF3890-EDB2-4A96-AF7B-81AD3CCE72B9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0C5DDAC6-7F41-4F01-90FD-54D5E480E80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E048C42-C10D-4CD3-BAE2-DF5DDD245AC7}">
  <ds:schemaRefs>
    <ds:schemaRef ds:uri="http://schemas.microsoft.com/office/infopath/2007/PartnerControls"/>
    <ds:schemaRef ds:uri="http://www.w3.org/XML/1998/namespace"/>
    <ds:schemaRef ds:uri="db25da8e-36f3-4304-baf8-e9c28fe09a8f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9b14b1e2-2dc6-40e1-9f70-9d23a8f41b7e"/>
    <ds:schemaRef ds:uri="http://purl.org/dc/dcmitype/"/>
    <ds:schemaRef ds:uri="3b0738c1-0000-4a3e-a11a-0f14df93f9bd"/>
    <ds:schemaRef ds:uri="fa09b008-355e-4989-bb82-016df1a33e72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Core</vt:lpstr>
      <vt:lpstr>Monte Carlo </vt:lpstr>
      <vt:lpstr>Brownian</vt:lpstr>
      <vt:lpstr>Input</vt:lpstr>
      <vt:lpstr>Paths1</vt:lpstr>
      <vt:lpstr>Paths2</vt:lpstr>
      <vt:lpstr>SP500_Copy</vt:lpstr>
      <vt:lpstr>Surplus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Anuj Goel (MacCap)</dc:creator>
  <cp:keywords/>
  <dc:description/>
  <cp:lastModifiedBy>John Innes</cp:lastModifiedBy>
  <cp:revision/>
  <dcterms:created xsi:type="dcterms:W3CDTF">2025-06-08T08:04:28Z</dcterms:created>
  <dcterms:modified xsi:type="dcterms:W3CDTF">2025-09-11T22:08:22Z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f60613-a741-4790-ba46-c6813ca61c58_Enabled">
    <vt:lpwstr>true</vt:lpwstr>
  </property>
  <property fmtid="{D5CDD505-2E9C-101B-9397-08002B2CF9AE}" pid="3" name="MSIP_Label_bff60613-a741-4790-ba46-c6813ca61c58_SetDate">
    <vt:lpwstr>2025-06-08T11:58:35Z</vt:lpwstr>
  </property>
  <property fmtid="{D5CDD505-2E9C-101B-9397-08002B2CF9AE}" pid="4" name="MSIP_Label_bff60613-a741-4790-ba46-c6813ca61c58_Method">
    <vt:lpwstr>Standard</vt:lpwstr>
  </property>
  <property fmtid="{D5CDD505-2E9C-101B-9397-08002B2CF9AE}" pid="5" name="MSIP_Label_bff60613-a741-4790-ba46-c6813ca61c58_Name">
    <vt:lpwstr>Confidential</vt:lpwstr>
  </property>
  <property fmtid="{D5CDD505-2E9C-101B-9397-08002B2CF9AE}" pid="6" name="MSIP_Label_bff60613-a741-4790-ba46-c6813ca61c58_SiteId">
    <vt:lpwstr>568a5434-7d3f-4714-b824-fe722e2748c0</vt:lpwstr>
  </property>
  <property fmtid="{D5CDD505-2E9C-101B-9397-08002B2CF9AE}" pid="7" name="MSIP_Label_bff60613-a741-4790-ba46-c6813ca61c58_ActionId">
    <vt:lpwstr>92bd0175-96c6-4906-af33-09197aaf0fc3</vt:lpwstr>
  </property>
  <property fmtid="{D5CDD505-2E9C-101B-9397-08002B2CF9AE}" pid="8" name="MSIP_Label_bff60613-a741-4790-ba46-c6813ca61c58_ContentBits">
    <vt:lpwstr>0</vt:lpwstr>
  </property>
  <property fmtid="{D5CDD505-2E9C-101B-9397-08002B2CF9AE}" pid="9" name="MSIP_Label_bff60613-a741-4790-ba46-c6813ca61c58_Tag">
    <vt:lpwstr>10, 3, 0, 1</vt:lpwstr>
  </property>
  <property fmtid="{D5CDD505-2E9C-101B-9397-08002B2CF9AE}" pid="10" name="mcClient">
    <vt:lpwstr/>
  </property>
  <property fmtid="{D5CDD505-2E9C-101B-9397-08002B2CF9AE}" pid="11" name="MediaServiceImageTags">
    <vt:lpwstr/>
  </property>
  <property fmtid="{D5CDD505-2E9C-101B-9397-08002B2CF9AE}" pid="12" name="ContentTypeId">
    <vt:lpwstr>0x01010089AB591AB1016B4F8F529114CCFB6EDE0200C1BDA40B17C86E449BEE61798F6D31EE</vt:lpwstr>
  </property>
  <property fmtid="{D5CDD505-2E9C-101B-9397-08002B2CF9AE}" pid="13" name="mcDocumentType">
    <vt:lpwstr/>
  </property>
  <property fmtid="{D5CDD505-2E9C-101B-9397-08002B2CF9AE}" pid="14" name="mcTransaction">
    <vt:lpwstr/>
  </property>
  <property fmtid="{D5CDD505-2E9C-101B-9397-08002B2CF9AE}" pid="15" name="j6f2c4af1a6d43cb8c6e2dd8c5f0659a">
    <vt:lpwstr/>
  </property>
  <property fmtid="{D5CDD505-2E9C-101B-9397-08002B2CF9AE}" pid="16" name="mcAlignedGroup">
    <vt:lpwstr/>
  </property>
  <property fmtid="{D5CDD505-2E9C-101B-9397-08002B2CF9AE}" pid="17" name="_dlc_DocIdItemGuid">
    <vt:lpwstr>02ed7340-cc8c-4bbc-9309-21eb9d4720b4</vt:lpwstr>
  </property>
  <property fmtid="{D5CDD505-2E9C-101B-9397-08002B2CF9AE}" pid="19" name="_NewReviewCycle">
    <vt:lpwstr/>
  </property>
</Properties>
</file>