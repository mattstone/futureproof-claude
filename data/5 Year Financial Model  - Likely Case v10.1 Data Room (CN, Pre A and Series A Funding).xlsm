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a47f0c1f3f8b00b/Desktop/John Innes/Futureproof/Budgets/"/>
    </mc:Choice>
  </mc:AlternateContent>
  <xr:revisionPtr revIDLastSave="24" documentId="8_{8C89DE1F-2364-40D5-B733-AEA4D4102059}" xr6:coauthVersionLast="47" xr6:coauthVersionMax="47" xr10:uidLastSave="{16EAD0CC-51AC-4941-86DD-EA0D7206D645}"/>
  <bookViews>
    <workbookView xWindow="-98" yWindow="-98" windowWidth="24496" windowHeight="15675" tabRatio="773" activeTab="2" xr2:uid="{00000000-000D-0000-FFFF-FFFF00000000}"/>
  </bookViews>
  <sheets>
    <sheet name="Assumptions" sheetId="78" r:id="rId1"/>
    <sheet name="P&amp;L" sheetId="26" r:id="rId2"/>
    <sheet name="Cash Movement + Fund Injection" sheetId="77" r:id="rId3"/>
    <sheet name="develop. of royalties(not Used)" sheetId="67" state="hidden" r:id="rId4"/>
    <sheet name="HR" sheetId="36" state="hidden" r:id="rId5"/>
    <sheet name="Detail" sheetId="37" state="hidden" r:id="rId6"/>
    <sheet name="FeeLic&amp;Roy" sheetId="44" state="hidden" r:id="rId7"/>
    <sheet name="FPFeeEscalation US" sheetId="82" state="hidden" r:id="rId8"/>
    <sheet name="EPM US" sheetId="79" state="hidden" r:id="rId9"/>
    <sheet name="FPFeeEscalation UK_AP" sheetId="83" state="hidden" r:id="rId10"/>
    <sheet name="EPM UK_APAC" sheetId="84" state="hidden" r:id="rId11"/>
    <sheet name="TvlBAU-Regional" sheetId="69" state="hidden" r:id="rId12"/>
  </sheets>
  <definedNames>
    <definedName name="_xleta.SUM" hidden="1" xlm="1">#NAME?</definedName>
    <definedName name="Admin_Fees">#REF!</definedName>
    <definedName name="App_Fees">#REF!</definedName>
    <definedName name="asp_profit_margin" localSheetId="2">#N/A</definedName>
    <definedName name="asp_profit_margin">#REF!</definedName>
    <definedName name="aspratio" localSheetId="2">#N/A</definedName>
    <definedName name="aspratio">#REF!</definedName>
    <definedName name="AUD_USD" localSheetId="2">#N/A</definedName>
    <definedName name="AUD_USD">Assumptions!#REF!</definedName>
    <definedName name="Capital_Tuning_Parameters">#REF!</definedName>
    <definedName name="capitalreturn" localSheetId="2">#N/A</definedName>
    <definedName name="capitalreturn">#REF!</definedName>
    <definedName name="Cash_1st6mth">#REF!</definedName>
    <definedName name="Conferences_Annual">Assumptions!$D$70</definedName>
    <definedName name="DivPaid_PerCent" localSheetId="2">#N/A</definedName>
    <definedName name="DivPaid_PerCent">Assumptions!#REF!</definedName>
    <definedName name="Enter_FTE" localSheetId="2">#N/A</definedName>
    <definedName name="Enter_FTE">Assumptions!$D$74</definedName>
    <definedName name="Equity_Tuning_Parameters">#REF!</definedName>
    <definedName name="exp_index" localSheetId="2">#N/A</definedName>
    <definedName name="exp_index">Assumptions!$D$82</definedName>
    <definedName name="External_Index">#REF!</definedName>
    <definedName name="External_Payments" localSheetId="2">#N/A</definedName>
    <definedName name="External_Payments">#REF!</definedName>
    <definedName name="Fund_Earnings" localSheetId="2">#N/A</definedName>
    <definedName name="Fund_Earnings">#REF!</definedName>
    <definedName name="House_Index" localSheetId="2">#N/A</definedName>
    <definedName name="House_Index">#REF!</definedName>
    <definedName name="House_IndexUsed">#REF!</definedName>
    <definedName name="House_MV" localSheetId="2">#N/A</definedName>
    <definedName name="House_MV">#REF!</definedName>
    <definedName name="HQ_Trip_Per_Person">Assumptions!$D$76</definedName>
    <definedName name="implement_profit_margin" localSheetId="2">#N/A</definedName>
    <definedName name="implement_profit_margin">#REF!</definedName>
    <definedName name="Inc_LVR_invest">#REF!</definedName>
    <definedName name="Inc_LVR_invest_Subs">#REF!</definedName>
    <definedName name="income_deficit" localSheetId="2">#N/A</definedName>
    <definedName name="income_deficit">#REF!</definedName>
    <definedName name="Income_LVR">#REF!</definedName>
    <definedName name="Income_LVR_Subs">#REF!</definedName>
    <definedName name="income_surplus">#REF!</definedName>
    <definedName name="Income_Tuning_Parameters">#REF!</definedName>
    <definedName name="Initial_Interest" localSheetId="2">#N/A</definedName>
    <definedName name="Initial_Interest">#REF!</definedName>
    <definedName name="Insurance_Annual">Assumptions!$D$85</definedName>
    <definedName name="Insurance_FTE" localSheetId="2">#N/A</definedName>
    <definedName name="Insurance_FTE">#REF!</definedName>
    <definedName name="InterSys_Once" localSheetId="2">#N/A</definedName>
    <definedName name="InterSys_Once">#REF!</definedName>
    <definedName name="InterSys_PA" localSheetId="2">#N/A</definedName>
    <definedName name="InterSys_PA">#REF!</definedName>
    <definedName name="IntLic_Multi" localSheetId="2">#N/A</definedName>
    <definedName name="IntLic_Multi">#REF!</definedName>
    <definedName name="Inv_account_def">#REF!</definedName>
    <definedName name="Inv_account_surplus">#REF!</definedName>
    <definedName name="Investment_account">#REF!</definedName>
    <definedName name="Lending_Margin" localSheetId="2">#N/A</definedName>
    <definedName name="Lending_Margin">#REF!</definedName>
    <definedName name="loan_account_def">#REF!</definedName>
    <definedName name="loan_account_surplus">#REF!</definedName>
    <definedName name="Loan_Amt" localSheetId="2">#N/A</definedName>
    <definedName name="Loan_Amt">#REF!</definedName>
    <definedName name="Loan_LVR" localSheetId="2">#N/A</definedName>
    <definedName name="Loan_LVR">#REF!</definedName>
    <definedName name="Loan_LVR_Subs">#REF!</definedName>
    <definedName name="LS_LVR">#REF!</definedName>
    <definedName name="LS_LVR_invest">#REF!</definedName>
    <definedName name="LS_LVR_invest_Subs">#REF!</definedName>
    <definedName name="LS_LVR_Subs">#REF!</definedName>
    <definedName name="MER" localSheetId="2">#N/A</definedName>
    <definedName name="MER">#REF!</definedName>
    <definedName name="MgtBonus_PerCent" localSheetId="2">#N/A</definedName>
    <definedName name="MgtBonus_PerCent">#REF!</definedName>
    <definedName name="Mortgage_Interest" localSheetId="2">#N/A</definedName>
    <definedName name="Mortgage_Interest">#REF!</definedName>
    <definedName name="NetEOTBalance">#REF!</definedName>
    <definedName name="Non_reval_period">#REF!</definedName>
    <definedName name="Office_Annual">Assumptions!$D$66</definedName>
    <definedName name="Ongoing_Interest">#REF!</definedName>
    <definedName name="Other_Tuning_Parameters">#REF!</definedName>
    <definedName name="Pay_Index">#REF!</definedName>
    <definedName name="PC_Annual" localSheetId="2">#N/A</definedName>
    <definedName name="PC_Annual">Assumptions!$D$58</definedName>
    <definedName name="Period" localSheetId="2">#N/A</definedName>
    <definedName name="Period">#REF!</definedName>
    <definedName name="PeriodUsed">#REF!</definedName>
    <definedName name="Position" localSheetId="2">#N/A</definedName>
    <definedName name="Position" localSheetId="6">'FeeLic&amp;Roy'!#REF!</definedName>
    <definedName name="Position">HR!$C$5:$C$45</definedName>
    <definedName name="Postage_Annual">Assumptions!$D$68</definedName>
    <definedName name="Print_Annual">Assumptions!$D$62</definedName>
    <definedName name="_xlnm.Print_Area" localSheetId="2">'Cash Movement + Fund Injection'!$A$1:$K$59</definedName>
    <definedName name="_xlnm.Print_Area" localSheetId="5">Detail!$A$1:$B$55</definedName>
    <definedName name="_xlnm.Print_Area" localSheetId="3">'develop. of royalties(not Used)'!$B$1:$Z$27</definedName>
    <definedName name="_xlnm.Print_Area" localSheetId="6">'FeeLic&amp;Roy'!$A$1:$J$41</definedName>
    <definedName name="_xlnm.Print_Area" localSheetId="4">HR!$B$49:$K$160</definedName>
    <definedName name="_xlnm.Print_Area" localSheetId="1">'P&amp;L'!$A$1:$K$62</definedName>
    <definedName name="_xlnm.Print_Area" localSheetId="11">'TvlBAU-Regional'!$A$1:$I$60</definedName>
    <definedName name="Prudential_Margin">#REF!</definedName>
    <definedName name="Region" localSheetId="2">#N/A</definedName>
    <definedName name="Region" localSheetId="6">'FeeLic&amp;Roy'!$BF$3:$BF$7</definedName>
    <definedName name="Region">HR!$R$4:$R$8</definedName>
    <definedName name="Rent_Monthly">Assumptions!$D$60</definedName>
    <definedName name="Return_of_capital">#REF!</definedName>
    <definedName name="Reval_Income">#REF!</definedName>
    <definedName name="Reval_Income_initial">#REF!</definedName>
    <definedName name="Revaluing_Fee">#REF!</definedName>
    <definedName name="Route" localSheetId="2">#N/A</definedName>
    <definedName name="Route" localSheetId="11">'TvlBAU-Regional'!$B$4:$B$25</definedName>
    <definedName name="Route">#REF!</definedName>
    <definedName name="Royalty_Initial" localSheetId="2">#N/A</definedName>
    <definedName name="Royalty_Initial">#REF!</definedName>
    <definedName name="Royalty_Ongoing">#REF!</definedName>
    <definedName name="Royalty_payment" localSheetId="2">#N/A</definedName>
    <definedName name="Royalty_payment">#REF!</definedName>
    <definedName name="Sale_Travel_Per_Licensee">Assumptions!$D$79</definedName>
    <definedName name="solver_adj" localSheetId="0" hidden="1">Assumptions!$AK$10</definedName>
    <definedName name="solver_adj" localSheetId="10" hidden="1">'EPM UK_APAC'!$AK$11</definedName>
    <definedName name="solver_adj" localSheetId="8" hidden="1">'EPM US'!$AK$11</definedName>
    <definedName name="solver_cvg" localSheetId="10" hidden="1">0.0001</definedName>
    <definedName name="solver_cvg" localSheetId="8" hidden="1">0.0001</definedName>
    <definedName name="solver_drv" localSheetId="10" hidden="1">1</definedName>
    <definedName name="solver_drv" localSheetId="8" hidden="1">1</definedName>
    <definedName name="solver_eng" localSheetId="0" hidden="1">1</definedName>
    <definedName name="solver_eng" localSheetId="10" hidden="1">1</definedName>
    <definedName name="solver_eng" localSheetId="8" hidden="1">1</definedName>
    <definedName name="solver_est" localSheetId="10" hidden="1">1</definedName>
    <definedName name="solver_est" localSheetId="8" hidden="1">1</definedName>
    <definedName name="solver_itr" localSheetId="10" hidden="1">2147483647</definedName>
    <definedName name="solver_itr" localSheetId="8" hidden="1">2147483647</definedName>
    <definedName name="solver_lhs1" localSheetId="10" hidden="1">'EPM UK_APAC'!$AK$11</definedName>
    <definedName name="solver_lhs1" localSheetId="8" hidden="1">'EPM US'!$AK$11</definedName>
    <definedName name="solver_lhs2" localSheetId="10" hidden="1">'EPM UK_APAC'!$E$6</definedName>
    <definedName name="solver_lhs2" localSheetId="8" hidden="1">'EPM US'!$E$6</definedName>
    <definedName name="solver_mip" localSheetId="10" hidden="1">2147483647</definedName>
    <definedName name="solver_mip" localSheetId="8" hidden="1">2147483647</definedName>
    <definedName name="solver_mni" localSheetId="10" hidden="1">30</definedName>
    <definedName name="solver_mni" localSheetId="8" hidden="1">30</definedName>
    <definedName name="solver_mrt" localSheetId="10" hidden="1">0.075</definedName>
    <definedName name="solver_mrt" localSheetId="8" hidden="1">0.075</definedName>
    <definedName name="solver_msl" localSheetId="10" hidden="1">2</definedName>
    <definedName name="solver_msl" localSheetId="8" hidden="1">2</definedName>
    <definedName name="solver_neg" localSheetId="0" hidden="1">1</definedName>
    <definedName name="solver_neg" localSheetId="10" hidden="1">1</definedName>
    <definedName name="solver_neg" localSheetId="8" hidden="1">1</definedName>
    <definedName name="solver_nod" localSheetId="10" hidden="1">2147483647</definedName>
    <definedName name="solver_nod" localSheetId="8" hidden="1">2147483647</definedName>
    <definedName name="solver_num" localSheetId="0" hidden="1">1</definedName>
    <definedName name="solver_num" localSheetId="10" hidden="1">2</definedName>
    <definedName name="solver_num" localSheetId="8" hidden="1">2</definedName>
    <definedName name="solver_nwt" localSheetId="10" hidden="1">1</definedName>
    <definedName name="solver_nwt" localSheetId="8" hidden="1">1</definedName>
    <definedName name="solver_opt" localSheetId="0" hidden="1">Assumptions!$O$18</definedName>
    <definedName name="solver_opt" localSheetId="10" hidden="1">'EPM UK_APAC'!$O$19</definedName>
    <definedName name="solver_opt" localSheetId="8" hidden="1">'EPM US'!$O$19</definedName>
    <definedName name="solver_pre" localSheetId="10" hidden="1">0.000001</definedName>
    <definedName name="solver_pre" localSheetId="8" hidden="1">0.000001</definedName>
    <definedName name="solver_rbv" localSheetId="10" hidden="1">1</definedName>
    <definedName name="solver_rbv" localSheetId="8" hidden="1">1</definedName>
    <definedName name="solver_rel1" localSheetId="10" hidden="1">1</definedName>
    <definedName name="solver_rel1" localSheetId="8" hidden="1">1</definedName>
    <definedName name="solver_rel2" localSheetId="10" hidden="1">3</definedName>
    <definedName name="solver_rel2" localSheetId="8" hidden="1">3</definedName>
    <definedName name="solver_rhs1" localSheetId="10" hidden="1">7.5%</definedName>
    <definedName name="solver_rhs1" localSheetId="8" hidden="1">7.5%</definedName>
    <definedName name="solver_rhs2" localSheetId="10" hidden="1">0</definedName>
    <definedName name="solver_rhs2" localSheetId="8" hidden="1">0</definedName>
    <definedName name="solver_rlx" localSheetId="10" hidden="1">2</definedName>
    <definedName name="solver_rlx" localSheetId="8" hidden="1">2</definedName>
    <definedName name="solver_rsd" localSheetId="10" hidden="1">0</definedName>
    <definedName name="solver_rsd" localSheetId="8" hidden="1">0</definedName>
    <definedName name="solver_scl" localSheetId="10" hidden="1">1</definedName>
    <definedName name="solver_scl" localSheetId="8" hidden="1">1</definedName>
    <definedName name="solver_sho" localSheetId="10" hidden="1">2</definedName>
    <definedName name="solver_sho" localSheetId="8" hidden="1">2</definedName>
    <definedName name="solver_ssz" localSheetId="10" hidden="1">100</definedName>
    <definedName name="solver_ssz" localSheetId="8" hidden="1">100</definedName>
    <definedName name="solver_tim" localSheetId="10" hidden="1">2147483647</definedName>
    <definedName name="solver_tim" localSheetId="8" hidden="1">2147483647</definedName>
    <definedName name="solver_tol" localSheetId="10" hidden="1">0.01</definedName>
    <definedName name="solver_tol" localSheetId="8" hidden="1">0.01</definedName>
    <definedName name="solver_typ" localSheetId="0" hidden="1">3</definedName>
    <definedName name="solver_typ" localSheetId="10" hidden="1">3</definedName>
    <definedName name="solver_typ" localSheetId="8" hidden="1">3</definedName>
    <definedName name="solver_val" localSheetId="0" hidden="1">0</definedName>
    <definedName name="solver_val" localSheetId="10" hidden="1">0</definedName>
    <definedName name="solver_val" localSheetId="8" hidden="1">0</definedName>
    <definedName name="solver_ver" localSheetId="0" hidden="1">3</definedName>
    <definedName name="solver_ver" localSheetId="10" hidden="1">3</definedName>
    <definedName name="solver_ver" localSheetId="8" hidden="1">3</definedName>
    <definedName name="SolverEOTLoan">#REF!</definedName>
    <definedName name="Sundry_Annual">Assumptions!$D$72</definedName>
    <definedName name="TelCom_Annual" localSheetId="2">#N/A</definedName>
    <definedName name="TelCom_Annual">Assumptions!$D$64</definedName>
    <definedName name="Term_Years" localSheetId="2">#N/A</definedName>
    <definedName name="Term_Years">#REF!</definedName>
    <definedName name="termination_rate" localSheetId="2">#N/A</definedName>
    <definedName name="termination_rate" localSheetId="9">'FPFeeEscalation UK_AP'!$D$57</definedName>
    <definedName name="termination_rate" localSheetId="7">'FPFeeEscalation US'!$D$57</definedName>
    <definedName name="termination_rate">#REF!</definedName>
    <definedName name="Tolerance" localSheetId="2">#N/A</definedName>
    <definedName name="Tolerance">#REF!</definedName>
    <definedName name="Tot_Inc_LVR">#REF!</definedName>
    <definedName name="Tot_Inc_LVR_Subs">#REF!</definedName>
    <definedName name="Tot_LS_LVR">#REF!</definedName>
    <definedName name="Tot_LS_LVR_Subs">#REF!</definedName>
    <definedName name="Tvl_PerSale" localSheetId="2">#N/A</definedName>
    <definedName name="Tvl_PerSal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0" i="37" l="1"/>
  <c r="AF10" i="37" s="1"/>
  <c r="C10" i="26" s="1"/>
  <c r="I9" i="37"/>
  <c r="W10" i="37"/>
  <c r="V10" i="37"/>
  <c r="U10" i="37"/>
  <c r="I10" i="37"/>
  <c r="H10" i="37"/>
  <c r="G10" i="37"/>
  <c r="F10" i="37"/>
  <c r="AH10" i="37" s="1"/>
  <c r="E10" i="26" s="1"/>
  <c r="E10" i="37"/>
  <c r="T10" i="37"/>
  <c r="AF13" i="37"/>
  <c r="AG13" i="37"/>
  <c r="AH13" i="37"/>
  <c r="AI13" i="37"/>
  <c r="AJ13" i="37"/>
  <c r="AK13" i="37"/>
  <c r="I15" i="77"/>
  <c r="H15" i="77"/>
  <c r="G15" i="77"/>
  <c r="F15" i="77"/>
  <c r="E15" i="77"/>
  <c r="Y41" i="37"/>
  <c r="F21" i="36"/>
  <c r="F19" i="36"/>
  <c r="F16" i="36"/>
  <c r="F14" i="36"/>
  <c r="F13" i="36"/>
  <c r="F12" i="36"/>
  <c r="F11" i="36"/>
  <c r="F10" i="36"/>
  <c r="F9" i="36"/>
  <c r="F8" i="36"/>
  <c r="F7" i="36"/>
  <c r="F6" i="36"/>
  <c r="K13" i="37"/>
  <c r="L13" i="37"/>
  <c r="M13" i="37"/>
  <c r="N13" i="37"/>
  <c r="O13" i="37"/>
  <c r="P13" i="37"/>
  <c r="R13" i="37"/>
  <c r="S13" i="37"/>
  <c r="T13" i="37"/>
  <c r="U13" i="37"/>
  <c r="V13" i="37"/>
  <c r="W13" i="37"/>
  <c r="Y13" i="37"/>
  <c r="Z13" i="37"/>
  <c r="AA13" i="37"/>
  <c r="AB13" i="37"/>
  <c r="AC13" i="37"/>
  <c r="AD13" i="37"/>
  <c r="AG10" i="37" l="1"/>
  <c r="D10" i="26" s="1"/>
  <c r="AK10" i="37"/>
  <c r="H10" i="26" s="1"/>
  <c r="AJ10" i="37"/>
  <c r="G10" i="26" s="1"/>
  <c r="AI10" i="37"/>
  <c r="F10" i="26" s="1"/>
  <c r="J10" i="26" s="1"/>
  <c r="J12" i="77" s="1"/>
  <c r="K12" i="77"/>
  <c r="C12" i="77"/>
  <c r="B12" i="77"/>
  <c r="AD38" i="44"/>
  <c r="AA38" i="44"/>
  <c r="J38" i="44"/>
  <c r="E23" i="44"/>
  <c r="E24" i="44" s="1"/>
  <c r="K116" i="36" l="1"/>
  <c r="J116" i="36"/>
  <c r="I116" i="36"/>
  <c r="H116" i="36"/>
  <c r="G116" i="36"/>
  <c r="F116" i="36"/>
  <c r="E116" i="36"/>
  <c r="D116" i="36"/>
  <c r="C116" i="36"/>
  <c r="D61" i="36"/>
  <c r="C61" i="36"/>
  <c r="C60" i="36"/>
  <c r="K15" i="36"/>
  <c r="E15" i="36"/>
  <c r="I15" i="36" s="1"/>
  <c r="AK9" i="37"/>
  <c r="AJ9" i="37"/>
  <c r="G9" i="26" s="1"/>
  <c r="AI9" i="37"/>
  <c r="AH9" i="37"/>
  <c r="E9" i="26" s="1"/>
  <c r="AG9" i="37"/>
  <c r="AF9" i="37"/>
  <c r="C9" i="26" s="1"/>
  <c r="Y11" i="37"/>
  <c r="AF11" i="37" s="1"/>
  <c r="AF31" i="37"/>
  <c r="C31" i="26" s="1"/>
  <c r="D33" i="77" s="1"/>
  <c r="W31" i="37"/>
  <c r="V31" i="37"/>
  <c r="U31" i="37"/>
  <c r="T31" i="37"/>
  <c r="I31" i="37"/>
  <c r="H31" i="37"/>
  <c r="G31" i="37"/>
  <c r="F31" i="37"/>
  <c r="E31" i="37"/>
  <c r="AG31" i="37" s="1"/>
  <c r="D31" i="26" s="1"/>
  <c r="E33" i="77" s="1"/>
  <c r="Z43" i="37"/>
  <c r="B6" i="36"/>
  <c r="B7" i="36" s="1"/>
  <c r="Z39" i="37"/>
  <c r="F115" i="36"/>
  <c r="D115" i="36"/>
  <c r="C115" i="36"/>
  <c r="D60" i="36"/>
  <c r="E14" i="36"/>
  <c r="E60" i="36" s="1"/>
  <c r="E13" i="36"/>
  <c r="E59" i="36" s="1"/>
  <c r="C11" i="26"/>
  <c r="F9" i="26"/>
  <c r="D9" i="26"/>
  <c r="B11" i="26"/>
  <c r="B13" i="77" s="1"/>
  <c r="B9" i="26"/>
  <c r="B11" i="77" s="1"/>
  <c r="B31" i="26"/>
  <c r="B33" i="77" s="1"/>
  <c r="F118" i="36"/>
  <c r="F119" i="36"/>
  <c r="F121" i="36"/>
  <c r="F123" i="36"/>
  <c r="F124" i="36"/>
  <c r="F125" i="36"/>
  <c r="F126" i="36"/>
  <c r="F127" i="36"/>
  <c r="F128" i="36"/>
  <c r="F129" i="36"/>
  <c r="F130" i="36"/>
  <c r="F131" i="36"/>
  <c r="F132" i="36"/>
  <c r="F133" i="36"/>
  <c r="F134" i="36"/>
  <c r="F135" i="36"/>
  <c r="F136" i="36"/>
  <c r="F137" i="36"/>
  <c r="F138" i="36"/>
  <c r="F139" i="36"/>
  <c r="F140" i="36"/>
  <c r="F141" i="36"/>
  <c r="F142" i="36"/>
  <c r="F143" i="36"/>
  <c r="F144" i="36"/>
  <c r="F145" i="36"/>
  <c r="F146" i="36"/>
  <c r="C107" i="36"/>
  <c r="D107" i="36"/>
  <c r="C108" i="36"/>
  <c r="D108" i="36"/>
  <c r="C109" i="36"/>
  <c r="D109" i="36"/>
  <c r="C110" i="36"/>
  <c r="D110" i="36"/>
  <c r="C111" i="36"/>
  <c r="D111" i="36"/>
  <c r="C112" i="36"/>
  <c r="D112" i="36"/>
  <c r="C113" i="36"/>
  <c r="D113" i="36"/>
  <c r="C114" i="36"/>
  <c r="D114" i="36"/>
  <c r="E114" i="36"/>
  <c r="C117" i="36"/>
  <c r="D117" i="36"/>
  <c r="E117" i="36"/>
  <c r="C118" i="36"/>
  <c r="D118" i="36"/>
  <c r="E118" i="36"/>
  <c r="C119" i="36"/>
  <c r="D119" i="36"/>
  <c r="E119" i="36"/>
  <c r="C120" i="36"/>
  <c r="D120" i="36"/>
  <c r="E120" i="36"/>
  <c r="C121" i="36"/>
  <c r="D121" i="36"/>
  <c r="C122" i="36"/>
  <c r="D122" i="36"/>
  <c r="E122" i="36"/>
  <c r="C123" i="36"/>
  <c r="D123" i="36"/>
  <c r="E123" i="36"/>
  <c r="C124" i="36"/>
  <c r="D124" i="36"/>
  <c r="E124" i="36"/>
  <c r="C125" i="36"/>
  <c r="D125" i="36"/>
  <c r="E125" i="36"/>
  <c r="C126" i="36"/>
  <c r="D126" i="36"/>
  <c r="E126" i="36"/>
  <c r="C127" i="36"/>
  <c r="D127" i="36"/>
  <c r="E127" i="36"/>
  <c r="C128" i="36"/>
  <c r="D128" i="36"/>
  <c r="E128" i="36"/>
  <c r="C129" i="36"/>
  <c r="D129" i="36"/>
  <c r="C130" i="36"/>
  <c r="D130" i="36"/>
  <c r="C131" i="36"/>
  <c r="D131" i="36"/>
  <c r="E131" i="36"/>
  <c r="C132" i="36"/>
  <c r="D132" i="36"/>
  <c r="E132" i="36"/>
  <c r="C133" i="36"/>
  <c r="D133" i="36"/>
  <c r="E133" i="36"/>
  <c r="C134" i="36"/>
  <c r="D134" i="36"/>
  <c r="E134" i="36"/>
  <c r="C135" i="36"/>
  <c r="D135" i="36"/>
  <c r="E135" i="36"/>
  <c r="C136" i="36"/>
  <c r="D136" i="36"/>
  <c r="E136" i="36"/>
  <c r="C137" i="36"/>
  <c r="D137" i="36"/>
  <c r="E137" i="36"/>
  <c r="C138" i="36"/>
  <c r="D138" i="36"/>
  <c r="E138" i="36"/>
  <c r="C139" i="36"/>
  <c r="D139" i="36"/>
  <c r="E139" i="36"/>
  <c r="C140" i="36"/>
  <c r="D140" i="36"/>
  <c r="E140" i="36"/>
  <c r="C141" i="36"/>
  <c r="D141" i="36"/>
  <c r="E141" i="36"/>
  <c r="C142" i="36"/>
  <c r="D142" i="36"/>
  <c r="C143" i="36"/>
  <c r="D143" i="36"/>
  <c r="E143" i="36"/>
  <c r="C144" i="36"/>
  <c r="D144" i="36"/>
  <c r="E144" i="36"/>
  <c r="C145" i="36"/>
  <c r="D145" i="36"/>
  <c r="E145" i="36"/>
  <c r="C146" i="36"/>
  <c r="D146" i="36"/>
  <c r="E146" i="36"/>
  <c r="C52" i="36"/>
  <c r="D52" i="36"/>
  <c r="C53" i="36"/>
  <c r="D53" i="36"/>
  <c r="C54" i="36"/>
  <c r="D54" i="36"/>
  <c r="C55" i="36"/>
  <c r="D55" i="36"/>
  <c r="C56" i="36"/>
  <c r="D56" i="36"/>
  <c r="C57" i="36"/>
  <c r="D57" i="36"/>
  <c r="C58" i="36"/>
  <c r="D58" i="36"/>
  <c r="C59" i="36"/>
  <c r="D59" i="36"/>
  <c r="C62" i="36"/>
  <c r="D62" i="36"/>
  <c r="E62" i="36"/>
  <c r="C63" i="36"/>
  <c r="D63" i="36"/>
  <c r="E63" i="36"/>
  <c r="C64" i="36"/>
  <c r="D64" i="36"/>
  <c r="E64" i="36"/>
  <c r="C65" i="36"/>
  <c r="D65" i="36"/>
  <c r="E65" i="36"/>
  <c r="C66" i="36"/>
  <c r="D66" i="36"/>
  <c r="C67" i="36"/>
  <c r="D67" i="36"/>
  <c r="E67" i="36"/>
  <c r="C68" i="36"/>
  <c r="D68" i="36"/>
  <c r="E68" i="36"/>
  <c r="C69" i="36"/>
  <c r="D69" i="36"/>
  <c r="E69" i="36"/>
  <c r="C70" i="36"/>
  <c r="D70" i="36"/>
  <c r="E70" i="36"/>
  <c r="C71" i="36"/>
  <c r="D71" i="36"/>
  <c r="E71" i="36"/>
  <c r="C72" i="36"/>
  <c r="D72" i="36"/>
  <c r="E72" i="36"/>
  <c r="C73" i="36"/>
  <c r="D73" i="36"/>
  <c r="E73" i="36"/>
  <c r="C74" i="36"/>
  <c r="D74" i="36"/>
  <c r="C75" i="36"/>
  <c r="D75" i="36"/>
  <c r="C76" i="36"/>
  <c r="D76" i="36"/>
  <c r="E76" i="36"/>
  <c r="C77" i="36"/>
  <c r="D77" i="36"/>
  <c r="E77" i="36"/>
  <c r="C78" i="36"/>
  <c r="D78" i="36"/>
  <c r="E78" i="36"/>
  <c r="C79" i="36"/>
  <c r="D79" i="36"/>
  <c r="E79" i="36"/>
  <c r="C80" i="36"/>
  <c r="D80" i="36"/>
  <c r="E80" i="36"/>
  <c r="C81" i="36"/>
  <c r="D81" i="36"/>
  <c r="E81" i="36"/>
  <c r="C82" i="36"/>
  <c r="D82" i="36"/>
  <c r="E82" i="36"/>
  <c r="C83" i="36"/>
  <c r="D83" i="36"/>
  <c r="E83" i="36"/>
  <c r="C84" i="36"/>
  <c r="D84" i="36"/>
  <c r="E84" i="36"/>
  <c r="C85" i="36"/>
  <c r="D85" i="36"/>
  <c r="E85" i="36"/>
  <c r="C86" i="36"/>
  <c r="D86" i="36"/>
  <c r="E86" i="36"/>
  <c r="C87" i="36"/>
  <c r="D87" i="36"/>
  <c r="C88" i="36"/>
  <c r="D88" i="36"/>
  <c r="E88" i="36"/>
  <c r="C89" i="36"/>
  <c r="D89" i="36"/>
  <c r="E89" i="36"/>
  <c r="C90" i="36"/>
  <c r="D90" i="36"/>
  <c r="E90" i="36"/>
  <c r="C91" i="36"/>
  <c r="D91" i="36"/>
  <c r="E91" i="36"/>
  <c r="E53" i="36"/>
  <c r="E8" i="36"/>
  <c r="E54" i="36" s="1"/>
  <c r="E9" i="36"/>
  <c r="E55" i="36" s="1"/>
  <c r="E10" i="36"/>
  <c r="G10" i="36" s="1"/>
  <c r="G111" i="36" s="1"/>
  <c r="E11" i="36"/>
  <c r="E57" i="36" s="1"/>
  <c r="E12" i="36"/>
  <c r="E58" i="36" s="1"/>
  <c r="E6" i="36"/>
  <c r="E107" i="36" s="1"/>
  <c r="E20" i="36"/>
  <c r="G20" i="36" s="1"/>
  <c r="G121" i="36" s="1"/>
  <c r="E28" i="36"/>
  <c r="E74" i="36" s="1"/>
  <c r="E29" i="36"/>
  <c r="E75" i="36" s="1"/>
  <c r="E41" i="36"/>
  <c r="E87" i="36" s="1"/>
  <c r="G18" i="36"/>
  <c r="G119" i="36" s="1"/>
  <c r="K24" i="36"/>
  <c r="K125" i="36" s="1"/>
  <c r="I26" i="36"/>
  <c r="I127" i="36" s="1"/>
  <c r="G31" i="36"/>
  <c r="G132" i="36" s="1"/>
  <c r="H34" i="36"/>
  <c r="H135" i="36" s="1"/>
  <c r="G39" i="36"/>
  <c r="G140" i="36" s="1"/>
  <c r="G42" i="36"/>
  <c r="G143" i="36" s="1"/>
  <c r="H18" i="36"/>
  <c r="H119" i="36" s="1"/>
  <c r="F106" i="36"/>
  <c r="F122" i="36"/>
  <c r="F114" i="36"/>
  <c r="H31" i="36"/>
  <c r="H132" i="36" s="1"/>
  <c r="I32" i="36"/>
  <c r="I133" i="36" s="1"/>
  <c r="K32" i="36"/>
  <c r="K133" i="36" s="1"/>
  <c r="G33" i="36"/>
  <c r="G134" i="36" s="1"/>
  <c r="H33" i="36"/>
  <c r="H134" i="36" s="1"/>
  <c r="I33" i="36"/>
  <c r="I134" i="36" s="1"/>
  <c r="J33" i="36"/>
  <c r="J134" i="36" s="1"/>
  <c r="K33" i="36"/>
  <c r="K134" i="36" s="1"/>
  <c r="G34" i="36"/>
  <c r="G135" i="36" s="1"/>
  <c r="I34" i="36"/>
  <c r="I135" i="36" s="1"/>
  <c r="G35" i="36"/>
  <c r="G136" i="36" s="1"/>
  <c r="H35" i="36"/>
  <c r="H136" i="36" s="1"/>
  <c r="I35" i="36"/>
  <c r="I136" i="36" s="1"/>
  <c r="J35" i="36"/>
  <c r="J136" i="36" s="1"/>
  <c r="K35" i="36"/>
  <c r="K136" i="36" s="1"/>
  <c r="G36" i="36"/>
  <c r="G137" i="36" s="1"/>
  <c r="H36" i="36"/>
  <c r="H137" i="36" s="1"/>
  <c r="I36" i="36"/>
  <c r="I137" i="36" s="1"/>
  <c r="J36" i="36"/>
  <c r="J137" i="36" s="1"/>
  <c r="K36" i="36"/>
  <c r="K137" i="36" s="1"/>
  <c r="G37" i="36"/>
  <c r="G138" i="36" s="1"/>
  <c r="H37" i="36"/>
  <c r="H138" i="36" s="1"/>
  <c r="I37" i="36"/>
  <c r="I138" i="36" s="1"/>
  <c r="J37" i="36"/>
  <c r="J138" i="36" s="1"/>
  <c r="K37" i="36"/>
  <c r="K138" i="36" s="1"/>
  <c r="G38" i="36"/>
  <c r="G139" i="36" s="1"/>
  <c r="H38" i="36"/>
  <c r="H139" i="36" s="1"/>
  <c r="I38" i="36"/>
  <c r="I139" i="36" s="1"/>
  <c r="J38" i="36"/>
  <c r="J139" i="36" s="1"/>
  <c r="K38" i="36"/>
  <c r="K139" i="36" s="1"/>
  <c r="H39" i="36"/>
  <c r="H140" i="36" s="1"/>
  <c r="I40" i="36"/>
  <c r="I141" i="36" s="1"/>
  <c r="K40" i="36"/>
  <c r="K141" i="36" s="1"/>
  <c r="G22" i="36"/>
  <c r="G123" i="36" s="1"/>
  <c r="H22" i="36"/>
  <c r="H123" i="36" s="1"/>
  <c r="I22" i="36"/>
  <c r="I123" i="36" s="1"/>
  <c r="J22" i="36"/>
  <c r="J123" i="36" s="1"/>
  <c r="K22" i="36"/>
  <c r="K123" i="36" s="1"/>
  <c r="G23" i="36"/>
  <c r="G124" i="36" s="1"/>
  <c r="I23" i="36"/>
  <c r="I124" i="36" s="1"/>
  <c r="J24" i="36"/>
  <c r="J125" i="36" s="1"/>
  <c r="G25" i="36"/>
  <c r="G126" i="36" s="1"/>
  <c r="H25" i="36"/>
  <c r="H126" i="36" s="1"/>
  <c r="I25" i="36"/>
  <c r="I126" i="36" s="1"/>
  <c r="J25" i="36"/>
  <c r="J126" i="36" s="1"/>
  <c r="K25" i="36"/>
  <c r="K126" i="36" s="1"/>
  <c r="G26" i="36"/>
  <c r="G127" i="36" s="1"/>
  <c r="H26" i="36"/>
  <c r="H127" i="36" s="1"/>
  <c r="J26" i="36"/>
  <c r="J127" i="36" s="1"/>
  <c r="G27" i="36"/>
  <c r="G128" i="36" s="1"/>
  <c r="H27" i="36"/>
  <c r="H128" i="36" s="1"/>
  <c r="I27" i="36"/>
  <c r="I128" i="36" s="1"/>
  <c r="J27" i="36"/>
  <c r="J128" i="36" s="1"/>
  <c r="K27" i="36"/>
  <c r="K128" i="36" s="1"/>
  <c r="E5" i="36"/>
  <c r="J45" i="36"/>
  <c r="J146" i="36" s="1"/>
  <c r="G44" i="36"/>
  <c r="G145" i="36" s="1"/>
  <c r="G43" i="36"/>
  <c r="G144" i="36" s="1"/>
  <c r="K7" i="36"/>
  <c r="K108" i="36" s="1"/>
  <c r="F113" i="36"/>
  <c r="F111" i="36"/>
  <c r="F108" i="36"/>
  <c r="N2" i="44"/>
  <c r="X2" i="44"/>
  <c r="D2" i="44"/>
  <c r="AK31" i="37" l="1"/>
  <c r="H31" i="26" s="1"/>
  <c r="I33" i="77" s="1"/>
  <c r="F11" i="77"/>
  <c r="H11" i="77"/>
  <c r="J15" i="36"/>
  <c r="E61" i="36"/>
  <c r="G15" i="36"/>
  <c r="H15" i="36"/>
  <c r="AJ31" i="37"/>
  <c r="G31" i="26" s="1"/>
  <c r="H33" i="77" s="1"/>
  <c r="K14" i="36"/>
  <c r="K115" i="36" s="1"/>
  <c r="G41" i="36"/>
  <c r="G142" i="36" s="1"/>
  <c r="B8" i="36"/>
  <c r="B53" i="36"/>
  <c r="B108" i="36"/>
  <c r="E115" i="36"/>
  <c r="J14" i="36"/>
  <c r="J115" i="36" s="1"/>
  <c r="B107" i="36"/>
  <c r="B52" i="36"/>
  <c r="G14" i="36"/>
  <c r="G115" i="36" s="1"/>
  <c r="H14" i="36"/>
  <c r="H115" i="36" s="1"/>
  <c r="I14" i="36"/>
  <c r="I115" i="36" s="1"/>
  <c r="AH31" i="37"/>
  <c r="E31" i="26" s="1"/>
  <c r="F33" i="77" s="1"/>
  <c r="AI31" i="37"/>
  <c r="F31" i="26" s="1"/>
  <c r="G33" i="77" s="1"/>
  <c r="E11" i="77"/>
  <c r="D11" i="77"/>
  <c r="G11" i="77"/>
  <c r="H9" i="26"/>
  <c r="I11" i="77" s="1"/>
  <c r="G28" i="36"/>
  <c r="G129" i="36" s="1"/>
  <c r="E112" i="36"/>
  <c r="E130" i="36"/>
  <c r="E109" i="36"/>
  <c r="E129" i="36"/>
  <c r="E121" i="36"/>
  <c r="E111" i="36"/>
  <c r="E142" i="36"/>
  <c r="E108" i="36"/>
  <c r="E52" i="36"/>
  <c r="E113" i="36"/>
  <c r="E110" i="36"/>
  <c r="H12" i="36"/>
  <c r="H113" i="36" s="1"/>
  <c r="E66" i="36"/>
  <c r="E56" i="36"/>
  <c r="G29" i="36"/>
  <c r="G130" i="36" s="1"/>
  <c r="I24" i="36"/>
  <c r="I125" i="36" s="1"/>
  <c r="H32" i="36"/>
  <c r="H133" i="36" s="1"/>
  <c r="H24" i="36"/>
  <c r="H125" i="36" s="1"/>
  <c r="G40" i="36"/>
  <c r="G141" i="36" s="1"/>
  <c r="G32" i="36"/>
  <c r="G133" i="36" s="1"/>
  <c r="H40" i="36"/>
  <c r="H141" i="36" s="1"/>
  <c r="G24" i="36"/>
  <c r="G125" i="36" s="1"/>
  <c r="K39" i="36"/>
  <c r="K140" i="36" s="1"/>
  <c r="K31" i="36"/>
  <c r="K132" i="36" s="1"/>
  <c r="K18" i="36"/>
  <c r="K119" i="36" s="1"/>
  <c r="K23" i="36"/>
  <c r="K124" i="36" s="1"/>
  <c r="J39" i="36"/>
  <c r="J140" i="36" s="1"/>
  <c r="K34" i="36"/>
  <c r="K135" i="36" s="1"/>
  <c r="J31" i="36"/>
  <c r="J132" i="36" s="1"/>
  <c r="J18" i="36"/>
  <c r="J119" i="36" s="1"/>
  <c r="K26" i="36"/>
  <c r="K127" i="36" s="1"/>
  <c r="J23" i="36"/>
  <c r="J124" i="36" s="1"/>
  <c r="I39" i="36"/>
  <c r="I140" i="36" s="1"/>
  <c r="J34" i="36"/>
  <c r="J135" i="36" s="1"/>
  <c r="I31" i="36"/>
  <c r="I132" i="36" s="1"/>
  <c r="I18" i="36"/>
  <c r="I119" i="36" s="1"/>
  <c r="H23" i="36"/>
  <c r="H124" i="36" s="1"/>
  <c r="J40" i="36"/>
  <c r="J141" i="36" s="1"/>
  <c r="J32" i="36"/>
  <c r="J133" i="36" s="1"/>
  <c r="I13" i="36"/>
  <c r="I114" i="36" s="1"/>
  <c r="G13" i="36"/>
  <c r="G114" i="36" s="1"/>
  <c r="H13" i="36"/>
  <c r="H114" i="36" s="1"/>
  <c r="K43" i="36"/>
  <c r="K144" i="36" s="1"/>
  <c r="J43" i="36"/>
  <c r="J144" i="36" s="1"/>
  <c r="I43" i="36"/>
  <c r="I144" i="36" s="1"/>
  <c r="K13" i="36"/>
  <c r="K114" i="36" s="1"/>
  <c r="J13" i="36"/>
  <c r="J114" i="36" s="1"/>
  <c r="H45" i="36"/>
  <c r="H146" i="36" s="1"/>
  <c r="K44" i="36"/>
  <c r="K145" i="36" s="1"/>
  <c r="H43" i="36"/>
  <c r="H144" i="36" s="1"/>
  <c r="J44" i="36"/>
  <c r="J145" i="36" s="1"/>
  <c r="I44" i="36"/>
  <c r="I145" i="36" s="1"/>
  <c r="I45" i="36"/>
  <c r="I146" i="36" s="1"/>
  <c r="G45" i="36"/>
  <c r="G146" i="36" s="1"/>
  <c r="K45" i="36"/>
  <c r="K146" i="36" s="1"/>
  <c r="H44" i="36"/>
  <c r="H145" i="36" s="1"/>
  <c r="I12" i="36"/>
  <c r="I113" i="36" s="1"/>
  <c r="J12" i="36"/>
  <c r="J113" i="36" s="1"/>
  <c r="K12" i="36"/>
  <c r="K113" i="36" s="1"/>
  <c r="G12" i="36"/>
  <c r="G113" i="36" s="1"/>
  <c r="G7" i="36"/>
  <c r="G108" i="36" s="1"/>
  <c r="H7" i="36"/>
  <c r="H108" i="36" s="1"/>
  <c r="I7" i="36"/>
  <c r="I108" i="36" s="1"/>
  <c r="J7" i="36"/>
  <c r="J108" i="36" s="1"/>
  <c r="AK10" i="84"/>
  <c r="AK10" i="79"/>
  <c r="K33" i="77" l="1"/>
  <c r="J9" i="26"/>
  <c r="J31" i="26"/>
  <c r="B9" i="36"/>
  <c r="B54" i="36"/>
  <c r="B109" i="36"/>
  <c r="K11" i="77"/>
  <c r="M11" i="77" s="1"/>
  <c r="AF20" i="37"/>
  <c r="AF30" i="37"/>
  <c r="B55" i="36" l="1"/>
  <c r="B110" i="36"/>
  <c r="B10" i="36"/>
  <c r="C20" i="26"/>
  <c r="B26" i="26"/>
  <c r="D79" i="78"/>
  <c r="K28" i="36"/>
  <c r="K129" i="36" s="1"/>
  <c r="J28" i="36"/>
  <c r="J129" i="36" s="1"/>
  <c r="I28" i="36"/>
  <c r="I129" i="36" s="1"/>
  <c r="H28" i="36"/>
  <c r="H129" i="36" s="1"/>
  <c r="K42" i="36"/>
  <c r="K143" i="36" s="1"/>
  <c r="J42" i="36"/>
  <c r="J143" i="36" s="1"/>
  <c r="I42" i="36"/>
  <c r="I143" i="36" s="1"/>
  <c r="H42" i="36"/>
  <c r="H143" i="36" s="1"/>
  <c r="K41" i="36"/>
  <c r="K142" i="36" s="1"/>
  <c r="J41" i="36"/>
  <c r="J142" i="36" s="1"/>
  <c r="I41" i="36"/>
  <c r="I142" i="36" s="1"/>
  <c r="H41" i="36"/>
  <c r="H142" i="36" s="1"/>
  <c r="K29" i="36"/>
  <c r="K130" i="36" s="1"/>
  <c r="J29" i="36"/>
  <c r="J130" i="36" s="1"/>
  <c r="I29" i="36"/>
  <c r="I130" i="36" s="1"/>
  <c r="H29" i="36"/>
  <c r="H130" i="36" s="1"/>
  <c r="J10" i="36"/>
  <c r="J111" i="36" s="1"/>
  <c r="I10" i="36"/>
  <c r="I111" i="36" s="1"/>
  <c r="H10" i="36"/>
  <c r="H111" i="36" s="1"/>
  <c r="K9" i="36"/>
  <c r="K110" i="36" s="1"/>
  <c r="J9" i="36"/>
  <c r="J110" i="36" s="1"/>
  <c r="I9" i="36"/>
  <c r="I110" i="36" s="1"/>
  <c r="H9" i="36"/>
  <c r="H110" i="36" s="1"/>
  <c r="K10" i="36"/>
  <c r="K111" i="36" s="1"/>
  <c r="AE45" i="44"/>
  <c r="AF45" i="44"/>
  <c r="AG45" i="44"/>
  <c r="AH45" i="44"/>
  <c r="AI45" i="44"/>
  <c r="AJ45" i="44"/>
  <c r="AK45" i="44"/>
  <c r="AL45" i="44"/>
  <c r="AM45" i="44"/>
  <c r="AN45" i="44"/>
  <c r="AO45" i="44"/>
  <c r="AP45" i="44"/>
  <c r="AQ45" i="44"/>
  <c r="AR45" i="44"/>
  <c r="AS45" i="44"/>
  <c r="AT45" i="44"/>
  <c r="AU45" i="44"/>
  <c r="AV45" i="44"/>
  <c r="AW45" i="44"/>
  <c r="AX45" i="44"/>
  <c r="AY45" i="44"/>
  <c r="AZ45" i="44"/>
  <c r="BA45" i="44"/>
  <c r="BB45" i="44"/>
  <c r="BC45" i="44"/>
  <c r="BD45" i="44"/>
  <c r="U45" i="44"/>
  <c r="K45" i="44"/>
  <c r="B111" i="36" l="1"/>
  <c r="B56" i="36"/>
  <c r="B11" i="36"/>
  <c r="D22" i="77"/>
  <c r="T38" i="44"/>
  <c r="D106" i="36"/>
  <c r="H20" i="36"/>
  <c r="H121" i="36" s="1"/>
  <c r="I20" i="36"/>
  <c r="I121" i="36" s="1"/>
  <c r="J20" i="36"/>
  <c r="J121" i="36" s="1"/>
  <c r="K20" i="36"/>
  <c r="K121" i="36" s="1"/>
  <c r="B57" i="36" l="1"/>
  <c r="B112" i="36"/>
  <c r="B12" i="36"/>
  <c r="Y23" i="37"/>
  <c r="B58" i="36" l="1"/>
  <c r="B113" i="36"/>
  <c r="B13" i="36"/>
  <c r="S38" i="44"/>
  <c r="R38" i="44"/>
  <c r="Q38" i="44"/>
  <c r="P38" i="44"/>
  <c r="O38" i="44"/>
  <c r="B59" i="36" l="1"/>
  <c r="B114" i="36"/>
  <c r="B14" i="36"/>
  <c r="W7" i="37"/>
  <c r="L7" i="37"/>
  <c r="M7" i="37"/>
  <c r="N7" i="37"/>
  <c r="O7" i="37"/>
  <c r="P7" i="37"/>
  <c r="I7" i="37"/>
  <c r="K7" i="37"/>
  <c r="K12" i="37" s="1"/>
  <c r="T23" i="44"/>
  <c r="T24" i="44" s="1"/>
  <c r="F120" i="36"/>
  <c r="F117" i="36"/>
  <c r="F112" i="36"/>
  <c r="F107" i="36"/>
  <c r="F109" i="36"/>
  <c r="F110" i="36"/>
  <c r="Z44" i="37"/>
  <c r="AD43" i="37"/>
  <c r="AC43" i="37"/>
  <c r="AB43" i="37"/>
  <c r="AA43" i="37"/>
  <c r="Y19" i="37"/>
  <c r="Y21" i="37" s="1"/>
  <c r="B45" i="26"/>
  <c r="I19" i="36"/>
  <c r="I120" i="36" s="1"/>
  <c r="J19" i="36"/>
  <c r="J120" i="36" s="1"/>
  <c r="K19" i="36"/>
  <c r="K120" i="36" s="1"/>
  <c r="H19" i="36"/>
  <c r="H120" i="36" s="1"/>
  <c r="G19" i="36"/>
  <c r="G120" i="36" s="1"/>
  <c r="K17" i="36"/>
  <c r="K118" i="36" s="1"/>
  <c r="J17" i="36"/>
  <c r="J118" i="36" s="1"/>
  <c r="I17" i="36"/>
  <c r="I118" i="36" s="1"/>
  <c r="H17" i="36"/>
  <c r="H118" i="36" s="1"/>
  <c r="G17" i="36"/>
  <c r="G118" i="36" s="1"/>
  <c r="G16" i="36"/>
  <c r="G117" i="36" s="1"/>
  <c r="K11" i="36"/>
  <c r="K112" i="36" s="1"/>
  <c r="J11" i="36"/>
  <c r="J112" i="36" s="1"/>
  <c r="I11" i="36"/>
  <c r="I112" i="36" s="1"/>
  <c r="H11" i="36"/>
  <c r="H112" i="36" s="1"/>
  <c r="G11" i="36"/>
  <c r="G112" i="36" s="1"/>
  <c r="K16" i="36"/>
  <c r="K117" i="36" s="1"/>
  <c r="J16" i="36"/>
  <c r="J117" i="36" s="1"/>
  <c r="I16" i="36"/>
  <c r="I117" i="36" s="1"/>
  <c r="H16" i="36"/>
  <c r="H117" i="36" s="1"/>
  <c r="C5" i="84"/>
  <c r="B60" i="36" l="1"/>
  <c r="B115" i="36"/>
  <c r="AM200" i="84"/>
  <c r="AM199" i="84"/>
  <c r="AM198" i="84"/>
  <c r="AM197" i="84"/>
  <c r="AM196" i="84"/>
  <c r="AM195" i="84"/>
  <c r="AM194" i="84"/>
  <c r="AM193" i="84"/>
  <c r="AM192" i="84"/>
  <c r="AM191" i="84"/>
  <c r="AM190" i="84"/>
  <c r="AM189" i="84"/>
  <c r="AM188" i="84"/>
  <c r="AM187" i="84"/>
  <c r="AM186" i="84"/>
  <c r="AM185" i="84"/>
  <c r="AM184" i="84"/>
  <c r="AM183" i="84"/>
  <c r="AM182" i="84"/>
  <c r="AM181" i="84"/>
  <c r="AM180" i="84"/>
  <c r="AM179" i="84"/>
  <c r="AM178" i="84"/>
  <c r="AM177" i="84"/>
  <c r="AM176" i="84"/>
  <c r="AM175" i="84"/>
  <c r="AM174" i="84"/>
  <c r="AM173" i="84"/>
  <c r="AM172" i="84"/>
  <c r="AM171" i="84"/>
  <c r="AM170" i="84"/>
  <c r="AM169" i="84"/>
  <c r="AM168" i="84"/>
  <c r="AM167" i="84"/>
  <c r="AM166" i="84"/>
  <c r="AM165" i="84"/>
  <c r="AM164" i="84"/>
  <c r="AM163" i="84"/>
  <c r="AM162" i="84"/>
  <c r="AM161" i="84"/>
  <c r="AM160" i="84"/>
  <c r="AM159" i="84"/>
  <c r="AM158" i="84"/>
  <c r="AM157" i="84"/>
  <c r="AM156" i="84"/>
  <c r="AM155" i="84"/>
  <c r="AM154" i="84"/>
  <c r="AM153" i="84"/>
  <c r="AM152" i="84"/>
  <c r="AM151" i="84"/>
  <c r="AM150" i="84"/>
  <c r="AM149" i="84"/>
  <c r="AM148" i="84"/>
  <c r="AM147" i="84"/>
  <c r="AM146" i="84"/>
  <c r="AM145" i="84"/>
  <c r="AM144" i="84"/>
  <c r="AM143" i="84"/>
  <c r="AM142" i="84"/>
  <c r="AM141" i="84"/>
  <c r="AM140" i="84"/>
  <c r="AM139" i="84"/>
  <c r="AM138" i="84"/>
  <c r="AM137" i="84"/>
  <c r="AM136" i="84"/>
  <c r="AM135" i="84"/>
  <c r="AM134" i="84"/>
  <c r="AM133" i="84"/>
  <c r="R133" i="84"/>
  <c r="AM132" i="84"/>
  <c r="AM131" i="84"/>
  <c r="AM130" i="84"/>
  <c r="AM129" i="84"/>
  <c r="AM128" i="84"/>
  <c r="AM127" i="84"/>
  <c r="AM126" i="84"/>
  <c r="AM125" i="84"/>
  <c r="AM124" i="84"/>
  <c r="AM123" i="84"/>
  <c r="AM122" i="84"/>
  <c r="AM121" i="84"/>
  <c r="AM120" i="84"/>
  <c r="AM119" i="84"/>
  <c r="AM118" i="84"/>
  <c r="AM117" i="84"/>
  <c r="AM116" i="84"/>
  <c r="AM115" i="84"/>
  <c r="AM114" i="84"/>
  <c r="AM113" i="84"/>
  <c r="AM112" i="84"/>
  <c r="AM111" i="84"/>
  <c r="AM110" i="84"/>
  <c r="AM109" i="84"/>
  <c r="AM108" i="84"/>
  <c r="AM107" i="84"/>
  <c r="AM106" i="84"/>
  <c r="AM105" i="84"/>
  <c r="AM104" i="84"/>
  <c r="AM103" i="84"/>
  <c r="AM102" i="84"/>
  <c r="AM101" i="84"/>
  <c r="AM100" i="84"/>
  <c r="AM99" i="84"/>
  <c r="AM98" i="84"/>
  <c r="AM97" i="84"/>
  <c r="AM96" i="84"/>
  <c r="AM95" i="84"/>
  <c r="AM94" i="84"/>
  <c r="AM93" i="84"/>
  <c r="AM92" i="84"/>
  <c r="AM91" i="84"/>
  <c r="AM90" i="84"/>
  <c r="AM89" i="84"/>
  <c r="AM88" i="84"/>
  <c r="AM87" i="84"/>
  <c r="AM86" i="84"/>
  <c r="AM85" i="84"/>
  <c r="AM84" i="84"/>
  <c r="AM83" i="84"/>
  <c r="AM82" i="84"/>
  <c r="AM81" i="84"/>
  <c r="AM80" i="84"/>
  <c r="AM79" i="84"/>
  <c r="AM78" i="84"/>
  <c r="AM77" i="84"/>
  <c r="AM76" i="84"/>
  <c r="AM75" i="84"/>
  <c r="AM74" i="84"/>
  <c r="AM73" i="84"/>
  <c r="AM72" i="84"/>
  <c r="AM71" i="84"/>
  <c r="AM70" i="84"/>
  <c r="AM69" i="84"/>
  <c r="AM68" i="84"/>
  <c r="AM67" i="84"/>
  <c r="AM66" i="84"/>
  <c r="AM65" i="84"/>
  <c r="AM64" i="84"/>
  <c r="AM63" i="84"/>
  <c r="AM62" i="84"/>
  <c r="AM61" i="84"/>
  <c r="AM60" i="84"/>
  <c r="AM59" i="84"/>
  <c r="AM58" i="84"/>
  <c r="AM57" i="84"/>
  <c r="AM56" i="84"/>
  <c r="AM55" i="84"/>
  <c r="AM54" i="84"/>
  <c r="AM53" i="84"/>
  <c r="AM52" i="84"/>
  <c r="AM51" i="84"/>
  <c r="AM50" i="84"/>
  <c r="AM49" i="84"/>
  <c r="AM48" i="84"/>
  <c r="AM47" i="84"/>
  <c r="AM46" i="84"/>
  <c r="AM45" i="84"/>
  <c r="A45" i="84"/>
  <c r="A57" i="84" s="1"/>
  <c r="A69" i="84" s="1"/>
  <c r="A81" i="84" s="1"/>
  <c r="A93" i="84" s="1"/>
  <c r="A105" i="84" s="1"/>
  <c r="A117" i="84" s="1"/>
  <c r="A129" i="84" s="1"/>
  <c r="A141" i="84" s="1"/>
  <c r="A153" i="84" s="1"/>
  <c r="A165" i="84" s="1"/>
  <c r="A177" i="84" s="1"/>
  <c r="A189" i="84" s="1"/>
  <c r="AM44" i="84"/>
  <c r="AM43" i="84"/>
  <c r="AM42" i="84"/>
  <c r="AM41" i="84"/>
  <c r="AM40" i="84"/>
  <c r="AM39" i="84"/>
  <c r="AM38" i="84"/>
  <c r="AM37" i="84"/>
  <c r="AM36" i="84"/>
  <c r="AM35" i="84"/>
  <c r="AM34" i="84"/>
  <c r="X34" i="84"/>
  <c r="AM33" i="84"/>
  <c r="X33" i="84"/>
  <c r="A33" i="84"/>
  <c r="AM32" i="84"/>
  <c r="X32" i="84"/>
  <c r="AM31" i="84"/>
  <c r="X31" i="84"/>
  <c r="AM30" i="84"/>
  <c r="X30" i="84"/>
  <c r="AM29" i="84"/>
  <c r="X29" i="84"/>
  <c r="AM28" i="84"/>
  <c r="X28" i="84"/>
  <c r="AM27" i="84"/>
  <c r="X27" i="84"/>
  <c r="AM26" i="84"/>
  <c r="X26" i="84"/>
  <c r="AM25" i="84"/>
  <c r="X25" i="84"/>
  <c r="B25" i="84"/>
  <c r="B26" i="84" s="1"/>
  <c r="B27" i="84" s="1"/>
  <c r="B28" i="84" s="1"/>
  <c r="B29" i="84" s="1"/>
  <c r="B30" i="84" s="1"/>
  <c r="B31" i="84" s="1"/>
  <c r="B32" i="84" s="1"/>
  <c r="B33" i="84" s="1"/>
  <c r="B34" i="84" s="1"/>
  <c r="B35" i="84" s="1"/>
  <c r="B36" i="84" s="1"/>
  <c r="B37" i="84" s="1"/>
  <c r="B38" i="84" s="1"/>
  <c r="B39" i="84" s="1"/>
  <c r="B40" i="84" s="1"/>
  <c r="B41" i="84" s="1"/>
  <c r="B42" i="84" s="1"/>
  <c r="B43" i="84" s="1"/>
  <c r="B44" i="84" s="1"/>
  <c r="B45" i="84" s="1"/>
  <c r="B46" i="84" s="1"/>
  <c r="B47" i="84" s="1"/>
  <c r="B48" i="84" s="1"/>
  <c r="B49" i="84" s="1"/>
  <c r="B50" i="84" s="1"/>
  <c r="B51" i="84" s="1"/>
  <c r="B52" i="84" s="1"/>
  <c r="B53" i="84" s="1"/>
  <c r="B54" i="84" s="1"/>
  <c r="B55" i="84" s="1"/>
  <c r="B56" i="84" s="1"/>
  <c r="B57" i="84" s="1"/>
  <c r="B58" i="84" s="1"/>
  <c r="B59" i="84" s="1"/>
  <c r="B60" i="84" s="1"/>
  <c r="B61" i="84" s="1"/>
  <c r="B62" i="84" s="1"/>
  <c r="B63" i="84" s="1"/>
  <c r="B64" i="84" s="1"/>
  <c r="B65" i="84" s="1"/>
  <c r="B66" i="84" s="1"/>
  <c r="B67" i="84" s="1"/>
  <c r="B68" i="84" s="1"/>
  <c r="B69" i="84" s="1"/>
  <c r="B70" i="84" s="1"/>
  <c r="B71" i="84" s="1"/>
  <c r="B72" i="84" s="1"/>
  <c r="B73" i="84" s="1"/>
  <c r="B74" i="84" s="1"/>
  <c r="B75" i="84" s="1"/>
  <c r="B76" i="84" s="1"/>
  <c r="B77" i="84" s="1"/>
  <c r="B78" i="84" s="1"/>
  <c r="B79" i="84" s="1"/>
  <c r="B80" i="84" s="1"/>
  <c r="B81" i="84" s="1"/>
  <c r="B82" i="84" s="1"/>
  <c r="B83" i="84" s="1"/>
  <c r="B84" i="84" s="1"/>
  <c r="B85" i="84" s="1"/>
  <c r="B86" i="84" s="1"/>
  <c r="B87" i="84" s="1"/>
  <c r="B88" i="84" s="1"/>
  <c r="B89" i="84" s="1"/>
  <c r="B90" i="84" s="1"/>
  <c r="B91" i="84" s="1"/>
  <c r="B92" i="84" s="1"/>
  <c r="B93" i="84" s="1"/>
  <c r="B94" i="84" s="1"/>
  <c r="B95" i="84" s="1"/>
  <c r="B96" i="84" s="1"/>
  <c r="B97" i="84" s="1"/>
  <c r="B98" i="84" s="1"/>
  <c r="B99" i="84" s="1"/>
  <c r="B100" i="84" s="1"/>
  <c r="B101" i="84" s="1"/>
  <c r="B102" i="84" s="1"/>
  <c r="B103" i="84" s="1"/>
  <c r="B104" i="84" s="1"/>
  <c r="B105" i="84" s="1"/>
  <c r="B106" i="84" s="1"/>
  <c r="B107" i="84" s="1"/>
  <c r="B108" i="84" s="1"/>
  <c r="B109" i="84" s="1"/>
  <c r="B110" i="84" s="1"/>
  <c r="B111" i="84" s="1"/>
  <c r="B112" i="84" s="1"/>
  <c r="B113" i="84" s="1"/>
  <c r="B114" i="84" s="1"/>
  <c r="B115" i="84" s="1"/>
  <c r="B116" i="84" s="1"/>
  <c r="B117" i="84" s="1"/>
  <c r="B118" i="84" s="1"/>
  <c r="B119" i="84" s="1"/>
  <c r="B120" i="84" s="1"/>
  <c r="B121" i="84" s="1"/>
  <c r="B122" i="84" s="1"/>
  <c r="B123" i="84" s="1"/>
  <c r="B124" i="84" s="1"/>
  <c r="B125" i="84" s="1"/>
  <c r="B126" i="84" s="1"/>
  <c r="B127" i="84" s="1"/>
  <c r="B128" i="84" s="1"/>
  <c r="B129" i="84" s="1"/>
  <c r="B130" i="84" s="1"/>
  <c r="B131" i="84" s="1"/>
  <c r="B132" i="84" s="1"/>
  <c r="B133" i="84" s="1"/>
  <c r="B134" i="84" s="1"/>
  <c r="B135" i="84" s="1"/>
  <c r="B136" i="84" s="1"/>
  <c r="B137" i="84" s="1"/>
  <c r="B138" i="84" s="1"/>
  <c r="B139" i="84" s="1"/>
  <c r="B140" i="84" s="1"/>
  <c r="B141" i="84" s="1"/>
  <c r="B142" i="84" s="1"/>
  <c r="B143" i="84" s="1"/>
  <c r="B144" i="84" s="1"/>
  <c r="B145" i="84" s="1"/>
  <c r="B146" i="84" s="1"/>
  <c r="B147" i="84" s="1"/>
  <c r="B148" i="84" s="1"/>
  <c r="B149" i="84" s="1"/>
  <c r="B150" i="84" s="1"/>
  <c r="B151" i="84" s="1"/>
  <c r="B152" i="84" s="1"/>
  <c r="B153" i="84" s="1"/>
  <c r="B154" i="84" s="1"/>
  <c r="B155" i="84" s="1"/>
  <c r="B156" i="84" s="1"/>
  <c r="B157" i="84" s="1"/>
  <c r="B158" i="84" s="1"/>
  <c r="B159" i="84" s="1"/>
  <c r="B160" i="84" s="1"/>
  <c r="B161" i="84" s="1"/>
  <c r="B162" i="84" s="1"/>
  <c r="B163" i="84" s="1"/>
  <c r="B164" i="84" s="1"/>
  <c r="B165" i="84" s="1"/>
  <c r="B166" i="84" s="1"/>
  <c r="B167" i="84" s="1"/>
  <c r="B168" i="84" s="1"/>
  <c r="B169" i="84" s="1"/>
  <c r="B170" i="84" s="1"/>
  <c r="B171" i="84" s="1"/>
  <c r="B172" i="84" s="1"/>
  <c r="B173" i="84" s="1"/>
  <c r="B174" i="84" s="1"/>
  <c r="B175" i="84" s="1"/>
  <c r="B176" i="84" s="1"/>
  <c r="B177" i="84" s="1"/>
  <c r="B178" i="84" s="1"/>
  <c r="B179" i="84" s="1"/>
  <c r="B180" i="84" s="1"/>
  <c r="B181" i="84" s="1"/>
  <c r="B182" i="84" s="1"/>
  <c r="B183" i="84" s="1"/>
  <c r="B184" i="84" s="1"/>
  <c r="B185" i="84" s="1"/>
  <c r="B186" i="84" s="1"/>
  <c r="B187" i="84" s="1"/>
  <c r="B188" i="84" s="1"/>
  <c r="B189" i="84" s="1"/>
  <c r="B190" i="84" s="1"/>
  <c r="B191" i="84" s="1"/>
  <c r="B192" i="84" s="1"/>
  <c r="B193" i="84" s="1"/>
  <c r="B194" i="84" s="1"/>
  <c r="B195" i="84" s="1"/>
  <c r="B196" i="84" s="1"/>
  <c r="B197" i="84" s="1"/>
  <c r="B198" i="84" s="1"/>
  <c r="B199" i="84" s="1"/>
  <c r="B200" i="84" s="1"/>
  <c r="AM24" i="84"/>
  <c r="AM19" i="84" s="1"/>
  <c r="X24" i="84"/>
  <c r="AM23" i="84"/>
  <c r="X23" i="84"/>
  <c r="AM22" i="84"/>
  <c r="X22" i="84"/>
  <c r="B22" i="84"/>
  <c r="B23" i="84" s="1"/>
  <c r="B24" i="84" s="1"/>
  <c r="AM21" i="84"/>
  <c r="X21" i="84"/>
  <c r="X20" i="84"/>
  <c r="X35" i="84" s="1"/>
  <c r="X36" i="84" s="1"/>
  <c r="AC19" i="84"/>
  <c r="AB19" i="84"/>
  <c r="V19" i="84"/>
  <c r="H19" i="84"/>
  <c r="E12" i="84"/>
  <c r="W19" i="84" s="1"/>
  <c r="H10" i="84"/>
  <c r="H9" i="84"/>
  <c r="AK88" i="84" s="1"/>
  <c r="C7" i="84"/>
  <c r="M6" i="84"/>
  <c r="M9" i="84" s="1"/>
  <c r="H5" i="84"/>
  <c r="K55" i="83"/>
  <c r="J55" i="83"/>
  <c r="I55" i="83"/>
  <c r="H55" i="83"/>
  <c r="G55" i="83"/>
  <c r="G54" i="83"/>
  <c r="G8" i="83" s="1"/>
  <c r="G7" i="83" s="1"/>
  <c r="AA45" i="37"/>
  <c r="AB45" i="37" s="1"/>
  <c r="Z45" i="37"/>
  <c r="AG45" i="37" s="1"/>
  <c r="AA44" i="37"/>
  <c r="AB44" i="37" s="1"/>
  <c r="AF41" i="37"/>
  <c r="C41" i="26" s="1"/>
  <c r="AF39" i="37"/>
  <c r="C39" i="26" s="1"/>
  <c r="D41" i="77" s="1"/>
  <c r="AF42" i="37"/>
  <c r="C42" i="26" s="1"/>
  <c r="D44" i="77" s="1"/>
  <c r="K7" i="77"/>
  <c r="D3" i="77"/>
  <c r="AF43" i="37"/>
  <c r="C43" i="26" s="1"/>
  <c r="D45" i="77" s="1"/>
  <c r="AF44" i="37"/>
  <c r="C44" i="26" s="1"/>
  <c r="D46" i="77" s="1"/>
  <c r="AF45" i="37"/>
  <c r="C45" i="26" s="1"/>
  <c r="D47" i="77" s="1"/>
  <c r="AF26" i="37"/>
  <c r="C26" i="26" s="1"/>
  <c r="D28" i="77" s="1"/>
  <c r="AF27" i="37"/>
  <c r="C27" i="26" s="1"/>
  <c r="D29" i="77" s="1"/>
  <c r="AF28" i="37"/>
  <c r="C28" i="26" s="1"/>
  <c r="D30" i="77" s="1"/>
  <c r="AF29" i="37"/>
  <c r="C29" i="26" s="1"/>
  <c r="D31" i="77" s="1"/>
  <c r="C30" i="26"/>
  <c r="D32" i="77" s="1"/>
  <c r="AF32" i="37"/>
  <c r="C32" i="26" s="1"/>
  <c r="D34" i="77" s="1"/>
  <c r="AF33" i="37"/>
  <c r="C33" i="26" s="1"/>
  <c r="D35" i="77" s="1"/>
  <c r="AF34" i="37"/>
  <c r="C34" i="26" s="1"/>
  <c r="D36" i="77" s="1"/>
  <c r="AF35" i="37"/>
  <c r="C35" i="26" s="1"/>
  <c r="D37" i="77" s="1"/>
  <c r="AF36" i="37"/>
  <c r="C36" i="26" s="1"/>
  <c r="D38" i="77" s="1"/>
  <c r="AF8" i="37"/>
  <c r="C8" i="26" s="1"/>
  <c r="G9" i="36"/>
  <c r="G110" i="36" s="1"/>
  <c r="F92" i="36"/>
  <c r="F4" i="36"/>
  <c r="AF50" i="37"/>
  <c r="D52" i="77" s="1"/>
  <c r="R46" i="37"/>
  <c r="K46" i="37"/>
  <c r="D46" i="37"/>
  <c r="D5" i="37"/>
  <c r="K5" i="37" s="1"/>
  <c r="R5" i="37" s="1"/>
  <c r="Y5" i="37" s="1"/>
  <c r="AF5" i="37" s="1"/>
  <c r="E5" i="37"/>
  <c r="AG43" i="37"/>
  <c r="AA7" i="37"/>
  <c r="AB7" i="37"/>
  <c r="AC7" i="37"/>
  <c r="AD7" i="37"/>
  <c r="Z7" i="37"/>
  <c r="B62" i="36" l="1"/>
  <c r="B117" i="36"/>
  <c r="F149" i="36"/>
  <c r="F46" i="36"/>
  <c r="F147" i="36" s="1"/>
  <c r="Y40" i="37"/>
  <c r="AF40" i="37" s="1"/>
  <c r="C40" i="26" s="1"/>
  <c r="D42" i="77" s="1"/>
  <c r="D10" i="77"/>
  <c r="F50" i="36"/>
  <c r="F105" i="36"/>
  <c r="C37" i="26"/>
  <c r="H6" i="84"/>
  <c r="J186" i="84" s="1"/>
  <c r="AK21" i="84"/>
  <c r="AK22" i="84"/>
  <c r="AK33" i="84"/>
  <c r="AK86" i="84"/>
  <c r="AK99" i="84"/>
  <c r="AK142" i="84"/>
  <c r="AK23" i="84"/>
  <c r="AK29" i="84"/>
  <c r="AA19" i="84"/>
  <c r="AK45" i="84"/>
  <c r="AK53" i="84"/>
  <c r="AK63" i="84"/>
  <c r="G21" i="83"/>
  <c r="G62" i="83"/>
  <c r="H7" i="83"/>
  <c r="AK25" i="84"/>
  <c r="AK26" i="84"/>
  <c r="AK110" i="84"/>
  <c r="R182" i="84"/>
  <c r="R134" i="84"/>
  <c r="R74" i="84"/>
  <c r="E6" i="84"/>
  <c r="AK27" i="84"/>
  <c r="AK198" i="84"/>
  <c r="AK194" i="84"/>
  <c r="AK190" i="84"/>
  <c r="AK182" i="84"/>
  <c r="AK177" i="84"/>
  <c r="AK176" i="84"/>
  <c r="AK172" i="84"/>
  <c r="AK168" i="84"/>
  <c r="AK163" i="84"/>
  <c r="AK159" i="84"/>
  <c r="AK199" i="84"/>
  <c r="AK195" i="84"/>
  <c r="AK191" i="84"/>
  <c r="AK184" i="84"/>
  <c r="AK178" i="84"/>
  <c r="AK173" i="84"/>
  <c r="AK169" i="84"/>
  <c r="AK165" i="84"/>
  <c r="AK164" i="84"/>
  <c r="AK160" i="84"/>
  <c r="AK156" i="84"/>
  <c r="AK151" i="84"/>
  <c r="AK200" i="84"/>
  <c r="AK196" i="84"/>
  <c r="AK192" i="84"/>
  <c r="AK186" i="84"/>
  <c r="AK179" i="84"/>
  <c r="AK174" i="84"/>
  <c r="AK170" i="84"/>
  <c r="AK166" i="84"/>
  <c r="AK161" i="84"/>
  <c r="AK157" i="84"/>
  <c r="AK153" i="84"/>
  <c r="AK152" i="84"/>
  <c r="AK187" i="84"/>
  <c r="AK137" i="84"/>
  <c r="AK158" i="84"/>
  <c r="AK167" i="84"/>
  <c r="AK162" i="84"/>
  <c r="AK155" i="84"/>
  <c r="AK149" i="84"/>
  <c r="AK145" i="84"/>
  <c r="AK141" i="84"/>
  <c r="AK140" i="84"/>
  <c r="AK132" i="84"/>
  <c r="AK197" i="84"/>
  <c r="AK147" i="84"/>
  <c r="AK144" i="84"/>
  <c r="AK126" i="84"/>
  <c r="AK122" i="84"/>
  <c r="AK118" i="84"/>
  <c r="AK113" i="84"/>
  <c r="AK109" i="84"/>
  <c r="AK193" i="84"/>
  <c r="AK185" i="84"/>
  <c r="AK146" i="84"/>
  <c r="AK143" i="84"/>
  <c r="AK136" i="84"/>
  <c r="AK131" i="84"/>
  <c r="AK188" i="84"/>
  <c r="AK180" i="84"/>
  <c r="AK175" i="84"/>
  <c r="AK138" i="84"/>
  <c r="AK129" i="84"/>
  <c r="AK128" i="84"/>
  <c r="AK124" i="84"/>
  <c r="AK120" i="84"/>
  <c r="AK115" i="84"/>
  <c r="AK125" i="84"/>
  <c r="AK119" i="84"/>
  <c r="AK114" i="84"/>
  <c r="AK117" i="84"/>
  <c r="AK111" i="84"/>
  <c r="AK171" i="84"/>
  <c r="AK148" i="84"/>
  <c r="AK135" i="84"/>
  <c r="AK133" i="84"/>
  <c r="AK123" i="84"/>
  <c r="AK105" i="84"/>
  <c r="AK104" i="84"/>
  <c r="AK100" i="84"/>
  <c r="AK96" i="84"/>
  <c r="AK91" i="84"/>
  <c r="AK87" i="84"/>
  <c r="AK83" i="84"/>
  <c r="AK76" i="84"/>
  <c r="AK139" i="84"/>
  <c r="AK189" i="84"/>
  <c r="AK183" i="84"/>
  <c r="AK134" i="84"/>
  <c r="AK127" i="84"/>
  <c r="AK112" i="84"/>
  <c r="AK103" i="84"/>
  <c r="AK95" i="84"/>
  <c r="AK80" i="84"/>
  <c r="AK73" i="84"/>
  <c r="AK154" i="84"/>
  <c r="AK150" i="84"/>
  <c r="AK108" i="84"/>
  <c r="AK101" i="84"/>
  <c r="AK93" i="84"/>
  <c r="AK77" i="84"/>
  <c r="AK75" i="84"/>
  <c r="AK107" i="84"/>
  <c r="AK90" i="84"/>
  <c r="AK79" i="84"/>
  <c r="AK70" i="84"/>
  <c r="AK65" i="84"/>
  <c r="AK61" i="84"/>
  <c r="AK57" i="84"/>
  <c r="AK56" i="84"/>
  <c r="AK52" i="84"/>
  <c r="AK48" i="84"/>
  <c r="AK43" i="84"/>
  <c r="AK39" i="84"/>
  <c r="AK35" i="84"/>
  <c r="AK34" i="84"/>
  <c r="AK31" i="84"/>
  <c r="AK98" i="84"/>
  <c r="AK69" i="84"/>
  <c r="AK62" i="84"/>
  <c r="AK55" i="84"/>
  <c r="AK47" i="84"/>
  <c r="AK41" i="84"/>
  <c r="AK121" i="84"/>
  <c r="AK89" i="84"/>
  <c r="AK78" i="84"/>
  <c r="AK74" i="84"/>
  <c r="AK130" i="84"/>
  <c r="AK81" i="84"/>
  <c r="AK67" i="84"/>
  <c r="AK59" i="84"/>
  <c r="AK38" i="84"/>
  <c r="AK82" i="84"/>
  <c r="AK66" i="84"/>
  <c r="AK58" i="84"/>
  <c r="AK51" i="84"/>
  <c r="AK37" i="84"/>
  <c r="AK92" i="84"/>
  <c r="AK84" i="84"/>
  <c r="AK72" i="84"/>
  <c r="AK50" i="84"/>
  <c r="AK44" i="84"/>
  <c r="AK36" i="84"/>
  <c r="AK32" i="84"/>
  <c r="AK181" i="84"/>
  <c r="AK106" i="84"/>
  <c r="AK102" i="84"/>
  <c r="AK97" i="84"/>
  <c r="AK85" i="84"/>
  <c r="AK71" i="84"/>
  <c r="AK64" i="84"/>
  <c r="AK49" i="84"/>
  <c r="AK30" i="84"/>
  <c r="AK28" i="84"/>
  <c r="AK24" i="84"/>
  <c r="H12" i="84"/>
  <c r="X19" i="84" s="1"/>
  <c r="AK40" i="84"/>
  <c r="AK42" i="84"/>
  <c r="AK60" i="84"/>
  <c r="AK68" i="84"/>
  <c r="AK94" i="84"/>
  <c r="AK116" i="84"/>
  <c r="AK46" i="84"/>
  <c r="AK54" i="84"/>
  <c r="R181" i="84"/>
  <c r="R73" i="84"/>
  <c r="O7" i="84"/>
  <c r="R5" i="84" s="1"/>
  <c r="AA39" i="37"/>
  <c r="AB39" i="37" s="1"/>
  <c r="AC39" i="37" s="1"/>
  <c r="D43" i="77"/>
  <c r="D39" i="77"/>
  <c r="AF19" i="37"/>
  <c r="C19" i="26" s="1"/>
  <c r="D21" i="77" s="1"/>
  <c r="K24" i="37"/>
  <c r="Y24" i="37"/>
  <c r="R24" i="37"/>
  <c r="B106" i="36"/>
  <c r="B51" i="36"/>
  <c r="AS2" i="44"/>
  <c r="AT23" i="44"/>
  <c r="AU23" i="44"/>
  <c r="AV23" i="44"/>
  <c r="AW23" i="44"/>
  <c r="AX23" i="44"/>
  <c r="AY23" i="44"/>
  <c r="AZ23" i="44"/>
  <c r="AT36" i="44"/>
  <c r="AT40" i="44" s="1"/>
  <c r="AR40" i="44"/>
  <c r="AT57" i="44"/>
  <c r="AU57" i="44"/>
  <c r="AV57" i="44"/>
  <c r="AW57" i="44"/>
  <c r="AX57" i="44"/>
  <c r="AY57" i="44"/>
  <c r="AZ57" i="44"/>
  <c r="B63" i="36" l="1"/>
  <c r="B118" i="36"/>
  <c r="C46" i="26"/>
  <c r="Y46" i="37"/>
  <c r="AF46" i="37"/>
  <c r="J85" i="84"/>
  <c r="J46" i="84"/>
  <c r="J37" i="84"/>
  <c r="J170" i="84"/>
  <c r="J84" i="84"/>
  <c r="J187" i="84"/>
  <c r="J39" i="84"/>
  <c r="J34" i="84"/>
  <c r="J120" i="84"/>
  <c r="J75" i="84"/>
  <c r="J125" i="84"/>
  <c r="J128" i="84"/>
  <c r="J103" i="84"/>
  <c r="J78" i="84"/>
  <c r="J145" i="84"/>
  <c r="J60" i="84"/>
  <c r="J191" i="84"/>
  <c r="J101" i="84"/>
  <c r="J175" i="84"/>
  <c r="J136" i="84"/>
  <c r="J80" i="84"/>
  <c r="J44" i="84"/>
  <c r="J100" i="84"/>
  <c r="J163" i="84"/>
  <c r="J171" i="84"/>
  <c r="J24" i="84"/>
  <c r="J146" i="84"/>
  <c r="J66" i="84"/>
  <c r="J143" i="84"/>
  <c r="J176" i="84"/>
  <c r="J73" i="84"/>
  <c r="J108" i="84"/>
  <c r="J183" i="84"/>
  <c r="J152" i="84"/>
  <c r="J106" i="84"/>
  <c r="J82" i="84"/>
  <c r="J47" i="84"/>
  <c r="J71" i="84"/>
  <c r="J156" i="84"/>
  <c r="J131" i="84"/>
  <c r="J90" i="84"/>
  <c r="J88" i="84"/>
  <c r="J123" i="84"/>
  <c r="J164" i="84"/>
  <c r="J200" i="84"/>
  <c r="J50" i="84"/>
  <c r="J158" i="84"/>
  <c r="J185" i="84"/>
  <c r="J56" i="84"/>
  <c r="J105" i="84"/>
  <c r="J141" i="84"/>
  <c r="J28" i="84"/>
  <c r="J33" i="84"/>
  <c r="J21" i="84"/>
  <c r="I21" i="84" s="1"/>
  <c r="J89" i="84"/>
  <c r="J54" i="84"/>
  <c r="J94" i="84"/>
  <c r="J36" i="84"/>
  <c r="J76" i="84"/>
  <c r="J43" i="84"/>
  <c r="J166" i="84"/>
  <c r="J112" i="84"/>
  <c r="J109" i="84"/>
  <c r="J117" i="84"/>
  <c r="J134" i="84"/>
  <c r="J151" i="84"/>
  <c r="J177" i="84"/>
  <c r="J42" i="84"/>
  <c r="J31" i="84"/>
  <c r="J25" i="84"/>
  <c r="J99" i="84"/>
  <c r="J69" i="84"/>
  <c r="J95" i="84"/>
  <c r="J40" i="84"/>
  <c r="J92" i="84"/>
  <c r="J48" i="84"/>
  <c r="J148" i="84"/>
  <c r="J162" i="84"/>
  <c r="J138" i="84"/>
  <c r="J121" i="84"/>
  <c r="J199" i="84"/>
  <c r="J154" i="84"/>
  <c r="J181" i="84"/>
  <c r="J194" i="84"/>
  <c r="J27" i="84"/>
  <c r="J115" i="84"/>
  <c r="J38" i="84"/>
  <c r="J67" i="84"/>
  <c r="J22" i="84"/>
  <c r="J98" i="84"/>
  <c r="J110" i="84"/>
  <c r="J49" i="84"/>
  <c r="J127" i="84"/>
  <c r="J57" i="84"/>
  <c r="J118" i="84"/>
  <c r="J83" i="84"/>
  <c r="J192" i="84"/>
  <c r="J147" i="84"/>
  <c r="J195" i="84"/>
  <c r="J182" i="84"/>
  <c r="J198" i="84"/>
  <c r="J63" i="84"/>
  <c r="J64" i="84"/>
  <c r="J81" i="84"/>
  <c r="J68" i="84"/>
  <c r="J26" i="84"/>
  <c r="J165" i="84"/>
  <c r="J111" i="84"/>
  <c r="J53" i="84"/>
  <c r="J161" i="84"/>
  <c r="J61" i="84"/>
  <c r="J119" i="84"/>
  <c r="J91" i="84"/>
  <c r="J137" i="84"/>
  <c r="J157" i="84"/>
  <c r="J196" i="84"/>
  <c r="J189" i="84"/>
  <c r="J184" i="84"/>
  <c r="J30" i="84"/>
  <c r="J135" i="84"/>
  <c r="J124" i="84"/>
  <c r="J58" i="84"/>
  <c r="J180" i="84"/>
  <c r="J70" i="84"/>
  <c r="J93" i="84"/>
  <c r="J96" i="84"/>
  <c r="J150" i="84"/>
  <c r="J167" i="84"/>
  <c r="J139" i="84"/>
  <c r="J159" i="84"/>
  <c r="J51" i="84"/>
  <c r="J23" i="84"/>
  <c r="J74" i="84"/>
  <c r="J59" i="84"/>
  <c r="J77" i="84"/>
  <c r="J32" i="84"/>
  <c r="J133" i="84"/>
  <c r="J102" i="84"/>
  <c r="J35" i="84"/>
  <c r="J62" i="84"/>
  <c r="J142" i="84"/>
  <c r="J52" i="84"/>
  <c r="J122" i="84"/>
  <c r="J97" i="84"/>
  <c r="J87" i="84"/>
  <c r="J140" i="84"/>
  <c r="J116" i="84"/>
  <c r="J179" i="84"/>
  <c r="J153" i="84"/>
  <c r="J149" i="84"/>
  <c r="J155" i="84"/>
  <c r="J190" i="84"/>
  <c r="J169" i="84"/>
  <c r="J197" i="84"/>
  <c r="J173" i="84"/>
  <c r="J168" i="84"/>
  <c r="J188" i="84"/>
  <c r="J72" i="84"/>
  <c r="J107" i="84"/>
  <c r="J41" i="84"/>
  <c r="J126" i="84"/>
  <c r="J79" i="84"/>
  <c r="J193" i="84"/>
  <c r="J55" i="84"/>
  <c r="J129" i="84"/>
  <c r="J113" i="84"/>
  <c r="J45" i="84"/>
  <c r="J86" i="84"/>
  <c r="J29" i="84"/>
  <c r="J65" i="84"/>
  <c r="J114" i="84"/>
  <c r="J160" i="84"/>
  <c r="J104" i="84"/>
  <c r="J144" i="84"/>
  <c r="J130" i="84"/>
  <c r="J178" i="84"/>
  <c r="J132" i="84"/>
  <c r="J174" i="84"/>
  <c r="J172" i="84"/>
  <c r="AK19" i="84"/>
  <c r="F182" i="84"/>
  <c r="F184" i="84"/>
  <c r="F186" i="84"/>
  <c r="F197" i="84"/>
  <c r="F193" i="84"/>
  <c r="F189" i="84"/>
  <c r="F187" i="84"/>
  <c r="F180" i="84"/>
  <c r="F175" i="84"/>
  <c r="F171" i="84"/>
  <c r="F167" i="84"/>
  <c r="F162" i="84"/>
  <c r="F158" i="84"/>
  <c r="F154" i="84"/>
  <c r="F172" i="84"/>
  <c r="F170" i="84"/>
  <c r="F169" i="84"/>
  <c r="F164" i="84"/>
  <c r="F148" i="84"/>
  <c r="F144" i="84"/>
  <c r="F137" i="84"/>
  <c r="F131" i="84"/>
  <c r="F194" i="84"/>
  <c r="F192" i="84"/>
  <c r="F191" i="84"/>
  <c r="F188" i="84"/>
  <c r="F185" i="84"/>
  <c r="F183" i="84"/>
  <c r="F181" i="84"/>
  <c r="F179" i="84"/>
  <c r="F178" i="84"/>
  <c r="F198" i="84"/>
  <c r="F196" i="84"/>
  <c r="F195" i="84"/>
  <c r="F153" i="84"/>
  <c r="F140" i="84"/>
  <c r="F199" i="84"/>
  <c r="F165" i="84"/>
  <c r="F161" i="84"/>
  <c r="F149" i="84"/>
  <c r="F146" i="84"/>
  <c r="F143" i="84"/>
  <c r="F134" i="84"/>
  <c r="F200" i="84"/>
  <c r="F145" i="84"/>
  <c r="F142" i="84"/>
  <c r="F133" i="84"/>
  <c r="F129" i="84"/>
  <c r="F128" i="84"/>
  <c r="F124" i="84"/>
  <c r="F120" i="84"/>
  <c r="F115" i="84"/>
  <c r="F190" i="84"/>
  <c r="F174" i="84"/>
  <c r="F163" i="84"/>
  <c r="F157" i="84"/>
  <c r="F135" i="84"/>
  <c r="F150" i="84"/>
  <c r="F141" i="84"/>
  <c r="F122" i="84"/>
  <c r="F113" i="84"/>
  <c r="F111" i="84"/>
  <c r="F108" i="84"/>
  <c r="F103" i="84"/>
  <c r="F99" i="84"/>
  <c r="F95" i="84"/>
  <c r="F90" i="84"/>
  <c r="F86" i="84"/>
  <c r="F82" i="84"/>
  <c r="F176" i="84"/>
  <c r="F166" i="84"/>
  <c r="F127" i="84"/>
  <c r="F109" i="84"/>
  <c r="F105" i="84"/>
  <c r="F104" i="84"/>
  <c r="F100" i="84"/>
  <c r="F96" i="84"/>
  <c r="F160" i="84"/>
  <c r="F151" i="84"/>
  <c r="F126" i="84"/>
  <c r="F76" i="84"/>
  <c r="F159" i="84"/>
  <c r="F156" i="84"/>
  <c r="F138" i="84"/>
  <c r="F177" i="84"/>
  <c r="F155" i="84"/>
  <c r="F139" i="84"/>
  <c r="F136" i="84"/>
  <c r="F121" i="84"/>
  <c r="F117" i="84"/>
  <c r="F116" i="84"/>
  <c r="F106" i="84"/>
  <c r="F77" i="84"/>
  <c r="F73" i="84"/>
  <c r="F69" i="84"/>
  <c r="F68" i="84"/>
  <c r="F64" i="84"/>
  <c r="F60" i="84"/>
  <c r="F55" i="84"/>
  <c r="F51" i="84"/>
  <c r="F47" i="84"/>
  <c r="F42" i="84"/>
  <c r="F38" i="84"/>
  <c r="F33" i="84"/>
  <c r="F30" i="84"/>
  <c r="F147" i="84"/>
  <c r="F168" i="84"/>
  <c r="F152" i="84"/>
  <c r="F97" i="84"/>
  <c r="F75" i="84"/>
  <c r="F70" i="84"/>
  <c r="F65" i="84"/>
  <c r="F61" i="84"/>
  <c r="F57" i="84"/>
  <c r="F56" i="84"/>
  <c r="F52" i="84"/>
  <c r="F48" i="84"/>
  <c r="F43" i="84"/>
  <c r="F39" i="84"/>
  <c r="F173" i="84"/>
  <c r="F123" i="84"/>
  <c r="F119" i="84"/>
  <c r="F114" i="84"/>
  <c r="F112" i="84"/>
  <c r="F92" i="84"/>
  <c r="F89" i="84"/>
  <c r="F110" i="84"/>
  <c r="F102" i="84"/>
  <c r="F93" i="84"/>
  <c r="F66" i="84"/>
  <c r="F58" i="84"/>
  <c r="F37" i="84"/>
  <c r="F125" i="84"/>
  <c r="F71" i="84"/>
  <c r="F107" i="84"/>
  <c r="F98" i="84"/>
  <c r="F63" i="84"/>
  <c r="F27" i="84"/>
  <c r="F23" i="84"/>
  <c r="F17" i="84"/>
  <c r="F88" i="84"/>
  <c r="F87" i="84"/>
  <c r="F62" i="84"/>
  <c r="F41" i="84"/>
  <c r="F130" i="84"/>
  <c r="F78" i="84"/>
  <c r="F54" i="84"/>
  <c r="F46" i="84"/>
  <c r="F40" i="84"/>
  <c r="F35" i="84"/>
  <c r="F26" i="84"/>
  <c r="F22" i="84"/>
  <c r="F132" i="84"/>
  <c r="F79" i="84"/>
  <c r="F53" i="84"/>
  <c r="F45" i="84"/>
  <c r="F36" i="84"/>
  <c r="F83" i="84"/>
  <c r="F74" i="84"/>
  <c r="F32" i="84"/>
  <c r="F25" i="84"/>
  <c r="F80" i="84"/>
  <c r="F24" i="84"/>
  <c r="F101" i="84"/>
  <c r="F50" i="84"/>
  <c r="F94" i="84"/>
  <c r="F91" i="84"/>
  <c r="F85" i="84"/>
  <c r="F44" i="84"/>
  <c r="F34" i="84"/>
  <c r="F21" i="84"/>
  <c r="F31" i="84"/>
  <c r="F118" i="84"/>
  <c r="F84" i="84"/>
  <c r="F81" i="84"/>
  <c r="F67" i="84"/>
  <c r="F59" i="84"/>
  <c r="F29" i="84"/>
  <c r="F28" i="84"/>
  <c r="F72" i="84"/>
  <c r="F49" i="84"/>
  <c r="G69" i="83"/>
  <c r="G72" i="83"/>
  <c r="G79" i="83" s="1"/>
  <c r="H62" i="83"/>
  <c r="I7" i="83"/>
  <c r="D48" i="77"/>
  <c r="Y37" i="37"/>
  <c r="R37" i="37"/>
  <c r="K37" i="37"/>
  <c r="D37" i="37"/>
  <c r="BA23" i="44"/>
  <c r="AS29" i="44" a="1"/>
  <c r="AT24" i="44"/>
  <c r="AI45" i="37"/>
  <c r="AH45" i="37"/>
  <c r="B64" i="36" l="1"/>
  <c r="B119" i="36"/>
  <c r="AG30" i="84"/>
  <c r="I22" i="84"/>
  <c r="I23" i="84" s="1"/>
  <c r="I24" i="84" s="1"/>
  <c r="I25" i="84" s="1"/>
  <c r="I26" i="84" s="1"/>
  <c r="I27" i="84" s="1"/>
  <c r="I28" i="84" s="1"/>
  <c r="I29" i="84" s="1"/>
  <c r="I30" i="84" s="1"/>
  <c r="I31" i="84" s="1"/>
  <c r="I32" i="84" s="1"/>
  <c r="I33" i="84" s="1"/>
  <c r="I34" i="84" s="1"/>
  <c r="I35" i="84" s="1"/>
  <c r="I36" i="84" s="1"/>
  <c r="I37" i="84" s="1"/>
  <c r="I38" i="84" s="1"/>
  <c r="I39" i="84" s="1"/>
  <c r="I40" i="84" s="1"/>
  <c r="I41" i="84" s="1"/>
  <c r="I42" i="84" s="1"/>
  <c r="I43" i="84" s="1"/>
  <c r="I44" i="84" s="1"/>
  <c r="I45" i="84" s="1"/>
  <c r="I46" i="84" s="1"/>
  <c r="I47" i="84" s="1"/>
  <c r="I48" i="84" s="1"/>
  <c r="I49" i="84" s="1"/>
  <c r="I50" i="84" s="1"/>
  <c r="I51" i="84" s="1"/>
  <c r="I52" i="84" s="1"/>
  <c r="I53" i="84" s="1"/>
  <c r="I54" i="84" s="1"/>
  <c r="I55" i="84" s="1"/>
  <c r="I56" i="84" s="1"/>
  <c r="I57" i="84" s="1"/>
  <c r="I58" i="84" s="1"/>
  <c r="I59" i="84" s="1"/>
  <c r="I60" i="84" s="1"/>
  <c r="I61" i="84" s="1"/>
  <c r="I62" i="84" s="1"/>
  <c r="I63" i="84" s="1"/>
  <c r="I64" i="84" s="1"/>
  <c r="I65" i="84" s="1"/>
  <c r="I66" i="84" s="1"/>
  <c r="I67" i="84" s="1"/>
  <c r="I68" i="84" s="1"/>
  <c r="I69" i="84" s="1"/>
  <c r="I70" i="84" s="1"/>
  <c r="I71" i="84" s="1"/>
  <c r="I72" i="84" s="1"/>
  <c r="I73" i="84" s="1"/>
  <c r="I74" i="84" s="1"/>
  <c r="I75" i="84" s="1"/>
  <c r="I76" i="84" s="1"/>
  <c r="I77" i="84" s="1"/>
  <c r="I78" i="84" s="1"/>
  <c r="I79" i="84" s="1"/>
  <c r="I80" i="84" s="1"/>
  <c r="I81" i="84" s="1"/>
  <c r="I82" i="84" s="1"/>
  <c r="I83" i="84" s="1"/>
  <c r="I84" i="84" s="1"/>
  <c r="I85" i="84" s="1"/>
  <c r="I86" i="84" s="1"/>
  <c r="I87" i="84" s="1"/>
  <c r="I88" i="84" s="1"/>
  <c r="I89" i="84" s="1"/>
  <c r="I90" i="84" s="1"/>
  <c r="I91" i="84" s="1"/>
  <c r="I92" i="84" s="1"/>
  <c r="I93" i="84" s="1"/>
  <c r="I94" i="84" s="1"/>
  <c r="I95" i="84" s="1"/>
  <c r="I96" i="84" s="1"/>
  <c r="I97" i="84" s="1"/>
  <c r="I98" i="84" s="1"/>
  <c r="I99" i="84" s="1"/>
  <c r="I100" i="84" s="1"/>
  <c r="I101" i="84" s="1"/>
  <c r="I102" i="84" s="1"/>
  <c r="I103" i="84" s="1"/>
  <c r="I104" i="84" s="1"/>
  <c r="I105" i="84" s="1"/>
  <c r="I106" i="84" s="1"/>
  <c r="I107" i="84" s="1"/>
  <c r="I108" i="84" s="1"/>
  <c r="I109" i="84" s="1"/>
  <c r="I110" i="84" s="1"/>
  <c r="I111" i="84" s="1"/>
  <c r="I112" i="84" s="1"/>
  <c r="I113" i="84" s="1"/>
  <c r="I114" i="84" s="1"/>
  <c r="I115" i="84" s="1"/>
  <c r="I116" i="84" s="1"/>
  <c r="I117" i="84" s="1"/>
  <c r="I118" i="84" s="1"/>
  <c r="I119" i="84" s="1"/>
  <c r="I120" i="84" s="1"/>
  <c r="I121" i="84" s="1"/>
  <c r="I122" i="84" s="1"/>
  <c r="I123" i="84" s="1"/>
  <c r="I124" i="84" s="1"/>
  <c r="I125" i="84" s="1"/>
  <c r="I126" i="84" s="1"/>
  <c r="I127" i="84" s="1"/>
  <c r="I128" i="84" s="1"/>
  <c r="I129" i="84" s="1"/>
  <c r="I130" i="84" s="1"/>
  <c r="I131" i="84" s="1"/>
  <c r="I132" i="84" s="1"/>
  <c r="I133" i="84" s="1"/>
  <c r="I134" i="84" s="1"/>
  <c r="I135" i="84" s="1"/>
  <c r="I136" i="84" s="1"/>
  <c r="I137" i="84" s="1"/>
  <c r="I138" i="84" s="1"/>
  <c r="I139" i="84" s="1"/>
  <c r="I140" i="84" s="1"/>
  <c r="I141" i="84" s="1"/>
  <c r="I142" i="84" s="1"/>
  <c r="I143" i="84" s="1"/>
  <c r="I144" i="84" s="1"/>
  <c r="I145" i="84" s="1"/>
  <c r="I146" i="84" s="1"/>
  <c r="I147" i="84" s="1"/>
  <c r="I148" i="84" s="1"/>
  <c r="I149" i="84" s="1"/>
  <c r="I150" i="84" s="1"/>
  <c r="I151" i="84" s="1"/>
  <c r="I152" i="84" s="1"/>
  <c r="I153" i="84" s="1"/>
  <c r="I154" i="84" s="1"/>
  <c r="I155" i="84" s="1"/>
  <c r="I156" i="84" s="1"/>
  <c r="I157" i="84" s="1"/>
  <c r="I158" i="84" s="1"/>
  <c r="I159" i="84" s="1"/>
  <c r="I160" i="84" s="1"/>
  <c r="I161" i="84" s="1"/>
  <c r="I162" i="84" s="1"/>
  <c r="I163" i="84" s="1"/>
  <c r="I164" i="84" s="1"/>
  <c r="I165" i="84" s="1"/>
  <c r="I166" i="84" s="1"/>
  <c r="I167" i="84" s="1"/>
  <c r="I168" i="84" s="1"/>
  <c r="I169" i="84" s="1"/>
  <c r="I170" i="84" s="1"/>
  <c r="I171" i="84" s="1"/>
  <c r="I172" i="84" s="1"/>
  <c r="I173" i="84" s="1"/>
  <c r="I174" i="84" s="1"/>
  <c r="I175" i="84" s="1"/>
  <c r="I176" i="84" s="1"/>
  <c r="I177" i="84" s="1"/>
  <c r="I178" i="84" s="1"/>
  <c r="I179" i="84" s="1"/>
  <c r="I180" i="84" s="1"/>
  <c r="I181" i="84" s="1"/>
  <c r="I182" i="84" s="1"/>
  <c r="I183" i="84" s="1"/>
  <c r="I184" i="84" s="1"/>
  <c r="I185" i="84" s="1"/>
  <c r="I186" i="84" s="1"/>
  <c r="I187" i="84" s="1"/>
  <c r="I188" i="84" s="1"/>
  <c r="I189" i="84" s="1"/>
  <c r="I190" i="84" s="1"/>
  <c r="I191" i="84" s="1"/>
  <c r="I192" i="84" s="1"/>
  <c r="I193" i="84" s="1"/>
  <c r="I194" i="84" s="1"/>
  <c r="I195" i="84" s="1"/>
  <c r="I196" i="84" s="1"/>
  <c r="I197" i="84" s="1"/>
  <c r="I198" i="84" s="1"/>
  <c r="I199" i="84" s="1"/>
  <c r="I200" i="84" s="1"/>
  <c r="I18" i="84" s="1"/>
  <c r="R184" i="84" s="1"/>
  <c r="AG33" i="84"/>
  <c r="AG25" i="84"/>
  <c r="AG22" i="84"/>
  <c r="AG31" i="84"/>
  <c r="AG27" i="84"/>
  <c r="AG20" i="84"/>
  <c r="AG28" i="84"/>
  <c r="AG26" i="84"/>
  <c r="R79" i="84"/>
  <c r="AG23" i="84"/>
  <c r="J19" i="84"/>
  <c r="R12" i="84" s="1"/>
  <c r="AG34" i="84"/>
  <c r="AG29" i="84"/>
  <c r="AG24" i="84"/>
  <c r="R139" i="84"/>
  <c r="AG32" i="84"/>
  <c r="AG21" i="84"/>
  <c r="R187" i="84"/>
  <c r="E49" i="84"/>
  <c r="AL49" i="84"/>
  <c r="AN49" i="84" s="1"/>
  <c r="AJ49" i="84"/>
  <c r="AL125" i="84"/>
  <c r="AN125" i="84" s="1"/>
  <c r="E125" i="84"/>
  <c r="AJ125" i="84"/>
  <c r="AJ72" i="84"/>
  <c r="E72" i="84"/>
  <c r="AL72" i="84"/>
  <c r="AN72" i="84" s="1"/>
  <c r="AJ101" i="84"/>
  <c r="E101" i="84"/>
  <c r="AL101" i="84"/>
  <c r="AN101" i="84" s="1"/>
  <c r="AJ46" i="84"/>
  <c r="AL46" i="84"/>
  <c r="AN46" i="84" s="1"/>
  <c r="E46" i="84"/>
  <c r="AJ37" i="84"/>
  <c r="AL37" i="84"/>
  <c r="AN37" i="84" s="1"/>
  <c r="E37" i="84"/>
  <c r="E152" i="84"/>
  <c r="AJ152" i="84"/>
  <c r="AL152" i="84"/>
  <c r="AN152" i="84" s="1"/>
  <c r="U30" i="84"/>
  <c r="AL51" i="84"/>
  <c r="AN51" i="84" s="1"/>
  <c r="AJ51" i="84"/>
  <c r="E51" i="84"/>
  <c r="AL138" i="84"/>
  <c r="AN138" i="84" s="1"/>
  <c r="E138" i="84"/>
  <c r="AJ138" i="84"/>
  <c r="AL100" i="84"/>
  <c r="AN100" i="84" s="1"/>
  <c r="E100" i="84"/>
  <c r="AJ100" i="84"/>
  <c r="E122" i="84"/>
  <c r="AL122" i="84"/>
  <c r="AN122" i="84" s="1"/>
  <c r="AJ122" i="84"/>
  <c r="AL115" i="84"/>
  <c r="AN115" i="84" s="1"/>
  <c r="E115" i="84"/>
  <c r="AJ115" i="84"/>
  <c r="E200" i="84"/>
  <c r="AJ200" i="84"/>
  <c r="AL200" i="84"/>
  <c r="AN200" i="84" s="1"/>
  <c r="U34" i="84"/>
  <c r="F18" i="84"/>
  <c r="R7" i="84" s="1"/>
  <c r="R135" i="84"/>
  <c r="E140" i="84"/>
  <c r="AL140" i="84"/>
  <c r="AN140" i="84" s="1"/>
  <c r="AJ140" i="84"/>
  <c r="U29" i="84"/>
  <c r="AL183" i="84"/>
  <c r="AN183" i="84" s="1"/>
  <c r="AJ183" i="84"/>
  <c r="E183" i="84"/>
  <c r="AL144" i="84"/>
  <c r="AN144" i="84" s="1"/>
  <c r="AJ144" i="84"/>
  <c r="E144" i="84"/>
  <c r="AL162" i="84"/>
  <c r="AN162" i="84" s="1"/>
  <c r="E162" i="84"/>
  <c r="AJ162" i="84"/>
  <c r="AL28" i="84"/>
  <c r="AN28" i="84" s="1"/>
  <c r="AJ28" i="84"/>
  <c r="E28" i="84"/>
  <c r="AL21" i="84"/>
  <c r="AJ21" i="84"/>
  <c r="E21" i="84"/>
  <c r="AL24" i="84"/>
  <c r="AN24" i="84" s="1"/>
  <c r="E24" i="84"/>
  <c r="AJ24" i="84"/>
  <c r="AJ53" i="84"/>
  <c r="AL53" i="84"/>
  <c r="AN53" i="84" s="1"/>
  <c r="E53" i="84"/>
  <c r="AJ54" i="84"/>
  <c r="AL54" i="84"/>
  <c r="AN54" i="84" s="1"/>
  <c r="E54" i="84"/>
  <c r="E23" i="84"/>
  <c r="AL23" i="84"/>
  <c r="AN23" i="84" s="1"/>
  <c r="AJ23" i="84"/>
  <c r="AJ114" i="84"/>
  <c r="AL114" i="84"/>
  <c r="AN114" i="84" s="1"/>
  <c r="E114" i="84"/>
  <c r="AL56" i="84"/>
  <c r="AN56" i="84" s="1"/>
  <c r="E56" i="84"/>
  <c r="AJ56" i="84"/>
  <c r="U22" i="84"/>
  <c r="E168" i="84"/>
  <c r="AL168" i="84"/>
  <c r="AN168" i="84" s="1"/>
  <c r="AJ168" i="84"/>
  <c r="AL55" i="84"/>
  <c r="AN55" i="84" s="1"/>
  <c r="AJ55" i="84"/>
  <c r="E55" i="84"/>
  <c r="E116" i="84"/>
  <c r="AL116" i="84"/>
  <c r="AN116" i="84" s="1"/>
  <c r="AJ116" i="84"/>
  <c r="U27" i="84"/>
  <c r="E156" i="84"/>
  <c r="AL156" i="84"/>
  <c r="AN156" i="84" s="1"/>
  <c r="AJ156" i="84"/>
  <c r="AL104" i="84"/>
  <c r="AN104" i="84" s="1"/>
  <c r="E104" i="84"/>
  <c r="AJ104" i="84"/>
  <c r="U26" i="84"/>
  <c r="AL90" i="84"/>
  <c r="AN90" i="84" s="1"/>
  <c r="AJ90" i="84"/>
  <c r="E90" i="84"/>
  <c r="E141" i="84"/>
  <c r="AL141" i="84"/>
  <c r="AJ141" i="84"/>
  <c r="AL120" i="84"/>
  <c r="AN120" i="84" s="1"/>
  <c r="E120" i="84"/>
  <c r="AJ120" i="84"/>
  <c r="AJ134" i="84"/>
  <c r="E134" i="84"/>
  <c r="AL134" i="84"/>
  <c r="AN134" i="84" s="1"/>
  <c r="E153" i="84"/>
  <c r="AJ153" i="84"/>
  <c r="AL153" i="84"/>
  <c r="AL185" i="84"/>
  <c r="AN185" i="84" s="1"/>
  <c r="AJ185" i="84"/>
  <c r="E185" i="84"/>
  <c r="AL148" i="84"/>
  <c r="AN148" i="84" s="1"/>
  <c r="E148" i="84"/>
  <c r="AJ148" i="84"/>
  <c r="AL167" i="84"/>
  <c r="AN167" i="84" s="1"/>
  <c r="E167" i="84"/>
  <c r="AJ167" i="84"/>
  <c r="AJ186" i="84"/>
  <c r="E186" i="84"/>
  <c r="AL186" i="84"/>
  <c r="AN186" i="84" s="1"/>
  <c r="H72" i="83"/>
  <c r="AJ29" i="84"/>
  <c r="E29" i="84"/>
  <c r="AL29" i="84"/>
  <c r="AN29" i="84" s="1"/>
  <c r="AJ34" i="84"/>
  <c r="AL34" i="84"/>
  <c r="AN34" i="84" s="1"/>
  <c r="E34" i="84"/>
  <c r="AJ80" i="84"/>
  <c r="E80" i="84"/>
  <c r="AL80" i="84"/>
  <c r="AN80" i="84" s="1"/>
  <c r="U24" i="84"/>
  <c r="R75" i="84"/>
  <c r="AL79" i="84"/>
  <c r="AN79" i="84" s="1"/>
  <c r="E79" i="84"/>
  <c r="AJ79" i="84"/>
  <c r="AJ78" i="84"/>
  <c r="E78" i="84"/>
  <c r="AL78" i="84"/>
  <c r="AN78" i="84" s="1"/>
  <c r="E27" i="84"/>
  <c r="AL27" i="84"/>
  <c r="AN27" i="84" s="1"/>
  <c r="AJ27" i="84"/>
  <c r="AL66" i="84"/>
  <c r="AN66" i="84" s="1"/>
  <c r="AJ66" i="84"/>
  <c r="E66" i="84"/>
  <c r="AJ119" i="84"/>
  <c r="AL119" i="84"/>
  <c r="AN119" i="84" s="1"/>
  <c r="E119" i="84"/>
  <c r="AL57" i="84"/>
  <c r="E57" i="84"/>
  <c r="AJ57" i="84"/>
  <c r="AJ147" i="84"/>
  <c r="AL147" i="84"/>
  <c r="AN147" i="84" s="1"/>
  <c r="E147" i="84"/>
  <c r="AL60" i="84"/>
  <c r="AN60" i="84" s="1"/>
  <c r="AJ60" i="84"/>
  <c r="E60" i="84"/>
  <c r="AJ117" i="84"/>
  <c r="AL117" i="84"/>
  <c r="E117" i="84"/>
  <c r="E159" i="84"/>
  <c r="AL159" i="84"/>
  <c r="AN159" i="84" s="1"/>
  <c r="AJ159" i="84"/>
  <c r="AL105" i="84"/>
  <c r="E105" i="84"/>
  <c r="AJ105" i="84"/>
  <c r="AL95" i="84"/>
  <c r="AN95" i="84" s="1"/>
  <c r="AJ95" i="84"/>
  <c r="E95" i="84"/>
  <c r="AJ150" i="84"/>
  <c r="AL150" i="84"/>
  <c r="AN150" i="84" s="1"/>
  <c r="E150" i="84"/>
  <c r="AL124" i="84"/>
  <c r="AN124" i="84" s="1"/>
  <c r="E124" i="84"/>
  <c r="AJ124" i="84"/>
  <c r="AJ143" i="84"/>
  <c r="E143" i="84"/>
  <c r="AL143" i="84"/>
  <c r="AN143" i="84" s="1"/>
  <c r="E195" i="84"/>
  <c r="AJ195" i="84"/>
  <c r="AL195" i="84"/>
  <c r="AN195" i="84" s="1"/>
  <c r="AL188" i="84"/>
  <c r="AN188" i="84" s="1"/>
  <c r="E188" i="84"/>
  <c r="R183" i="84"/>
  <c r="AJ188" i="84"/>
  <c r="U33" i="84"/>
  <c r="E164" i="84"/>
  <c r="AL164" i="84"/>
  <c r="AN164" i="84" s="1"/>
  <c r="AJ164" i="84"/>
  <c r="U31" i="84"/>
  <c r="AL171" i="84"/>
  <c r="AN171" i="84" s="1"/>
  <c r="E171" i="84"/>
  <c r="AJ171" i="84"/>
  <c r="E184" i="84"/>
  <c r="AL184" i="84"/>
  <c r="AN184" i="84" s="1"/>
  <c r="AJ184" i="84"/>
  <c r="AJ59" i="84"/>
  <c r="E59" i="84"/>
  <c r="AL59" i="84"/>
  <c r="AN59" i="84" s="1"/>
  <c r="AL44" i="84"/>
  <c r="AN44" i="84" s="1"/>
  <c r="AJ44" i="84"/>
  <c r="E44" i="84"/>
  <c r="U21" i="84"/>
  <c r="AL25" i="84"/>
  <c r="AN25" i="84" s="1"/>
  <c r="AJ25" i="84"/>
  <c r="E25" i="84"/>
  <c r="E132" i="84"/>
  <c r="AL132" i="84"/>
  <c r="AN132" i="84" s="1"/>
  <c r="AJ132" i="84"/>
  <c r="AL130" i="84"/>
  <c r="AN130" i="84" s="1"/>
  <c r="AJ130" i="84"/>
  <c r="E130" i="84"/>
  <c r="AJ63" i="84"/>
  <c r="E63" i="84"/>
  <c r="AL63" i="84"/>
  <c r="AN63" i="84" s="1"/>
  <c r="AJ93" i="84"/>
  <c r="AL93" i="84"/>
  <c r="E93" i="84"/>
  <c r="AJ123" i="84"/>
  <c r="E123" i="84"/>
  <c r="AL123" i="84"/>
  <c r="AN123" i="84" s="1"/>
  <c r="AL61" i="84"/>
  <c r="AN61" i="84" s="1"/>
  <c r="E61" i="84"/>
  <c r="AJ61" i="84"/>
  <c r="AL30" i="84"/>
  <c r="AN30" i="84" s="1"/>
  <c r="E30" i="84"/>
  <c r="AJ30" i="84"/>
  <c r="AL64" i="84"/>
  <c r="AN64" i="84" s="1"/>
  <c r="AJ64" i="84"/>
  <c r="E64" i="84"/>
  <c r="E121" i="84"/>
  <c r="AJ121" i="84"/>
  <c r="AL121" i="84"/>
  <c r="AN121" i="84" s="1"/>
  <c r="AJ76" i="84"/>
  <c r="E76" i="84"/>
  <c r="AL76" i="84"/>
  <c r="AN76" i="84" s="1"/>
  <c r="AL109" i="84"/>
  <c r="AN109" i="84" s="1"/>
  <c r="E109" i="84"/>
  <c r="AJ109" i="84"/>
  <c r="AL99" i="84"/>
  <c r="AN99" i="84" s="1"/>
  <c r="AJ99" i="84"/>
  <c r="E99" i="84"/>
  <c r="AL135" i="84"/>
  <c r="AN135" i="84" s="1"/>
  <c r="AJ135" i="84"/>
  <c r="E135" i="84"/>
  <c r="AL128" i="84"/>
  <c r="AN128" i="84" s="1"/>
  <c r="E128" i="84"/>
  <c r="U28" i="84"/>
  <c r="AJ128" i="84"/>
  <c r="AJ146" i="84"/>
  <c r="AL146" i="84"/>
  <c r="AN146" i="84" s="1"/>
  <c r="E146" i="84"/>
  <c r="E196" i="84"/>
  <c r="AJ196" i="84"/>
  <c r="AL196" i="84"/>
  <c r="AN196" i="84" s="1"/>
  <c r="E191" i="84"/>
  <c r="AL191" i="84"/>
  <c r="AN191" i="84" s="1"/>
  <c r="AJ191" i="84"/>
  <c r="E169" i="84"/>
  <c r="AL169" i="84"/>
  <c r="AN169" i="84" s="1"/>
  <c r="AJ169" i="84"/>
  <c r="AL175" i="84"/>
  <c r="AN175" i="84" s="1"/>
  <c r="AJ175" i="84"/>
  <c r="E175" i="84"/>
  <c r="E182" i="84"/>
  <c r="AL182" i="84"/>
  <c r="AN182" i="84" s="1"/>
  <c r="AJ182" i="84"/>
  <c r="AJ50" i="84"/>
  <c r="AL50" i="84"/>
  <c r="AN50" i="84" s="1"/>
  <c r="E50" i="84"/>
  <c r="AL36" i="84"/>
  <c r="AN36" i="84" s="1"/>
  <c r="AJ36" i="84"/>
  <c r="E36" i="84"/>
  <c r="AL88" i="84"/>
  <c r="AN88" i="84" s="1"/>
  <c r="AJ88" i="84"/>
  <c r="E88" i="84"/>
  <c r="AL48" i="84"/>
  <c r="AN48" i="84" s="1"/>
  <c r="E48" i="84"/>
  <c r="AJ48" i="84"/>
  <c r="AL47" i="84"/>
  <c r="AN47" i="84" s="1"/>
  <c r="AJ47" i="84"/>
  <c r="E47" i="84"/>
  <c r="AL31" i="84"/>
  <c r="AN31" i="84" s="1"/>
  <c r="AJ31" i="84"/>
  <c r="E31" i="84"/>
  <c r="AJ45" i="84"/>
  <c r="AL45" i="84"/>
  <c r="E45" i="84"/>
  <c r="L21" i="84"/>
  <c r="M21" i="84" s="1"/>
  <c r="L17" i="84"/>
  <c r="AL52" i="84"/>
  <c r="AN52" i="84" s="1"/>
  <c r="E52" i="84"/>
  <c r="AJ52" i="84"/>
  <c r="AL106" i="84"/>
  <c r="AN106" i="84" s="1"/>
  <c r="E106" i="84"/>
  <c r="AJ106" i="84"/>
  <c r="AL86" i="84"/>
  <c r="AN86" i="84" s="1"/>
  <c r="AJ86" i="84"/>
  <c r="E86" i="84"/>
  <c r="AL58" i="84"/>
  <c r="AN58" i="84" s="1"/>
  <c r="AJ58" i="84"/>
  <c r="E58" i="84"/>
  <c r="AJ67" i="84"/>
  <c r="E67" i="84"/>
  <c r="AL67" i="84"/>
  <c r="AN67" i="84" s="1"/>
  <c r="AJ85" i="84"/>
  <c r="AL85" i="84"/>
  <c r="AN85" i="84" s="1"/>
  <c r="E85" i="84"/>
  <c r="AL32" i="84"/>
  <c r="AN32" i="84" s="1"/>
  <c r="E32" i="84"/>
  <c r="AJ32" i="84"/>
  <c r="U20" i="84"/>
  <c r="AJ22" i="84"/>
  <c r="E22" i="84"/>
  <c r="AL22" i="84"/>
  <c r="AN22" i="84" s="1"/>
  <c r="AJ41" i="84"/>
  <c r="E41" i="84"/>
  <c r="AL41" i="84"/>
  <c r="AN41" i="84" s="1"/>
  <c r="AJ98" i="84"/>
  <c r="E98" i="84"/>
  <c r="AL98" i="84"/>
  <c r="AN98" i="84" s="1"/>
  <c r="AJ102" i="84"/>
  <c r="AL102" i="84"/>
  <c r="AN102" i="84" s="1"/>
  <c r="E102" i="84"/>
  <c r="E173" i="84"/>
  <c r="AL173" i="84"/>
  <c r="AN173" i="84" s="1"/>
  <c r="AJ173" i="84"/>
  <c r="AL65" i="84"/>
  <c r="AN65" i="84" s="1"/>
  <c r="E65" i="84"/>
  <c r="AJ65" i="84"/>
  <c r="AL33" i="84"/>
  <c r="E33" i="84"/>
  <c r="AJ33" i="84"/>
  <c r="AL68" i="84"/>
  <c r="AN68" i="84" s="1"/>
  <c r="AJ68" i="84"/>
  <c r="U23" i="84"/>
  <c r="E68" i="84"/>
  <c r="AJ136" i="84"/>
  <c r="E136" i="84"/>
  <c r="AL136" i="84"/>
  <c r="AN136" i="84" s="1"/>
  <c r="E126" i="84"/>
  <c r="AL126" i="84"/>
  <c r="AN126" i="84" s="1"/>
  <c r="AJ126" i="84"/>
  <c r="AJ127" i="84"/>
  <c r="E127" i="84"/>
  <c r="AL127" i="84"/>
  <c r="AN127" i="84" s="1"/>
  <c r="AL103" i="84"/>
  <c r="AN103" i="84" s="1"/>
  <c r="AJ103" i="84"/>
  <c r="E103" i="84"/>
  <c r="E157" i="84"/>
  <c r="AJ157" i="84"/>
  <c r="AL157" i="84"/>
  <c r="AN157" i="84" s="1"/>
  <c r="AL129" i="84"/>
  <c r="E129" i="84"/>
  <c r="AJ129" i="84"/>
  <c r="E149" i="84"/>
  <c r="AJ149" i="84"/>
  <c r="AL149" i="84"/>
  <c r="AN149" i="84" s="1"/>
  <c r="E198" i="84"/>
  <c r="AJ198" i="84"/>
  <c r="AL198" i="84"/>
  <c r="AN198" i="84" s="1"/>
  <c r="E192" i="84"/>
  <c r="AJ192" i="84"/>
  <c r="AL192" i="84"/>
  <c r="AN192" i="84" s="1"/>
  <c r="E170" i="84"/>
  <c r="AJ170" i="84"/>
  <c r="AL170" i="84"/>
  <c r="AN170" i="84" s="1"/>
  <c r="AL180" i="84"/>
  <c r="AN180" i="84" s="1"/>
  <c r="E180" i="84"/>
  <c r="AJ180" i="84"/>
  <c r="AJ81" i="84"/>
  <c r="E81" i="84"/>
  <c r="AL81" i="84"/>
  <c r="E91" i="84"/>
  <c r="AL91" i="84"/>
  <c r="AN91" i="84" s="1"/>
  <c r="AJ91" i="84"/>
  <c r="AL74" i="84"/>
  <c r="AN74" i="84" s="1"/>
  <c r="AJ74" i="84"/>
  <c r="E74" i="84"/>
  <c r="AJ26" i="84"/>
  <c r="E26" i="84"/>
  <c r="AL26" i="84"/>
  <c r="AN26" i="84" s="1"/>
  <c r="E62" i="84"/>
  <c r="AL62" i="84"/>
  <c r="AN62" i="84" s="1"/>
  <c r="AJ62" i="84"/>
  <c r="AJ107" i="84"/>
  <c r="E107" i="84"/>
  <c r="AL107" i="84"/>
  <c r="AN107" i="84" s="1"/>
  <c r="AJ110" i="84"/>
  <c r="AL110" i="84"/>
  <c r="AN110" i="84" s="1"/>
  <c r="E110" i="84"/>
  <c r="AL39" i="84"/>
  <c r="AN39" i="84" s="1"/>
  <c r="E39" i="84"/>
  <c r="AJ39" i="84"/>
  <c r="AL70" i="84"/>
  <c r="AN70" i="84" s="1"/>
  <c r="E70" i="84"/>
  <c r="AJ70" i="84"/>
  <c r="AL38" i="84"/>
  <c r="AN38" i="84" s="1"/>
  <c r="AJ38" i="84"/>
  <c r="E38" i="84"/>
  <c r="AL69" i="84"/>
  <c r="AJ69" i="84"/>
  <c r="E69" i="84"/>
  <c r="AJ139" i="84"/>
  <c r="E139" i="84"/>
  <c r="AL139" i="84"/>
  <c r="AN139" i="84" s="1"/>
  <c r="E151" i="84"/>
  <c r="AL151" i="84"/>
  <c r="AN151" i="84" s="1"/>
  <c r="AJ151" i="84"/>
  <c r="E166" i="84"/>
  <c r="AJ166" i="84"/>
  <c r="AL166" i="84"/>
  <c r="AN166" i="84" s="1"/>
  <c r="AL108" i="84"/>
  <c r="AN108" i="84" s="1"/>
  <c r="AJ108" i="84"/>
  <c r="E108" i="84"/>
  <c r="E163" i="84"/>
  <c r="AL163" i="84"/>
  <c r="AN163" i="84" s="1"/>
  <c r="AJ163" i="84"/>
  <c r="AL133" i="84"/>
  <c r="AN133" i="84" s="1"/>
  <c r="E133" i="84"/>
  <c r="AJ133" i="84"/>
  <c r="E161" i="84"/>
  <c r="AJ161" i="84"/>
  <c r="AL161" i="84"/>
  <c r="AN161" i="84" s="1"/>
  <c r="E178" i="84"/>
  <c r="AL178" i="84"/>
  <c r="AN178" i="84" s="1"/>
  <c r="AJ178" i="84"/>
  <c r="E194" i="84"/>
  <c r="AL194" i="84"/>
  <c r="AN194" i="84" s="1"/>
  <c r="AJ194" i="84"/>
  <c r="E172" i="84"/>
  <c r="AL172" i="84"/>
  <c r="AN172" i="84" s="1"/>
  <c r="AJ172" i="84"/>
  <c r="AL187" i="84"/>
  <c r="AN187" i="84" s="1"/>
  <c r="E187" i="84"/>
  <c r="AJ187" i="84"/>
  <c r="I62" i="83"/>
  <c r="J7" i="83"/>
  <c r="E84" i="84"/>
  <c r="AL84" i="84"/>
  <c r="AN84" i="84" s="1"/>
  <c r="AJ84" i="84"/>
  <c r="AJ94" i="84"/>
  <c r="AL94" i="84"/>
  <c r="AN94" i="84" s="1"/>
  <c r="E94" i="84"/>
  <c r="E83" i="84"/>
  <c r="AL83" i="84"/>
  <c r="AN83" i="84" s="1"/>
  <c r="AJ83" i="84"/>
  <c r="AL35" i="84"/>
  <c r="AN35" i="84" s="1"/>
  <c r="AJ35" i="84"/>
  <c r="E35" i="84"/>
  <c r="E87" i="84"/>
  <c r="AL87" i="84"/>
  <c r="AN87" i="84" s="1"/>
  <c r="AJ87" i="84"/>
  <c r="E71" i="84"/>
  <c r="AL71" i="84"/>
  <c r="AN71" i="84" s="1"/>
  <c r="AJ71" i="84"/>
  <c r="AJ89" i="84"/>
  <c r="E89" i="84"/>
  <c r="AL89" i="84"/>
  <c r="AN89" i="84" s="1"/>
  <c r="AL43" i="84"/>
  <c r="AN43" i="84" s="1"/>
  <c r="E43" i="84"/>
  <c r="AJ43" i="84"/>
  <c r="AJ75" i="84"/>
  <c r="E75" i="84"/>
  <c r="AL75" i="84"/>
  <c r="AN75" i="84" s="1"/>
  <c r="AL42" i="84"/>
  <c r="AN42" i="84" s="1"/>
  <c r="AJ42" i="84"/>
  <c r="E42" i="84"/>
  <c r="AL73" i="84"/>
  <c r="AN73" i="84" s="1"/>
  <c r="AJ73" i="84"/>
  <c r="E73" i="84"/>
  <c r="E155" i="84"/>
  <c r="AL155" i="84"/>
  <c r="AN155" i="84" s="1"/>
  <c r="AJ155" i="84"/>
  <c r="E160" i="84"/>
  <c r="AL160" i="84"/>
  <c r="AN160" i="84" s="1"/>
  <c r="AJ160" i="84"/>
  <c r="E176" i="84"/>
  <c r="AJ176" i="84"/>
  <c r="AL176" i="84"/>
  <c r="AN176" i="84" s="1"/>
  <c r="U32" i="84"/>
  <c r="AJ111" i="84"/>
  <c r="AL111" i="84"/>
  <c r="AN111" i="84" s="1"/>
  <c r="E111" i="84"/>
  <c r="E174" i="84"/>
  <c r="AJ174" i="84"/>
  <c r="AL174" i="84"/>
  <c r="AN174" i="84" s="1"/>
  <c r="E142" i="84"/>
  <c r="AJ142" i="84"/>
  <c r="AL142" i="84"/>
  <c r="AN142" i="84" s="1"/>
  <c r="E165" i="84"/>
  <c r="AL165" i="84"/>
  <c r="AJ165" i="84"/>
  <c r="E179" i="84"/>
  <c r="AJ179" i="84"/>
  <c r="AL179" i="84"/>
  <c r="AN179" i="84" s="1"/>
  <c r="AL131" i="84"/>
  <c r="AN131" i="84" s="1"/>
  <c r="AJ131" i="84"/>
  <c r="E131" i="84"/>
  <c r="AL154" i="84"/>
  <c r="AN154" i="84" s="1"/>
  <c r="AJ154" i="84"/>
  <c r="E154" i="84"/>
  <c r="AL189" i="84"/>
  <c r="AJ189" i="84"/>
  <c r="E189" i="84"/>
  <c r="E118" i="84"/>
  <c r="AL118" i="84"/>
  <c r="AN118" i="84" s="1"/>
  <c r="AJ118" i="84"/>
  <c r="AL40" i="84"/>
  <c r="AN40" i="84" s="1"/>
  <c r="E40" i="84"/>
  <c r="AJ40" i="84"/>
  <c r="E92" i="84"/>
  <c r="AL92" i="84"/>
  <c r="AN92" i="84" s="1"/>
  <c r="AJ92" i="84"/>
  <c r="U25" i="84"/>
  <c r="E97" i="84"/>
  <c r="AL97" i="84"/>
  <c r="AN97" i="84" s="1"/>
  <c r="AJ97" i="84"/>
  <c r="AL77" i="84"/>
  <c r="AN77" i="84" s="1"/>
  <c r="AJ77" i="84"/>
  <c r="E77" i="84"/>
  <c r="AL96" i="84"/>
  <c r="AN96" i="84" s="1"/>
  <c r="E96" i="84"/>
  <c r="AJ96" i="84"/>
  <c r="AL82" i="84"/>
  <c r="AN82" i="84" s="1"/>
  <c r="AJ82" i="84"/>
  <c r="E82" i="84"/>
  <c r="E113" i="84"/>
  <c r="AJ113" i="84"/>
  <c r="AL113" i="84"/>
  <c r="AN113" i="84" s="1"/>
  <c r="E190" i="84"/>
  <c r="AL190" i="84"/>
  <c r="AN190" i="84" s="1"/>
  <c r="AJ190" i="84"/>
  <c r="E145" i="84"/>
  <c r="AL145" i="84"/>
  <c r="AN145" i="84" s="1"/>
  <c r="AJ145" i="84"/>
  <c r="E199" i="84"/>
  <c r="AL199" i="84"/>
  <c r="AN199" i="84" s="1"/>
  <c r="AJ199" i="84"/>
  <c r="AJ181" i="84"/>
  <c r="E181" i="84"/>
  <c r="AL181" i="84"/>
  <c r="AN181" i="84" s="1"/>
  <c r="AJ137" i="84"/>
  <c r="E137" i="84"/>
  <c r="AL137" i="84"/>
  <c r="AN137" i="84" s="1"/>
  <c r="AL158" i="84"/>
  <c r="AN158" i="84" s="1"/>
  <c r="AJ158" i="84"/>
  <c r="E158" i="84"/>
  <c r="AL193" i="84"/>
  <c r="AN193" i="84" s="1"/>
  <c r="E193" i="84"/>
  <c r="AJ193" i="84"/>
  <c r="AL112" i="84"/>
  <c r="AN112" i="84" s="1"/>
  <c r="AJ112" i="84"/>
  <c r="E112" i="84"/>
  <c r="AL197" i="84"/>
  <c r="AN197" i="84" s="1"/>
  <c r="AJ197" i="84"/>
  <c r="E197" i="84"/>
  <c r="E177" i="84"/>
  <c r="AJ177" i="84"/>
  <c r="AL177" i="84"/>
  <c r="AF37" i="37"/>
  <c r="AS34" i="44"/>
  <c r="AS29" i="44"/>
  <c r="AS31" i="44"/>
  <c r="AS30" i="44"/>
  <c r="AS32" i="44"/>
  <c r="AS33" i="44"/>
  <c r="AS35" i="44"/>
  <c r="AZ35" i="44" s="1"/>
  <c r="AU24" i="44"/>
  <c r="AV24" i="44" s="1"/>
  <c r="AW24" i="44" s="1"/>
  <c r="AX24" i="44" s="1"/>
  <c r="AY24" i="44" s="1"/>
  <c r="AZ24" i="44" s="1"/>
  <c r="AC45" i="37"/>
  <c r="AJ45" i="37" s="1"/>
  <c r="C5" i="79"/>
  <c r="B120" i="36" l="1"/>
  <c r="B65" i="36"/>
  <c r="B20" i="36"/>
  <c r="L26" i="84"/>
  <c r="M26" i="84" s="1"/>
  <c r="L27" i="84"/>
  <c r="M27" i="84" s="1"/>
  <c r="O27" i="84" s="1"/>
  <c r="L28" i="84"/>
  <c r="M28" i="84" s="1"/>
  <c r="O28" i="84" s="1"/>
  <c r="L22" i="84"/>
  <c r="M22" i="84" s="1"/>
  <c r="O22" i="84" s="1"/>
  <c r="L23" i="84"/>
  <c r="M23" i="84" s="1"/>
  <c r="O23" i="84" s="1"/>
  <c r="L24" i="84"/>
  <c r="M24" i="84" s="1"/>
  <c r="O24" i="84" s="1"/>
  <c r="L25" i="84"/>
  <c r="M25" i="84" s="1"/>
  <c r="O25" i="84" s="1"/>
  <c r="L60" i="84"/>
  <c r="M60" i="84" s="1"/>
  <c r="O60" i="84" s="1"/>
  <c r="L68" i="84"/>
  <c r="Z23" i="84" s="1"/>
  <c r="L94" i="84"/>
  <c r="M94" i="84" s="1"/>
  <c r="O94" i="84" s="1"/>
  <c r="L58" i="84"/>
  <c r="M58" i="84" s="1"/>
  <c r="O58" i="84" s="1"/>
  <c r="L74" i="84"/>
  <c r="M74" i="84" s="1"/>
  <c r="O74" i="84" s="1"/>
  <c r="L104" i="84"/>
  <c r="Z26" i="84" s="1"/>
  <c r="L110" i="84"/>
  <c r="M110" i="84" s="1"/>
  <c r="O110" i="84" s="1"/>
  <c r="L47" i="84"/>
  <c r="M47" i="84" s="1"/>
  <c r="O47" i="84" s="1"/>
  <c r="L65" i="84"/>
  <c r="M65" i="84" s="1"/>
  <c r="O65" i="84" s="1"/>
  <c r="L127" i="84"/>
  <c r="M127" i="84" s="1"/>
  <c r="O127" i="84" s="1"/>
  <c r="L55" i="84"/>
  <c r="M55" i="84" s="1"/>
  <c r="O55" i="84" s="1"/>
  <c r="L92" i="84"/>
  <c r="Z25" i="84" s="1"/>
  <c r="L97" i="84"/>
  <c r="M97" i="84" s="1"/>
  <c r="O97" i="84" s="1"/>
  <c r="L31" i="84"/>
  <c r="M31" i="84" s="1"/>
  <c r="O31" i="84" s="1"/>
  <c r="L37" i="84"/>
  <c r="M37" i="84" s="1"/>
  <c r="O37" i="84" s="1"/>
  <c r="L45" i="84"/>
  <c r="M45" i="84" s="1"/>
  <c r="O45" i="84" s="1"/>
  <c r="L72" i="84"/>
  <c r="M72" i="84" s="1"/>
  <c r="O72" i="84" s="1"/>
  <c r="L73" i="84"/>
  <c r="M73" i="84" s="1"/>
  <c r="O73" i="84" s="1"/>
  <c r="L62" i="84"/>
  <c r="M62" i="84" s="1"/>
  <c r="O62" i="84" s="1"/>
  <c r="L80" i="84"/>
  <c r="Z24" i="84" s="1"/>
  <c r="L111" i="84"/>
  <c r="M111" i="84" s="1"/>
  <c r="O111" i="84" s="1"/>
  <c r="L130" i="84"/>
  <c r="M130" i="84" s="1"/>
  <c r="O130" i="84" s="1"/>
  <c r="L109" i="84"/>
  <c r="M109" i="84" s="1"/>
  <c r="O109" i="84" s="1"/>
  <c r="L87" i="84"/>
  <c r="M87" i="84" s="1"/>
  <c r="O87" i="84" s="1"/>
  <c r="L83" i="84"/>
  <c r="M83" i="84" s="1"/>
  <c r="O83" i="84" s="1"/>
  <c r="L118" i="84"/>
  <c r="M118" i="84" s="1"/>
  <c r="O118" i="84" s="1"/>
  <c r="L149" i="84"/>
  <c r="M149" i="84" s="1"/>
  <c r="O149" i="84" s="1"/>
  <c r="L38" i="84"/>
  <c r="M38" i="84" s="1"/>
  <c r="O38" i="84" s="1"/>
  <c r="L57" i="84"/>
  <c r="M57" i="84" s="1"/>
  <c r="O57" i="84" s="1"/>
  <c r="L96" i="84"/>
  <c r="M96" i="84" s="1"/>
  <c r="O96" i="84" s="1"/>
  <c r="L90" i="84"/>
  <c r="M90" i="84" s="1"/>
  <c r="O90" i="84" s="1"/>
  <c r="L108" i="84"/>
  <c r="M108" i="84" s="1"/>
  <c r="O108" i="84" s="1"/>
  <c r="L46" i="84"/>
  <c r="M46" i="84" s="1"/>
  <c r="O46" i="84" s="1"/>
  <c r="L113" i="84"/>
  <c r="M113" i="84" s="1"/>
  <c r="O113" i="84" s="1"/>
  <c r="L120" i="84"/>
  <c r="M120" i="84" s="1"/>
  <c r="O120" i="84" s="1"/>
  <c r="L100" i="84"/>
  <c r="M100" i="84" s="1"/>
  <c r="O100" i="84" s="1"/>
  <c r="L69" i="84"/>
  <c r="M69" i="84" s="1"/>
  <c r="O69" i="84" s="1"/>
  <c r="L54" i="84"/>
  <c r="M54" i="84" s="1"/>
  <c r="O54" i="84" s="1"/>
  <c r="L79" i="84"/>
  <c r="M79" i="84" s="1"/>
  <c r="O79" i="84" s="1"/>
  <c r="L48" i="84"/>
  <c r="M48" i="84" s="1"/>
  <c r="O48" i="84" s="1"/>
  <c r="L51" i="84"/>
  <c r="M51" i="84" s="1"/>
  <c r="O51" i="84" s="1"/>
  <c r="L35" i="84"/>
  <c r="M35" i="84" s="1"/>
  <c r="O35" i="84" s="1"/>
  <c r="L88" i="84"/>
  <c r="M88" i="84" s="1"/>
  <c r="O88" i="84" s="1"/>
  <c r="L63" i="84"/>
  <c r="M63" i="84" s="1"/>
  <c r="O63" i="84" s="1"/>
  <c r="L85" i="84"/>
  <c r="M85" i="84" s="1"/>
  <c r="O85" i="84" s="1"/>
  <c r="R76" i="84"/>
  <c r="R77" i="84" s="1"/>
  <c r="R78" i="84" s="1"/>
  <c r="L135" i="84"/>
  <c r="M135" i="84" s="1"/>
  <c r="O135" i="84" s="1"/>
  <c r="AO52" i="84"/>
  <c r="L139" i="84"/>
  <c r="M139" i="84" s="1"/>
  <c r="O139" i="84" s="1"/>
  <c r="L131" i="84"/>
  <c r="M131" i="84" s="1"/>
  <c r="O131" i="84" s="1"/>
  <c r="L116" i="84"/>
  <c r="M116" i="84" s="1"/>
  <c r="O116" i="84" s="1"/>
  <c r="AO115" i="84"/>
  <c r="AO148" i="84"/>
  <c r="AG35" i="84"/>
  <c r="AG36" i="84" s="1"/>
  <c r="AO61" i="84"/>
  <c r="AO75" i="84"/>
  <c r="AO107" i="84"/>
  <c r="AO96" i="84"/>
  <c r="AO30" i="84"/>
  <c r="AO123" i="84"/>
  <c r="AO190" i="84"/>
  <c r="AO172" i="84"/>
  <c r="AO151" i="84"/>
  <c r="AO62" i="84"/>
  <c r="R136" i="84"/>
  <c r="R137" i="84" s="1"/>
  <c r="R138" i="84" s="1"/>
  <c r="AO103" i="84"/>
  <c r="L49" i="84"/>
  <c r="M49" i="84" s="1"/>
  <c r="O49" i="84" s="1"/>
  <c r="L42" i="84"/>
  <c r="M42" i="84" s="1"/>
  <c r="O42" i="84" s="1"/>
  <c r="L66" i="84"/>
  <c r="M66" i="84" s="1"/>
  <c r="O66" i="84" s="1"/>
  <c r="L52" i="84"/>
  <c r="M52" i="84" s="1"/>
  <c r="O52" i="84" s="1"/>
  <c r="L39" i="84"/>
  <c r="M39" i="84" s="1"/>
  <c r="O39" i="84" s="1"/>
  <c r="L117" i="84"/>
  <c r="M117" i="84" s="1"/>
  <c r="L164" i="84"/>
  <c r="M164" i="84" s="1"/>
  <c r="O164" i="84" s="1"/>
  <c r="L169" i="84"/>
  <c r="M169" i="84" s="1"/>
  <c r="O169" i="84" s="1"/>
  <c r="L64" i="84"/>
  <c r="M64" i="84" s="1"/>
  <c r="L41" i="84"/>
  <c r="M41" i="84" s="1"/>
  <c r="O41" i="84" s="1"/>
  <c r="L78" i="84"/>
  <c r="M78" i="84" s="1"/>
  <c r="O78" i="84" s="1"/>
  <c r="L112" i="84"/>
  <c r="M112" i="84" s="1"/>
  <c r="O112" i="84" s="1"/>
  <c r="L89" i="84"/>
  <c r="M89" i="84" s="1"/>
  <c r="O89" i="84" s="1"/>
  <c r="L145" i="84"/>
  <c r="M145" i="84" s="1"/>
  <c r="O145" i="84" s="1"/>
  <c r="L142" i="84"/>
  <c r="M142" i="84" s="1"/>
  <c r="O142" i="84" s="1"/>
  <c r="L137" i="84"/>
  <c r="M137" i="84" s="1"/>
  <c r="O137" i="84" s="1"/>
  <c r="L124" i="84"/>
  <c r="M124" i="84" s="1"/>
  <c r="O124" i="84" s="1"/>
  <c r="L143" i="84"/>
  <c r="M143" i="84" s="1"/>
  <c r="O143" i="84" s="1"/>
  <c r="L150" i="84"/>
  <c r="M150" i="84" s="1"/>
  <c r="O150" i="84" s="1"/>
  <c r="L181" i="84"/>
  <c r="M181" i="84" s="1"/>
  <c r="O181" i="84" s="1"/>
  <c r="L171" i="84"/>
  <c r="M171" i="84" s="1"/>
  <c r="O171" i="84" s="1"/>
  <c r="L161" i="84"/>
  <c r="M161" i="84" s="1"/>
  <c r="O161" i="84" s="1"/>
  <c r="L200" i="84"/>
  <c r="M200" i="84" s="1"/>
  <c r="AO128" i="84"/>
  <c r="AO150" i="84"/>
  <c r="AO119" i="84"/>
  <c r="AO156" i="84"/>
  <c r="AO55" i="84"/>
  <c r="AO140" i="84"/>
  <c r="L175" i="84"/>
  <c r="M175" i="84" s="1"/>
  <c r="O175" i="84" s="1"/>
  <c r="AO181" i="84"/>
  <c r="L188" i="84"/>
  <c r="M188" i="84" s="1"/>
  <c r="O188" i="84" s="1"/>
  <c r="L146" i="84"/>
  <c r="M146" i="84" s="1"/>
  <c r="O146" i="84" s="1"/>
  <c r="L144" i="84"/>
  <c r="M144" i="84" s="1"/>
  <c r="O144" i="84" s="1"/>
  <c r="L128" i="84"/>
  <c r="M128" i="84" s="1"/>
  <c r="L147" i="84"/>
  <c r="M147" i="84" s="1"/>
  <c r="O147" i="84" s="1"/>
  <c r="L155" i="84"/>
  <c r="M155" i="84" s="1"/>
  <c r="O155" i="84" s="1"/>
  <c r="L190" i="84"/>
  <c r="M190" i="84" s="1"/>
  <c r="O190" i="84" s="1"/>
  <c r="L166" i="84"/>
  <c r="M166" i="84" s="1"/>
  <c r="O166" i="84" s="1"/>
  <c r="AO158" i="84"/>
  <c r="AO199" i="84"/>
  <c r="AO38" i="84"/>
  <c r="AO102" i="84"/>
  <c r="AO85" i="84"/>
  <c r="L106" i="84"/>
  <c r="M106" i="84" s="1"/>
  <c r="O106" i="84" s="1"/>
  <c r="L56" i="84"/>
  <c r="M56" i="84" s="1"/>
  <c r="O56" i="84" s="1"/>
  <c r="L86" i="84"/>
  <c r="M86" i="84" s="1"/>
  <c r="O86" i="84" s="1"/>
  <c r="L101" i="84"/>
  <c r="M101" i="84" s="1"/>
  <c r="O101" i="84" s="1"/>
  <c r="L53" i="84"/>
  <c r="M53" i="84" s="1"/>
  <c r="O53" i="84" s="1"/>
  <c r="L40" i="84"/>
  <c r="M40" i="84" s="1"/>
  <c r="O40" i="84" s="1"/>
  <c r="L33" i="84"/>
  <c r="M33" i="84" s="1"/>
  <c r="O33" i="84" s="1"/>
  <c r="L70" i="84"/>
  <c r="M70" i="84" s="1"/>
  <c r="O70" i="84" s="1"/>
  <c r="L84" i="84"/>
  <c r="M84" i="84" s="1"/>
  <c r="O84" i="84" s="1"/>
  <c r="L50" i="84"/>
  <c r="M50" i="84" s="1"/>
  <c r="O50" i="84" s="1"/>
  <c r="L165" i="84"/>
  <c r="M165" i="84" s="1"/>
  <c r="O165" i="84" s="1"/>
  <c r="L134" i="84"/>
  <c r="M134" i="84" s="1"/>
  <c r="O134" i="84" s="1"/>
  <c r="L98" i="84"/>
  <c r="M98" i="84" s="1"/>
  <c r="O98" i="84" s="1"/>
  <c r="L114" i="84"/>
  <c r="M114" i="84" s="1"/>
  <c r="O114" i="84" s="1"/>
  <c r="L122" i="84"/>
  <c r="M122" i="84" s="1"/>
  <c r="O122" i="84" s="1"/>
  <c r="L152" i="84"/>
  <c r="Z30" i="84" s="1"/>
  <c r="L129" i="84"/>
  <c r="M129" i="84" s="1"/>
  <c r="O129" i="84" s="1"/>
  <c r="L199" i="84"/>
  <c r="M199" i="84" s="1"/>
  <c r="O199" i="84" s="1"/>
  <c r="L159" i="84"/>
  <c r="M159" i="84" s="1"/>
  <c r="O159" i="84" s="1"/>
  <c r="L194" i="84"/>
  <c r="M194" i="84" s="1"/>
  <c r="O194" i="84" s="1"/>
  <c r="L180" i="84"/>
  <c r="M180" i="84" s="1"/>
  <c r="O180" i="84" s="1"/>
  <c r="L170" i="84"/>
  <c r="M170" i="84" s="1"/>
  <c r="O170" i="84" s="1"/>
  <c r="AO95" i="84"/>
  <c r="AO147" i="84"/>
  <c r="AO66" i="84"/>
  <c r="AO90" i="84"/>
  <c r="AO168" i="84"/>
  <c r="AO144" i="84"/>
  <c r="AO152" i="84"/>
  <c r="L126" i="84"/>
  <c r="M126" i="84" s="1"/>
  <c r="O126" i="84" s="1"/>
  <c r="L187" i="84"/>
  <c r="M187" i="84" s="1"/>
  <c r="O187" i="84" s="1"/>
  <c r="L105" i="84"/>
  <c r="M105" i="84" s="1"/>
  <c r="O105" i="84" s="1"/>
  <c r="L102" i="84"/>
  <c r="M102" i="84" s="1"/>
  <c r="O102" i="84" s="1"/>
  <c r="L119" i="84"/>
  <c r="M119" i="84" s="1"/>
  <c r="O119" i="84" s="1"/>
  <c r="L153" i="84"/>
  <c r="M153" i="84" s="1"/>
  <c r="O153" i="84" s="1"/>
  <c r="L138" i="84"/>
  <c r="M138" i="84" s="1"/>
  <c r="O138" i="84" s="1"/>
  <c r="L140" i="84"/>
  <c r="Z29" i="84" s="1"/>
  <c r="L163" i="84"/>
  <c r="M163" i="84" s="1"/>
  <c r="O163" i="84" s="1"/>
  <c r="L198" i="84"/>
  <c r="M198" i="84" s="1"/>
  <c r="O198" i="84" s="1"/>
  <c r="L174" i="84"/>
  <c r="M174" i="84" s="1"/>
  <c r="O174" i="84" s="1"/>
  <c r="AO112" i="84"/>
  <c r="AO110" i="84"/>
  <c r="AO198" i="84"/>
  <c r="L32" i="84"/>
  <c r="M32" i="84" s="1"/>
  <c r="L43" i="84"/>
  <c r="M43" i="84" s="1"/>
  <c r="O43" i="84" s="1"/>
  <c r="L71" i="84"/>
  <c r="M71" i="84" s="1"/>
  <c r="O71" i="84" s="1"/>
  <c r="L136" i="84"/>
  <c r="M136" i="84" s="1"/>
  <c r="O136" i="84" s="1"/>
  <c r="L82" i="84"/>
  <c r="M82" i="84" s="1"/>
  <c r="O82" i="84" s="1"/>
  <c r="L61" i="84"/>
  <c r="M61" i="84" s="1"/>
  <c r="O61" i="84" s="1"/>
  <c r="L77" i="84"/>
  <c r="M77" i="84" s="1"/>
  <c r="O77" i="84" s="1"/>
  <c r="L123" i="84"/>
  <c r="M123" i="84" s="1"/>
  <c r="O123" i="84" s="1"/>
  <c r="L156" i="84"/>
  <c r="M156" i="84" s="1"/>
  <c r="O156" i="84" s="1"/>
  <c r="L59" i="84"/>
  <c r="M59" i="84" s="1"/>
  <c r="O59" i="84" s="1"/>
  <c r="L95" i="84"/>
  <c r="M95" i="84" s="1"/>
  <c r="O95" i="84" s="1"/>
  <c r="L133" i="84"/>
  <c r="M133" i="84" s="1"/>
  <c r="O133" i="84" s="1"/>
  <c r="L107" i="84"/>
  <c r="M107" i="84" s="1"/>
  <c r="O107" i="84" s="1"/>
  <c r="L76" i="84"/>
  <c r="M76" i="84" s="1"/>
  <c r="O76" i="84" s="1"/>
  <c r="L132" i="84"/>
  <c r="M132" i="84" s="1"/>
  <c r="O132" i="84" s="1"/>
  <c r="L195" i="84"/>
  <c r="M195" i="84" s="1"/>
  <c r="O195" i="84" s="1"/>
  <c r="L148" i="84"/>
  <c r="M148" i="84" s="1"/>
  <c r="O148" i="84" s="1"/>
  <c r="L178" i="84"/>
  <c r="M178" i="84" s="1"/>
  <c r="O178" i="84" s="1"/>
  <c r="L168" i="84"/>
  <c r="M168" i="84" s="1"/>
  <c r="O168" i="84" s="1"/>
  <c r="L154" i="84"/>
  <c r="M154" i="84" s="1"/>
  <c r="O154" i="84" s="1"/>
  <c r="L189" i="84"/>
  <c r="M189" i="84" s="1"/>
  <c r="O189" i="84" s="1"/>
  <c r="L179" i="84"/>
  <c r="M179" i="84" s="1"/>
  <c r="O179" i="84" s="1"/>
  <c r="AO27" i="84"/>
  <c r="AO34" i="84"/>
  <c r="AO116" i="84"/>
  <c r="AO23" i="84"/>
  <c r="AO53" i="84"/>
  <c r="AO28" i="84"/>
  <c r="AO122" i="84"/>
  <c r="AO101" i="84"/>
  <c r="L141" i="84"/>
  <c r="M141" i="84" s="1"/>
  <c r="O141" i="84" s="1"/>
  <c r="L193" i="84"/>
  <c r="M193" i="84" s="1"/>
  <c r="O193" i="84" s="1"/>
  <c r="L184" i="84"/>
  <c r="M184" i="84" s="1"/>
  <c r="O184" i="84" s="1"/>
  <c r="L173" i="84"/>
  <c r="M173" i="84" s="1"/>
  <c r="O173" i="84" s="1"/>
  <c r="L183" i="84"/>
  <c r="M183" i="84" s="1"/>
  <c r="O183" i="84" s="1"/>
  <c r="L172" i="84"/>
  <c r="M172" i="84" s="1"/>
  <c r="O172" i="84" s="1"/>
  <c r="L158" i="84"/>
  <c r="M158" i="84" s="1"/>
  <c r="O158" i="84" s="1"/>
  <c r="L185" i="84"/>
  <c r="M185" i="84" s="1"/>
  <c r="O185" i="84" s="1"/>
  <c r="AO178" i="84"/>
  <c r="AO166" i="84"/>
  <c r="AO170" i="84"/>
  <c r="L93" i="84"/>
  <c r="M93" i="84" s="1"/>
  <c r="O93" i="84" s="1"/>
  <c r="L30" i="84"/>
  <c r="M30" i="84" s="1"/>
  <c r="O30" i="84" s="1"/>
  <c r="L29" i="84"/>
  <c r="M29" i="84" s="1"/>
  <c r="O29" i="84" s="1"/>
  <c r="L36" i="84"/>
  <c r="M36" i="84" s="1"/>
  <c r="O36" i="84" s="1"/>
  <c r="L91" i="84"/>
  <c r="M91" i="84" s="1"/>
  <c r="O91" i="84" s="1"/>
  <c r="L75" i="84"/>
  <c r="M75" i="84" s="1"/>
  <c r="O75" i="84" s="1"/>
  <c r="L99" i="84"/>
  <c r="M99" i="84" s="1"/>
  <c r="O99" i="84" s="1"/>
  <c r="L44" i="84"/>
  <c r="Z21" i="84" s="1"/>
  <c r="L34" i="84"/>
  <c r="M34" i="84" s="1"/>
  <c r="O34" i="84" s="1"/>
  <c r="L67" i="84"/>
  <c r="M67" i="84" s="1"/>
  <c r="O67" i="84" s="1"/>
  <c r="L103" i="84"/>
  <c r="M103" i="84" s="1"/>
  <c r="O103" i="84" s="1"/>
  <c r="L81" i="84"/>
  <c r="M81" i="84" s="1"/>
  <c r="O81" i="84" s="1"/>
  <c r="L125" i="84"/>
  <c r="M125" i="84" s="1"/>
  <c r="O125" i="84" s="1"/>
  <c r="L121" i="84"/>
  <c r="M121" i="84" s="1"/>
  <c r="O121" i="84" s="1"/>
  <c r="L151" i="84"/>
  <c r="M151" i="84" s="1"/>
  <c r="O151" i="84" s="1"/>
  <c r="L115" i="84"/>
  <c r="M115" i="84" s="1"/>
  <c r="O115" i="84" s="1"/>
  <c r="L186" i="84"/>
  <c r="M186" i="84" s="1"/>
  <c r="O186" i="84" s="1"/>
  <c r="L191" i="84"/>
  <c r="M191" i="84" s="1"/>
  <c r="O191" i="84" s="1"/>
  <c r="L176" i="84"/>
  <c r="M176" i="84" s="1"/>
  <c r="L162" i="84"/>
  <c r="M162" i="84" s="1"/>
  <c r="O162" i="84" s="1"/>
  <c r="L197" i="84"/>
  <c r="M197" i="84" s="1"/>
  <c r="O197" i="84" s="1"/>
  <c r="L192" i="84"/>
  <c r="M192" i="84" s="1"/>
  <c r="O192" i="84" s="1"/>
  <c r="AO184" i="84"/>
  <c r="AO195" i="84"/>
  <c r="AO60" i="84"/>
  <c r="AO51" i="84"/>
  <c r="AO37" i="84"/>
  <c r="L160" i="84"/>
  <c r="M160" i="84" s="1"/>
  <c r="O160" i="84" s="1"/>
  <c r="L182" i="84"/>
  <c r="M182" i="84" s="1"/>
  <c r="O182" i="84" s="1"/>
  <c r="L177" i="84"/>
  <c r="M177" i="84" s="1"/>
  <c r="O177" i="84" s="1"/>
  <c r="L167" i="84"/>
  <c r="M167" i="84" s="1"/>
  <c r="O167" i="84" s="1"/>
  <c r="L157" i="84"/>
  <c r="M157" i="84" s="1"/>
  <c r="O157" i="84" s="1"/>
  <c r="L196" i="84"/>
  <c r="M196" i="84" s="1"/>
  <c r="O196" i="84" s="1"/>
  <c r="AO100" i="84"/>
  <c r="AO179" i="84"/>
  <c r="AO176" i="84"/>
  <c r="AO83" i="84"/>
  <c r="AO191" i="84"/>
  <c r="AO146" i="84"/>
  <c r="AO43" i="84"/>
  <c r="AO125" i="84"/>
  <c r="AO197" i="84"/>
  <c r="AO154" i="84"/>
  <c r="AO160" i="84"/>
  <c r="AO87" i="84"/>
  <c r="AO58" i="84"/>
  <c r="AO36" i="84"/>
  <c r="AO121" i="84"/>
  <c r="AO180" i="84"/>
  <c r="AO65" i="84"/>
  <c r="AO48" i="84"/>
  <c r="AO92" i="84"/>
  <c r="AO42" i="84"/>
  <c r="AO196" i="84"/>
  <c r="AO186" i="84"/>
  <c r="AO142" i="84"/>
  <c r="AO35" i="84"/>
  <c r="AO84" i="84"/>
  <c r="AO31" i="84"/>
  <c r="AO50" i="84"/>
  <c r="AO135" i="84"/>
  <c r="W32" i="84"/>
  <c r="Y32" i="84" s="1"/>
  <c r="AO136" i="84"/>
  <c r="W22" i="84"/>
  <c r="Y22" i="84" s="1"/>
  <c r="W30" i="84"/>
  <c r="Y30" i="84" s="1"/>
  <c r="E19" i="84"/>
  <c r="O21" i="84"/>
  <c r="W20" i="84"/>
  <c r="AO145" i="84"/>
  <c r="AO77" i="84"/>
  <c r="AO131" i="84"/>
  <c r="AO111" i="84"/>
  <c r="AO155" i="84"/>
  <c r="AO94" i="84"/>
  <c r="AO194" i="84"/>
  <c r="AO108" i="84"/>
  <c r="AN129" i="84"/>
  <c r="AO129" i="84" s="1"/>
  <c r="V29" i="84"/>
  <c r="AO22" i="84"/>
  <c r="AN45" i="84"/>
  <c r="AO45" i="84" s="1"/>
  <c r="V22" i="84"/>
  <c r="AO175" i="84"/>
  <c r="AO109" i="84"/>
  <c r="AO171" i="84"/>
  <c r="AO188" i="84"/>
  <c r="AO78" i="84"/>
  <c r="AO80" i="84"/>
  <c r="AO54" i="84"/>
  <c r="AJ19" i="84"/>
  <c r="AO46" i="84"/>
  <c r="AN177" i="84"/>
  <c r="AO177" i="84" s="1"/>
  <c r="V33" i="84"/>
  <c r="AO161" i="84"/>
  <c r="W29" i="84"/>
  <c r="Y29" i="84" s="1"/>
  <c r="AO193" i="84"/>
  <c r="AO89" i="84"/>
  <c r="AO70" i="84"/>
  <c r="O26" i="84"/>
  <c r="R185" i="84"/>
  <c r="R186" i="84" s="1"/>
  <c r="AO143" i="84"/>
  <c r="W28" i="84"/>
  <c r="Y28" i="84" s="1"/>
  <c r="AO79" i="84"/>
  <c r="AO134" i="84"/>
  <c r="V20" i="84"/>
  <c r="AN21" i="84"/>
  <c r="AO21" i="84" s="1"/>
  <c r="AL19" i="84"/>
  <c r="AO138" i="84"/>
  <c r="AN69" i="84"/>
  <c r="AO69" i="84" s="1"/>
  <c r="V24" i="84"/>
  <c r="AN165" i="84"/>
  <c r="AO165" i="84" s="1"/>
  <c r="V32" i="84"/>
  <c r="AO113" i="84"/>
  <c r="W33" i="84"/>
  <c r="Y33" i="84" s="1"/>
  <c r="AO137" i="84"/>
  <c r="AO40" i="84"/>
  <c r="W34" i="84"/>
  <c r="Y34" i="84" s="1"/>
  <c r="AO133" i="84"/>
  <c r="AN81" i="84"/>
  <c r="AO81" i="84" s="1"/>
  <c r="V25" i="84"/>
  <c r="AO127" i="84"/>
  <c r="AO82" i="84"/>
  <c r="AO97" i="84"/>
  <c r="AO71" i="84"/>
  <c r="AO187" i="84"/>
  <c r="AO139" i="84"/>
  <c r="AO26" i="84"/>
  <c r="W25" i="84"/>
  <c r="Y25" i="84" s="1"/>
  <c r="AO157" i="84"/>
  <c r="AO126" i="84"/>
  <c r="AO68" i="84"/>
  <c r="AO173" i="84"/>
  <c r="AO98" i="84"/>
  <c r="AO32" i="84"/>
  <c r="AO67" i="84"/>
  <c r="AO86" i="84"/>
  <c r="AO169" i="84"/>
  <c r="AO64" i="84"/>
  <c r="AO63" i="84"/>
  <c r="AO25" i="84"/>
  <c r="AO59" i="84"/>
  <c r="AO124" i="84"/>
  <c r="AN117" i="84"/>
  <c r="AO117" i="84" s="1"/>
  <c r="V28" i="84"/>
  <c r="AO185" i="84"/>
  <c r="AO120" i="84"/>
  <c r="AO114" i="84"/>
  <c r="AO49" i="84"/>
  <c r="W24" i="84"/>
  <c r="Y24" i="84" s="1"/>
  <c r="W23" i="84"/>
  <c r="Y23" i="84" s="1"/>
  <c r="AO167" i="84"/>
  <c r="AN189" i="84"/>
  <c r="AO189" i="84" s="1"/>
  <c r="V34" i="84"/>
  <c r="AO118" i="84"/>
  <c r="AO174" i="84"/>
  <c r="AO73" i="84"/>
  <c r="AO163" i="84"/>
  <c r="AO39" i="84"/>
  <c r="AO74" i="84"/>
  <c r="AO149" i="84"/>
  <c r="AO106" i="84"/>
  <c r="AO88" i="84"/>
  <c r="AO182" i="84"/>
  <c r="AO130" i="84"/>
  <c r="AO164" i="84"/>
  <c r="W27" i="84"/>
  <c r="Y27" i="84" s="1"/>
  <c r="AN57" i="84"/>
  <c r="AO57" i="84" s="1"/>
  <c r="V23" i="84"/>
  <c r="AN153" i="84"/>
  <c r="AO153" i="84" s="1"/>
  <c r="V31" i="84"/>
  <c r="AO104" i="84"/>
  <c r="AO24" i="84"/>
  <c r="AO183" i="84"/>
  <c r="W21" i="84"/>
  <c r="Y21" i="84" s="1"/>
  <c r="AO41" i="84"/>
  <c r="AO76" i="84"/>
  <c r="W26" i="84"/>
  <c r="Y26" i="84" s="1"/>
  <c r="AN105" i="84"/>
  <c r="AO105" i="84" s="1"/>
  <c r="V27" i="84"/>
  <c r="AO56" i="84"/>
  <c r="AO162" i="84"/>
  <c r="J62" i="83"/>
  <c r="K7" i="83"/>
  <c r="AO91" i="84"/>
  <c r="AO192" i="84"/>
  <c r="AN33" i="84"/>
  <c r="AO33" i="84" s="1"/>
  <c r="V21" i="84"/>
  <c r="AO47" i="84"/>
  <c r="AO99" i="84"/>
  <c r="AN93" i="84"/>
  <c r="AO93" i="84" s="1"/>
  <c r="V26" i="84"/>
  <c r="AO132" i="84"/>
  <c r="AO44" i="84"/>
  <c r="AO159" i="84"/>
  <c r="AO29" i="84"/>
  <c r="W31" i="84"/>
  <c r="Y31" i="84" s="1"/>
  <c r="AN141" i="84"/>
  <c r="AO141" i="84" s="1"/>
  <c r="V30" i="84"/>
  <c r="AO200" i="84"/>
  <c r="AO72" i="84"/>
  <c r="I72" i="83"/>
  <c r="BA24" i="44"/>
  <c r="AX33" i="44"/>
  <c r="AY33" i="44"/>
  <c r="AZ33" i="44"/>
  <c r="AW32" i="44"/>
  <c r="AX32" i="44"/>
  <c r="AY32" i="44"/>
  <c r="AZ32" i="44"/>
  <c r="AZ30" i="44"/>
  <c r="AY30" i="44"/>
  <c r="AU30" i="44"/>
  <c r="AU36" i="44" s="1"/>
  <c r="AU40" i="44" s="1"/>
  <c r="AV30" i="44"/>
  <c r="AW30" i="44"/>
  <c r="AX30" i="44"/>
  <c r="AZ31" i="44"/>
  <c r="AV31" i="44"/>
  <c r="AY31" i="44"/>
  <c r="AW31" i="44"/>
  <c r="AX31" i="44"/>
  <c r="AY34" i="44"/>
  <c r="AZ34" i="44"/>
  <c r="AD45" i="37"/>
  <c r="AK45" i="37" s="1"/>
  <c r="AI43" i="37"/>
  <c r="AJ43" i="37"/>
  <c r="AK43" i="37"/>
  <c r="AH43" i="37"/>
  <c r="B66" i="36" l="1"/>
  <c r="B121" i="36"/>
  <c r="B21" i="36"/>
  <c r="H21" i="36"/>
  <c r="H122" i="36" s="1"/>
  <c r="G21" i="36"/>
  <c r="G122" i="36" s="1"/>
  <c r="I21" i="36"/>
  <c r="I122" i="36" s="1"/>
  <c r="J21" i="36"/>
  <c r="J122" i="36" s="1"/>
  <c r="M68" i="84"/>
  <c r="O68" i="84" s="1"/>
  <c r="M152" i="84"/>
  <c r="AA30" i="84" s="1"/>
  <c r="G106" i="36"/>
  <c r="E106" i="36"/>
  <c r="G6" i="36"/>
  <c r="G107" i="36" s="1"/>
  <c r="M92" i="84"/>
  <c r="O92" i="84" s="1"/>
  <c r="AE25" i="84" s="1"/>
  <c r="M80" i="84"/>
  <c r="O80" i="84" s="1"/>
  <c r="AE24" i="84" s="1"/>
  <c r="M104" i="84"/>
  <c r="O104" i="84" s="1"/>
  <c r="AE26" i="84" s="1"/>
  <c r="Z22" i="84"/>
  <c r="Z33" i="84"/>
  <c r="Z28" i="84"/>
  <c r="Z31" i="84"/>
  <c r="K21" i="36"/>
  <c r="K122" i="36" s="1"/>
  <c r="K30" i="36"/>
  <c r="K131" i="36" s="1"/>
  <c r="J30" i="36"/>
  <c r="J131" i="36" s="1"/>
  <c r="I30" i="36"/>
  <c r="I131" i="36" s="1"/>
  <c r="H30" i="36"/>
  <c r="H131" i="36" s="1"/>
  <c r="G30" i="36"/>
  <c r="G131" i="36" s="1"/>
  <c r="G8" i="36"/>
  <c r="G109" i="36" s="1"/>
  <c r="K8" i="36"/>
  <c r="K109" i="36" s="1"/>
  <c r="J8" i="36"/>
  <c r="J109" i="36" s="1"/>
  <c r="I8" i="36"/>
  <c r="I109" i="36" s="1"/>
  <c r="H8" i="36"/>
  <c r="H109" i="36" s="1"/>
  <c r="H5" i="36"/>
  <c r="H106" i="36" s="1"/>
  <c r="J5" i="36"/>
  <c r="I5" i="36"/>
  <c r="I106" i="36" s="1"/>
  <c r="K5" i="36"/>
  <c r="K6" i="36"/>
  <c r="K107" i="36" s="1"/>
  <c r="J6" i="36"/>
  <c r="J107" i="36" s="1"/>
  <c r="I6" i="36"/>
  <c r="I107" i="36" s="1"/>
  <c r="H6" i="36"/>
  <c r="H107" i="36" s="1"/>
  <c r="AA20" i="84"/>
  <c r="Z27" i="84"/>
  <c r="AC28" i="84"/>
  <c r="O117" i="84"/>
  <c r="AB32" i="84"/>
  <c r="AA28" i="84"/>
  <c r="Z32" i="84"/>
  <c r="M140" i="84"/>
  <c r="AC29" i="84" s="1"/>
  <c r="Z20" i="84"/>
  <c r="L18" i="84"/>
  <c r="R6" i="84" s="1"/>
  <c r="R9" i="84" s="1"/>
  <c r="R10" i="84" s="1"/>
  <c r="Z34" i="84"/>
  <c r="AA33" i="84"/>
  <c r="AB28" i="84"/>
  <c r="AC22" i="84"/>
  <c r="AC27" i="84"/>
  <c r="M44" i="84"/>
  <c r="AC21" i="84" s="1"/>
  <c r="O64" i="84"/>
  <c r="AC34" i="84"/>
  <c r="AB33" i="84"/>
  <c r="AC33" i="84"/>
  <c r="AA31" i="84"/>
  <c r="O128" i="84"/>
  <c r="AC31" i="84"/>
  <c r="AB34" i="84"/>
  <c r="O200" i="84"/>
  <c r="AE34" i="84" s="1"/>
  <c r="AA27" i="84"/>
  <c r="AP44" i="84"/>
  <c r="AC20" i="84"/>
  <c r="O176" i="84"/>
  <c r="AE32" i="84" s="1"/>
  <c r="AB20" i="84"/>
  <c r="G5" i="83" s="1"/>
  <c r="O32" i="84"/>
  <c r="AA34" i="84"/>
  <c r="AB31" i="84"/>
  <c r="AA32" i="84"/>
  <c r="AP80" i="84"/>
  <c r="W35" i="84"/>
  <c r="W36" i="84" s="1"/>
  <c r="Y20" i="84"/>
  <c r="AB27" i="84"/>
  <c r="AC32" i="84"/>
  <c r="AP56" i="84"/>
  <c r="AP164" i="84"/>
  <c r="J72" i="83"/>
  <c r="AB22" i="84"/>
  <c r="I5" i="83" s="1"/>
  <c r="AE22" i="84"/>
  <c r="AE33" i="84"/>
  <c r="K62" i="83"/>
  <c r="AP104" i="84"/>
  <c r="AP200" i="84"/>
  <c r="AA22" i="84"/>
  <c r="AE31" i="84"/>
  <c r="AP128" i="84"/>
  <c r="AP176" i="84"/>
  <c r="AE27" i="84"/>
  <c r="AP140" i="84"/>
  <c r="AO19" i="84"/>
  <c r="AP152" i="84"/>
  <c r="AP116" i="84"/>
  <c r="AP92" i="84"/>
  <c r="AP188" i="84"/>
  <c r="AN19" i="84"/>
  <c r="V35" i="84"/>
  <c r="AP68" i="84"/>
  <c r="AG44" i="37"/>
  <c r="D44" i="26" s="1"/>
  <c r="AH44" i="37"/>
  <c r="E44" i="26" s="1"/>
  <c r="F46" i="77" s="1"/>
  <c r="AX36" i="44"/>
  <c r="AX40" i="44" s="1"/>
  <c r="AY36" i="44"/>
  <c r="AY40" i="44" s="1"/>
  <c r="AS50" i="44" a="1"/>
  <c r="AS50" i="44" s="1"/>
  <c r="AV36" i="44"/>
  <c r="AV40" i="44" s="1"/>
  <c r="AW36" i="44"/>
  <c r="AW40" i="44" s="1"/>
  <c r="AZ36" i="44"/>
  <c r="AZ40" i="44" s="1"/>
  <c r="E45" i="26"/>
  <c r="F47" i="77" s="1"/>
  <c r="G45" i="26"/>
  <c r="H47" i="77" s="1"/>
  <c r="D43" i="26"/>
  <c r="D51" i="36"/>
  <c r="C51" i="36"/>
  <c r="AH46" i="44"/>
  <c r="K55" i="82"/>
  <c r="J55" i="82"/>
  <c r="I55" i="82"/>
  <c r="H55" i="82"/>
  <c r="G55" i="82"/>
  <c r="G54" i="82"/>
  <c r="G8" i="82" s="1"/>
  <c r="G7" i="82" s="1"/>
  <c r="G62" i="82" s="1"/>
  <c r="C7" i="79"/>
  <c r="E6" i="79" s="1"/>
  <c r="Z8" i="37"/>
  <c r="AG50" i="37"/>
  <c r="F11" i="78"/>
  <c r="H54" i="83" s="1"/>
  <c r="H10" i="83" s="1"/>
  <c r="H9" i="83" s="1"/>
  <c r="B25" i="77"/>
  <c r="AM200" i="79"/>
  <c r="AM199" i="79"/>
  <c r="AM198" i="79"/>
  <c r="AM197" i="79"/>
  <c r="AM196" i="79"/>
  <c r="AM195" i="79"/>
  <c r="AM194" i="79"/>
  <c r="AM193" i="79"/>
  <c r="AM192" i="79"/>
  <c r="AM191" i="79"/>
  <c r="AM190" i="79"/>
  <c r="AM189" i="79"/>
  <c r="AM188" i="79"/>
  <c r="AM187" i="79"/>
  <c r="AM186" i="79"/>
  <c r="AM185" i="79"/>
  <c r="AM184" i="79"/>
  <c r="AM183" i="79"/>
  <c r="AM182" i="79"/>
  <c r="AM181" i="79"/>
  <c r="AM180" i="79"/>
  <c r="AM179" i="79"/>
  <c r="AM178" i="79"/>
  <c r="AM177" i="79"/>
  <c r="AM176" i="79"/>
  <c r="AM175" i="79"/>
  <c r="AM174" i="79"/>
  <c r="AM173" i="79"/>
  <c r="AM172" i="79"/>
  <c r="AM171" i="79"/>
  <c r="AM170" i="79"/>
  <c r="AM169" i="79"/>
  <c r="AM168" i="79"/>
  <c r="AM167" i="79"/>
  <c r="AM166" i="79"/>
  <c r="AM165" i="79"/>
  <c r="AM164" i="79"/>
  <c r="AM163" i="79"/>
  <c r="AM162" i="79"/>
  <c r="AM161" i="79"/>
  <c r="AM160" i="79"/>
  <c r="AM159" i="79"/>
  <c r="AM158" i="79"/>
  <c r="AM157" i="79"/>
  <c r="AM156" i="79"/>
  <c r="AM155" i="79"/>
  <c r="AM154" i="79"/>
  <c r="AM153" i="79"/>
  <c r="AM152" i="79"/>
  <c r="AM151" i="79"/>
  <c r="AM150" i="79"/>
  <c r="AM149" i="79"/>
  <c r="AM148" i="79"/>
  <c r="AM147" i="79"/>
  <c r="AM146" i="79"/>
  <c r="AM145" i="79"/>
  <c r="AM144" i="79"/>
  <c r="AM143" i="79"/>
  <c r="AM142" i="79"/>
  <c r="AM141" i="79"/>
  <c r="AM140" i="79"/>
  <c r="AM139" i="79"/>
  <c r="AM138" i="79"/>
  <c r="AM137" i="79"/>
  <c r="AM136" i="79"/>
  <c r="AM135" i="79"/>
  <c r="AM134" i="79"/>
  <c r="AM133" i="79"/>
  <c r="AM132" i="79"/>
  <c r="AM131" i="79"/>
  <c r="AM130" i="79"/>
  <c r="AM129" i="79"/>
  <c r="AM128" i="79"/>
  <c r="AM127" i="79"/>
  <c r="AM126" i="79"/>
  <c r="AM125" i="79"/>
  <c r="AM124" i="79"/>
  <c r="AM123" i="79"/>
  <c r="AM122" i="79"/>
  <c r="AM121" i="79"/>
  <c r="AM120" i="79"/>
  <c r="AM119" i="79"/>
  <c r="AM118" i="79"/>
  <c r="AM117" i="79"/>
  <c r="AM116" i="79"/>
  <c r="AM115" i="79"/>
  <c r="AM114" i="79"/>
  <c r="AM113" i="79"/>
  <c r="AM112" i="79"/>
  <c r="AM111" i="79"/>
  <c r="AM110" i="79"/>
  <c r="AM109" i="79"/>
  <c r="AM108" i="79"/>
  <c r="AM107" i="79"/>
  <c r="AM106" i="79"/>
  <c r="AM105" i="79"/>
  <c r="AM104" i="79"/>
  <c r="AM103" i="79"/>
  <c r="AM102" i="79"/>
  <c r="AM101" i="79"/>
  <c r="AM100" i="79"/>
  <c r="AM99" i="79"/>
  <c r="AM98" i="79"/>
  <c r="AM97" i="79"/>
  <c r="AM96" i="79"/>
  <c r="AM95" i="79"/>
  <c r="AM94" i="79"/>
  <c r="AM93" i="79"/>
  <c r="AM92" i="79"/>
  <c r="AM91" i="79"/>
  <c r="AM90" i="79"/>
  <c r="AM89" i="79"/>
  <c r="AM88" i="79"/>
  <c r="AM87" i="79"/>
  <c r="AM86" i="79"/>
  <c r="AM85" i="79"/>
  <c r="AM84" i="79"/>
  <c r="AM83" i="79"/>
  <c r="AM82" i="79"/>
  <c r="AM81" i="79"/>
  <c r="AM80" i="79"/>
  <c r="AM79" i="79"/>
  <c r="AM78" i="79"/>
  <c r="AM77" i="79"/>
  <c r="AM76" i="79"/>
  <c r="AM75" i="79"/>
  <c r="AM74" i="79"/>
  <c r="AM73" i="79"/>
  <c r="AM72" i="79"/>
  <c r="AM71" i="79"/>
  <c r="AM70" i="79"/>
  <c r="AM69" i="79"/>
  <c r="AM68" i="79"/>
  <c r="AM67" i="79"/>
  <c r="AM66" i="79"/>
  <c r="AM65" i="79"/>
  <c r="AM64" i="79"/>
  <c r="AM63" i="79"/>
  <c r="AM62" i="79"/>
  <c r="AM61" i="79"/>
  <c r="AM60" i="79"/>
  <c r="AM59" i="79"/>
  <c r="AM58" i="79"/>
  <c r="AM57" i="79"/>
  <c r="AM56" i="79"/>
  <c r="AM55" i="79"/>
  <c r="AM54" i="79"/>
  <c r="AM53" i="79"/>
  <c r="AM52" i="79"/>
  <c r="AM51" i="79"/>
  <c r="AM50" i="79"/>
  <c r="AM49" i="79"/>
  <c r="AM48" i="79"/>
  <c r="AM47" i="79"/>
  <c r="AM46" i="79"/>
  <c r="AM45" i="79"/>
  <c r="AM44" i="79"/>
  <c r="AM43" i="79"/>
  <c r="AM42" i="79"/>
  <c r="AM41" i="79"/>
  <c r="AM40" i="79"/>
  <c r="AM39" i="79"/>
  <c r="AM38" i="79"/>
  <c r="AM37" i="79"/>
  <c r="AM36" i="79"/>
  <c r="AM35" i="79"/>
  <c r="AM34" i="79"/>
  <c r="X34" i="79"/>
  <c r="AM33" i="79"/>
  <c r="X33" i="79"/>
  <c r="A33" i="79"/>
  <c r="A45" i="79"/>
  <c r="A57" i="79"/>
  <c r="A69" i="79"/>
  <c r="A81" i="79"/>
  <c r="A93" i="79"/>
  <c r="A105" i="79"/>
  <c r="A117" i="79"/>
  <c r="A129" i="79"/>
  <c r="A141" i="79"/>
  <c r="A153" i="79"/>
  <c r="A165" i="79"/>
  <c r="A177" i="79"/>
  <c r="A189" i="79"/>
  <c r="AM32" i="79"/>
  <c r="X32" i="79"/>
  <c r="AM31" i="79"/>
  <c r="X31" i="79"/>
  <c r="AM30" i="79"/>
  <c r="X30" i="79"/>
  <c r="AM29" i="79"/>
  <c r="X29" i="79"/>
  <c r="AM28" i="79"/>
  <c r="X28" i="79"/>
  <c r="AM27" i="79"/>
  <c r="X27" i="79"/>
  <c r="AM26" i="79"/>
  <c r="X26" i="79"/>
  <c r="AM25" i="79"/>
  <c r="X25" i="79"/>
  <c r="AM24" i="79"/>
  <c r="X24" i="79"/>
  <c r="AM23" i="79"/>
  <c r="X23" i="79"/>
  <c r="AM22" i="79"/>
  <c r="X22" i="79"/>
  <c r="B22" i="79"/>
  <c r="B23" i="79"/>
  <c r="B24" i="79"/>
  <c r="B25" i="79"/>
  <c r="B26" i="79"/>
  <c r="B27" i="79"/>
  <c r="B28" i="79"/>
  <c r="B29" i="79"/>
  <c r="B30" i="79"/>
  <c r="B31" i="79"/>
  <c r="B32" i="79"/>
  <c r="B33" i="79"/>
  <c r="B34" i="79"/>
  <c r="B35" i="79"/>
  <c r="B36" i="79"/>
  <c r="B37" i="79"/>
  <c r="B38" i="79"/>
  <c r="B39" i="79"/>
  <c r="B40" i="79"/>
  <c r="B41" i="79"/>
  <c r="B42" i="79"/>
  <c r="B43" i="79"/>
  <c r="B44" i="79"/>
  <c r="B45" i="79"/>
  <c r="B46" i="79"/>
  <c r="B47" i="79"/>
  <c r="B48" i="79"/>
  <c r="B49" i="79"/>
  <c r="B50" i="79"/>
  <c r="B51" i="79"/>
  <c r="B52" i="79"/>
  <c r="B53" i="79"/>
  <c r="B54" i="79"/>
  <c r="B55" i="79"/>
  <c r="B56" i="79"/>
  <c r="B57" i="79"/>
  <c r="B58" i="79"/>
  <c r="B59" i="79"/>
  <c r="B60" i="79"/>
  <c r="B61" i="79"/>
  <c r="B62" i="79"/>
  <c r="B63" i="79"/>
  <c r="B64" i="79"/>
  <c r="B65" i="79"/>
  <c r="B66" i="79"/>
  <c r="B67" i="79"/>
  <c r="B68" i="79"/>
  <c r="B69" i="79"/>
  <c r="B70" i="79"/>
  <c r="B71" i="79"/>
  <c r="B72" i="79"/>
  <c r="B73" i="79"/>
  <c r="B74" i="79"/>
  <c r="B75" i="79"/>
  <c r="B76" i="79"/>
  <c r="B77" i="79"/>
  <c r="B78" i="79"/>
  <c r="B79" i="79"/>
  <c r="B80" i="79"/>
  <c r="B81" i="79"/>
  <c r="B82" i="79"/>
  <c r="B83" i="79"/>
  <c r="B84" i="79"/>
  <c r="B85" i="79"/>
  <c r="B86" i="79"/>
  <c r="B87" i="79"/>
  <c r="B88" i="79"/>
  <c r="B89" i="79"/>
  <c r="B90" i="79"/>
  <c r="B91" i="79"/>
  <c r="B92" i="79"/>
  <c r="B93" i="79"/>
  <c r="B94" i="79"/>
  <c r="B95" i="79"/>
  <c r="B96" i="79"/>
  <c r="B97" i="79"/>
  <c r="B98" i="79"/>
  <c r="B99" i="79"/>
  <c r="B100" i="79"/>
  <c r="B101" i="79"/>
  <c r="B102" i="79"/>
  <c r="B103" i="79"/>
  <c r="B104" i="79"/>
  <c r="B105" i="79"/>
  <c r="B106" i="79"/>
  <c r="B107" i="79"/>
  <c r="B108" i="79"/>
  <c r="B109" i="79"/>
  <c r="B110" i="79"/>
  <c r="B111" i="79"/>
  <c r="B112" i="79"/>
  <c r="B113" i="79"/>
  <c r="B114" i="79"/>
  <c r="B115" i="79"/>
  <c r="B116" i="79"/>
  <c r="B117" i="79"/>
  <c r="B118" i="79"/>
  <c r="B119" i="79"/>
  <c r="B120" i="79"/>
  <c r="B121" i="79"/>
  <c r="B122" i="79"/>
  <c r="B123" i="79"/>
  <c r="B124" i="79"/>
  <c r="B125" i="79"/>
  <c r="B126" i="79"/>
  <c r="B127" i="79"/>
  <c r="B128" i="79"/>
  <c r="B129" i="79"/>
  <c r="B130" i="79"/>
  <c r="B131" i="79"/>
  <c r="B132" i="79"/>
  <c r="B133" i="79"/>
  <c r="B134" i="79"/>
  <c r="B135" i="79"/>
  <c r="B136" i="79"/>
  <c r="B137" i="79"/>
  <c r="B138" i="79"/>
  <c r="B139" i="79"/>
  <c r="B140" i="79"/>
  <c r="B141" i="79"/>
  <c r="B142" i="79"/>
  <c r="B143" i="79"/>
  <c r="B144" i="79"/>
  <c r="B145" i="79"/>
  <c r="B146" i="79"/>
  <c r="B147" i="79"/>
  <c r="B148" i="79"/>
  <c r="B149" i="79"/>
  <c r="B150" i="79"/>
  <c r="B151" i="79"/>
  <c r="B152" i="79"/>
  <c r="B153" i="79"/>
  <c r="B154" i="79"/>
  <c r="B155" i="79"/>
  <c r="B156" i="79"/>
  <c r="B157" i="79"/>
  <c r="B158" i="79"/>
  <c r="B159" i="79"/>
  <c r="B160" i="79"/>
  <c r="B161" i="79"/>
  <c r="B162" i="79"/>
  <c r="B163" i="79"/>
  <c r="B164" i="79"/>
  <c r="B165" i="79"/>
  <c r="B166" i="79"/>
  <c r="B167" i="79"/>
  <c r="B168" i="79"/>
  <c r="B169" i="79"/>
  <c r="B170" i="79"/>
  <c r="B171" i="79"/>
  <c r="B172" i="79"/>
  <c r="B173" i="79"/>
  <c r="B174" i="79"/>
  <c r="B175" i="79"/>
  <c r="B176" i="79"/>
  <c r="B177" i="79"/>
  <c r="B178" i="79"/>
  <c r="B179" i="79"/>
  <c r="B180" i="79"/>
  <c r="B181" i="79"/>
  <c r="B182" i="79"/>
  <c r="B183" i="79"/>
  <c r="B184" i="79"/>
  <c r="B185" i="79"/>
  <c r="B186" i="79"/>
  <c r="B187" i="79"/>
  <c r="B188" i="79"/>
  <c r="B189" i="79"/>
  <c r="B190" i="79"/>
  <c r="B191" i="79"/>
  <c r="B192" i="79"/>
  <c r="B193" i="79"/>
  <c r="B194" i="79"/>
  <c r="B195" i="79"/>
  <c r="B196" i="79"/>
  <c r="B197" i="79"/>
  <c r="B198" i="79"/>
  <c r="B199" i="79"/>
  <c r="B200" i="79"/>
  <c r="AM21" i="79"/>
  <c r="AM19" i="79"/>
  <c r="X21" i="79"/>
  <c r="X20" i="79"/>
  <c r="AC19" i="79"/>
  <c r="AB19" i="79"/>
  <c r="V19" i="79"/>
  <c r="H19" i="79"/>
  <c r="E12" i="79"/>
  <c r="W19" i="79"/>
  <c r="H10" i="79"/>
  <c r="H9" i="79"/>
  <c r="AK190" i="79" s="1"/>
  <c r="M6" i="79"/>
  <c r="M9" i="79" s="1"/>
  <c r="AA19" i="79" s="1"/>
  <c r="H5" i="79"/>
  <c r="AK195" i="79"/>
  <c r="AK169" i="79"/>
  <c r="AK144" i="79"/>
  <c r="AK138" i="79"/>
  <c r="AK129" i="79"/>
  <c r="AK186" i="79"/>
  <c r="AK95" i="79"/>
  <c r="AK107" i="79"/>
  <c r="AK116" i="79"/>
  <c r="AK93" i="79"/>
  <c r="AK62" i="79"/>
  <c r="AK53" i="79"/>
  <c r="AK99" i="79"/>
  <c r="AK54" i="79"/>
  <c r="AK29" i="79"/>
  <c r="AK25" i="79"/>
  <c r="X35" i="79"/>
  <c r="X36" i="79"/>
  <c r="B43" i="26"/>
  <c r="H43" i="26"/>
  <c r="I45" i="77" s="1"/>
  <c r="G43" i="26"/>
  <c r="H45" i="77" s="1"/>
  <c r="F43" i="26"/>
  <c r="G45" i="77" s="1"/>
  <c r="E43" i="26"/>
  <c r="F45" i="77" s="1"/>
  <c r="AD23" i="44"/>
  <c r="C50" i="36"/>
  <c r="D50" i="36"/>
  <c r="E50" i="36"/>
  <c r="F45" i="26"/>
  <c r="G47" i="77" s="1"/>
  <c r="F3" i="77"/>
  <c r="G3" i="77"/>
  <c r="H3" i="77"/>
  <c r="I3" i="77"/>
  <c r="E3" i="77"/>
  <c r="D45" i="26"/>
  <c r="F46" i="69"/>
  <c r="H46" i="69" s="1"/>
  <c r="C46" i="69"/>
  <c r="F45" i="69"/>
  <c r="H45" i="69" s="1"/>
  <c r="C45" i="69"/>
  <c r="F44" i="69"/>
  <c r="H44" i="69" s="1"/>
  <c r="C44" i="69"/>
  <c r="F43" i="69"/>
  <c r="H43" i="69" s="1"/>
  <c r="C43" i="69"/>
  <c r="F42" i="69"/>
  <c r="H42" i="69" s="1"/>
  <c r="C42" i="69"/>
  <c r="F41" i="69"/>
  <c r="H41" i="69" s="1"/>
  <c r="C41" i="69"/>
  <c r="F40" i="69"/>
  <c r="H40" i="69" s="1"/>
  <c r="C40" i="69"/>
  <c r="F39" i="69"/>
  <c r="H39" i="69" s="1"/>
  <c r="C39" i="69"/>
  <c r="F38" i="69"/>
  <c r="H38" i="69" s="1"/>
  <c r="C38" i="69"/>
  <c r="F37" i="69"/>
  <c r="H37" i="69" s="1"/>
  <c r="C37" i="69"/>
  <c r="F36" i="69"/>
  <c r="H36" i="69" s="1"/>
  <c r="C36" i="69"/>
  <c r="F35" i="69"/>
  <c r="H35" i="69" s="1"/>
  <c r="C35" i="69"/>
  <c r="F34" i="69"/>
  <c r="H34" i="69" s="1"/>
  <c r="C34" i="69"/>
  <c r="F33" i="69"/>
  <c r="H33" i="69" s="1"/>
  <c r="C33" i="69"/>
  <c r="F32" i="69"/>
  <c r="H32" i="69" s="1"/>
  <c r="C32" i="69"/>
  <c r="F31" i="69"/>
  <c r="H31" i="69" s="1"/>
  <c r="C31" i="69"/>
  <c r="F30" i="69"/>
  <c r="H30" i="69" s="1"/>
  <c r="C30" i="69"/>
  <c r="F29" i="69"/>
  <c r="H29" i="69" s="1"/>
  <c r="C29" i="69"/>
  <c r="F28" i="69"/>
  <c r="H28" i="69" s="1"/>
  <c r="C28" i="69"/>
  <c r="C25" i="69"/>
  <c r="C24" i="69"/>
  <c r="C23" i="69"/>
  <c r="C22" i="69"/>
  <c r="C21" i="69"/>
  <c r="C19" i="69"/>
  <c r="C18" i="69"/>
  <c r="C10" i="69"/>
  <c r="C6" i="69"/>
  <c r="C4" i="69"/>
  <c r="F5" i="37"/>
  <c r="M5" i="37" s="1"/>
  <c r="T5" i="37" s="1"/>
  <c r="F47" i="69"/>
  <c r="H47" i="69" s="1"/>
  <c r="F48" i="69"/>
  <c r="H48" i="69" s="1"/>
  <c r="F49" i="69"/>
  <c r="H49" i="69" s="1"/>
  <c r="F50" i="69"/>
  <c r="H50" i="69" s="1"/>
  <c r="F51" i="69"/>
  <c r="H51" i="69" s="1"/>
  <c r="F52" i="69"/>
  <c r="H52" i="69" s="1"/>
  <c r="F53" i="69"/>
  <c r="H53" i="69" s="1"/>
  <c r="F54" i="69"/>
  <c r="H54" i="69" s="1"/>
  <c r="F55" i="69"/>
  <c r="H55" i="69" s="1"/>
  <c r="F56" i="69"/>
  <c r="H56" i="69" s="1"/>
  <c r="F57" i="69"/>
  <c r="H57" i="69" s="1"/>
  <c r="F58" i="69"/>
  <c r="H58" i="69" s="1"/>
  <c r="F59" i="69"/>
  <c r="H59" i="69" s="1"/>
  <c r="G5" i="37"/>
  <c r="N5" i="37" s="1"/>
  <c r="U5" i="37" s="1"/>
  <c r="H5" i="37"/>
  <c r="O5" i="37" s="1"/>
  <c r="V5" i="37" s="1"/>
  <c r="I5" i="37"/>
  <c r="P5" i="37" s="1"/>
  <c r="W5" i="37" s="1"/>
  <c r="G92" i="36"/>
  <c r="H92" i="36"/>
  <c r="F23" i="44"/>
  <c r="E38" i="44" s="1"/>
  <c r="G23" i="44"/>
  <c r="F38" i="44" s="1"/>
  <c r="Q23" i="44"/>
  <c r="AA23" i="44"/>
  <c r="AH50" i="37"/>
  <c r="F52" i="77" s="1"/>
  <c r="H23" i="44"/>
  <c r="G38" i="44" s="1"/>
  <c r="R23" i="44"/>
  <c r="AB23" i="44"/>
  <c r="T7" i="37" s="1"/>
  <c r="AI50" i="37"/>
  <c r="F50" i="26" s="1"/>
  <c r="I23" i="44"/>
  <c r="H38" i="44" s="1"/>
  <c r="S23" i="44"/>
  <c r="AJ50" i="37"/>
  <c r="H52" i="77" s="1"/>
  <c r="J23" i="44"/>
  <c r="AK50" i="37"/>
  <c r="P23" i="44"/>
  <c r="AN23" i="44"/>
  <c r="AL23" i="44"/>
  <c r="AK23" i="44"/>
  <c r="AJ23" i="44"/>
  <c r="AI23" i="44"/>
  <c r="AI24" i="44" s="1"/>
  <c r="Z23" i="44"/>
  <c r="Y38" i="44" s="1"/>
  <c r="R7" i="37" s="1"/>
  <c r="AC23" i="44"/>
  <c r="AM23" i="44"/>
  <c r="AO23" i="44"/>
  <c r="K92" i="36"/>
  <c r="J92" i="36"/>
  <c r="I92" i="36"/>
  <c r="K4" i="36"/>
  <c r="J4" i="36"/>
  <c r="I4" i="36"/>
  <c r="H4" i="36"/>
  <c r="G4" i="36"/>
  <c r="L5" i="37"/>
  <c r="S5" i="37" s="1"/>
  <c r="B8" i="26"/>
  <c r="C47" i="69"/>
  <c r="C48" i="69"/>
  <c r="C49" i="69"/>
  <c r="C50" i="69"/>
  <c r="C51" i="69"/>
  <c r="C52" i="69"/>
  <c r="C53" i="69"/>
  <c r="C54" i="69"/>
  <c r="C55" i="69"/>
  <c r="C56" i="69"/>
  <c r="C57" i="69"/>
  <c r="C58" i="69"/>
  <c r="C59" i="69"/>
  <c r="C6" i="67"/>
  <c r="C7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O27" i="67"/>
  <c r="P27" i="67"/>
  <c r="O26" i="67"/>
  <c r="O25" i="67"/>
  <c r="O24" i="67"/>
  <c r="O23" i="67"/>
  <c r="O22" i="67"/>
  <c r="O21" i="67"/>
  <c r="O20" i="67"/>
  <c r="O19" i="67"/>
  <c r="O18" i="67"/>
  <c r="O17" i="67"/>
  <c r="O16" i="67"/>
  <c r="N26" i="67"/>
  <c r="N25" i="67"/>
  <c r="N24" i="67"/>
  <c r="P24" i="67"/>
  <c r="N23" i="67"/>
  <c r="N22" i="67"/>
  <c r="N21" i="67"/>
  <c r="N20" i="67"/>
  <c r="N19" i="67"/>
  <c r="N18" i="67"/>
  <c r="N17" i="67"/>
  <c r="N16" i="67"/>
  <c r="N15" i="67"/>
  <c r="M25" i="67"/>
  <c r="M24" i="67"/>
  <c r="M23" i="67"/>
  <c r="M22" i="67"/>
  <c r="M21" i="67"/>
  <c r="M20" i="67"/>
  <c r="M19" i="67"/>
  <c r="M18" i="67"/>
  <c r="M17" i="67"/>
  <c r="M16" i="67"/>
  <c r="M15" i="67"/>
  <c r="M14" i="67"/>
  <c r="L24" i="67"/>
  <c r="L23" i="67"/>
  <c r="L22" i="67"/>
  <c r="L21" i="67"/>
  <c r="L20" i="67"/>
  <c r="L19" i="67"/>
  <c r="L18" i="67"/>
  <c r="L17" i="67"/>
  <c r="L16" i="67"/>
  <c r="L15" i="67"/>
  <c r="L14" i="67"/>
  <c r="L13" i="67"/>
  <c r="K23" i="67"/>
  <c r="K22" i="67"/>
  <c r="K21" i="67"/>
  <c r="K20" i="67"/>
  <c r="K19" i="67"/>
  <c r="K18" i="67"/>
  <c r="K17" i="67"/>
  <c r="K16" i="67"/>
  <c r="K15" i="67"/>
  <c r="K14" i="67"/>
  <c r="K13" i="67"/>
  <c r="K12" i="67"/>
  <c r="J22" i="67"/>
  <c r="J21" i="67"/>
  <c r="J20" i="67"/>
  <c r="J19" i="67"/>
  <c r="J18" i="67"/>
  <c r="J17" i="67"/>
  <c r="J16" i="67"/>
  <c r="J15" i="67"/>
  <c r="J14" i="67"/>
  <c r="J13" i="67"/>
  <c r="J12" i="67"/>
  <c r="J11" i="67"/>
  <c r="I21" i="67"/>
  <c r="I20" i="67"/>
  <c r="I19" i="67"/>
  <c r="I18" i="67"/>
  <c r="I17" i="67"/>
  <c r="I16" i="67"/>
  <c r="I15" i="67"/>
  <c r="I14" i="67"/>
  <c r="I13" i="67"/>
  <c r="I12" i="67"/>
  <c r="I11" i="67"/>
  <c r="I10" i="67"/>
  <c r="H20" i="67"/>
  <c r="H19" i="67"/>
  <c r="H18" i="67"/>
  <c r="H17" i="67"/>
  <c r="H16" i="67"/>
  <c r="H15" i="67"/>
  <c r="H14" i="67"/>
  <c r="H13" i="67"/>
  <c r="H12" i="67"/>
  <c r="H11" i="67"/>
  <c r="H10" i="67"/>
  <c r="H9" i="67"/>
  <c r="G19" i="67"/>
  <c r="G18" i="67"/>
  <c r="G17" i="67"/>
  <c r="G16" i="67"/>
  <c r="G15" i="67"/>
  <c r="G14" i="67"/>
  <c r="G13" i="67"/>
  <c r="G12" i="67"/>
  <c r="G11" i="67"/>
  <c r="G10" i="67"/>
  <c r="G9" i="67"/>
  <c r="G8" i="67"/>
  <c r="F18" i="67"/>
  <c r="F17" i="67"/>
  <c r="F16" i="67"/>
  <c r="F15" i="67"/>
  <c r="F14" i="67"/>
  <c r="F13" i="67"/>
  <c r="F12" i="67"/>
  <c r="F11" i="67"/>
  <c r="F10" i="67"/>
  <c r="F9" i="67"/>
  <c r="F8" i="67"/>
  <c r="F7" i="67"/>
  <c r="E17" i="67"/>
  <c r="E16" i="67"/>
  <c r="E15" i="67"/>
  <c r="E14" i="67"/>
  <c r="E13" i="67"/>
  <c r="E12" i="67"/>
  <c r="E11" i="67"/>
  <c r="E10" i="67"/>
  <c r="E9" i="67"/>
  <c r="E8" i="67"/>
  <c r="E7" i="67"/>
  <c r="E6" i="67"/>
  <c r="D15" i="67"/>
  <c r="D16" i="67"/>
  <c r="P16" i="67"/>
  <c r="D6" i="67"/>
  <c r="D7" i="67"/>
  <c r="D8" i="67"/>
  <c r="P8" i="67"/>
  <c r="D9" i="67"/>
  <c r="D10" i="67"/>
  <c r="D11" i="67"/>
  <c r="P11" i="67"/>
  <c r="D12" i="67"/>
  <c r="D13" i="67"/>
  <c r="D14" i="67"/>
  <c r="D5" i="67"/>
  <c r="P5" i="67"/>
  <c r="Q5" i="67"/>
  <c r="B57" i="26"/>
  <c r="AH2" i="44"/>
  <c r="AG28" i="44" s="1"/>
  <c r="AG40" i="44" s="1"/>
  <c r="W28" i="44"/>
  <c r="W40" i="44" s="1"/>
  <c r="M28" i="44"/>
  <c r="M40" i="44" s="1"/>
  <c r="C28" i="44"/>
  <c r="C40" i="44" s="1"/>
  <c r="B54" i="26"/>
  <c r="B53" i="26"/>
  <c r="B51" i="26"/>
  <c r="B6" i="26"/>
  <c r="B1" i="37"/>
  <c r="B50" i="26"/>
  <c r="B48" i="26"/>
  <c r="B46" i="26"/>
  <c r="B44" i="26"/>
  <c r="B42" i="26"/>
  <c r="B41" i="26"/>
  <c r="B40" i="26"/>
  <c r="B39" i="26"/>
  <c r="B37" i="26"/>
  <c r="B36" i="26"/>
  <c r="B35" i="26"/>
  <c r="B34" i="26"/>
  <c r="B33" i="26"/>
  <c r="B32" i="26"/>
  <c r="B30" i="26"/>
  <c r="B29" i="26"/>
  <c r="B28" i="26"/>
  <c r="B27" i="26"/>
  <c r="B24" i="26"/>
  <c r="B23" i="26"/>
  <c r="B21" i="26"/>
  <c r="B19" i="26"/>
  <c r="B18" i="26"/>
  <c r="B16" i="26"/>
  <c r="B15" i="26"/>
  <c r="B14" i="26"/>
  <c r="B12" i="26"/>
  <c r="C106" i="36"/>
  <c r="C105" i="36"/>
  <c r="D105" i="36"/>
  <c r="E105" i="36"/>
  <c r="E149" i="36"/>
  <c r="P20" i="67"/>
  <c r="P22" i="67"/>
  <c r="P23" i="67"/>
  <c r="P13" i="67"/>
  <c r="P10" i="67"/>
  <c r="P12" i="67"/>
  <c r="P25" i="67"/>
  <c r="P26" i="67"/>
  <c r="P7" i="67"/>
  <c r="P9" i="67"/>
  <c r="P6" i="67"/>
  <c r="P19" i="67"/>
  <c r="P18" i="67"/>
  <c r="P15" i="67"/>
  <c r="P17" i="67"/>
  <c r="P21" i="67"/>
  <c r="P14" i="67"/>
  <c r="Q6" i="67"/>
  <c r="Q7" i="67"/>
  <c r="Q8" i="67"/>
  <c r="Q9" i="67"/>
  <c r="Q10" i="67"/>
  <c r="Q11" i="67"/>
  <c r="Q12" i="67"/>
  <c r="Q13" i="67"/>
  <c r="Q14" i="67"/>
  <c r="Q15" i="67"/>
  <c r="Q16" i="67"/>
  <c r="Q17" i="67"/>
  <c r="Q18" i="67"/>
  <c r="Q19" i="67"/>
  <c r="Q20" i="67"/>
  <c r="Q21" i="67"/>
  <c r="Q22" i="67"/>
  <c r="Q23" i="67"/>
  <c r="Q24" i="67"/>
  <c r="Q25" i="67"/>
  <c r="Q26" i="67"/>
  <c r="Q27" i="67"/>
  <c r="R27" i="67"/>
  <c r="R5" i="67"/>
  <c r="R6" i="67"/>
  <c r="R7" i="67"/>
  <c r="S7" i="67"/>
  <c r="R8" i="67"/>
  <c r="R9" i="67"/>
  <c r="R10" i="67"/>
  <c r="S10" i="67"/>
  <c r="R11" i="67"/>
  <c r="R12" i="67"/>
  <c r="R13" i="67"/>
  <c r="S13" i="67"/>
  <c r="R14" i="67"/>
  <c r="R15" i="67"/>
  <c r="R16" i="67"/>
  <c r="S16" i="67"/>
  <c r="R17" i="67"/>
  <c r="R18" i="67"/>
  <c r="R19" i="67"/>
  <c r="R20" i="67"/>
  <c r="R21" i="67"/>
  <c r="R22" i="67"/>
  <c r="R23" i="67"/>
  <c r="R24" i="67"/>
  <c r="R25" i="67"/>
  <c r="R26" i="67"/>
  <c r="S19" i="67"/>
  <c r="U11" i="67"/>
  <c r="U10" i="67"/>
  <c r="U16" i="67"/>
  <c r="V7" i="67"/>
  <c r="U7" i="67"/>
  <c r="V16" i="67"/>
  <c r="Y7" i="67"/>
  <c r="V13" i="67"/>
  <c r="X7" i="67"/>
  <c r="V10" i="67"/>
  <c r="W7" i="67"/>
  <c r="Z7" i="67"/>
  <c r="V17" i="67"/>
  <c r="AK24" i="79"/>
  <c r="D46" i="44"/>
  <c r="N46" i="44"/>
  <c r="X46" i="44"/>
  <c r="O7" i="79"/>
  <c r="R5" i="79" s="1"/>
  <c r="AC38" i="44" l="1"/>
  <c r="V7" i="37" s="1"/>
  <c r="AB38" i="44"/>
  <c r="U7" i="37" s="1"/>
  <c r="Z38" i="44"/>
  <c r="S7" i="37" s="1"/>
  <c r="I38" i="44"/>
  <c r="H7" i="37" s="1"/>
  <c r="B67" i="36"/>
  <c r="B122" i="36"/>
  <c r="B22" i="36"/>
  <c r="AB23" i="84"/>
  <c r="J5" i="83" s="1"/>
  <c r="J23" i="83" s="1"/>
  <c r="AE23" i="84"/>
  <c r="AC23" i="84"/>
  <c r="AA23" i="84"/>
  <c r="G50" i="36"/>
  <c r="G46" i="36"/>
  <c r="G147" i="36" s="1"/>
  <c r="H149" i="36"/>
  <c r="H46" i="36"/>
  <c r="H147" i="36" s="1"/>
  <c r="K105" i="36"/>
  <c r="K46" i="36"/>
  <c r="I50" i="36"/>
  <c r="I46" i="36"/>
  <c r="I147" i="36" s="1"/>
  <c r="J105" i="36"/>
  <c r="J46" i="36"/>
  <c r="AB30" i="84"/>
  <c r="F7" i="37"/>
  <c r="G7" i="37"/>
  <c r="E7" i="37"/>
  <c r="D7" i="37"/>
  <c r="D12" i="37" s="1"/>
  <c r="O46" i="44"/>
  <c r="K18" i="37" s="1"/>
  <c r="K21" i="37" s="1"/>
  <c r="AB26" i="84"/>
  <c r="AA26" i="84"/>
  <c r="AC30" i="84"/>
  <c r="O152" i="84"/>
  <c r="AE30" i="84" s="1"/>
  <c r="AC26" i="84"/>
  <c r="AK61" i="79"/>
  <c r="AK108" i="79"/>
  <c r="AK199" i="79"/>
  <c r="AK124" i="79"/>
  <c r="AK104" i="79"/>
  <c r="AK68" i="79"/>
  <c r="AK33" i="79"/>
  <c r="AK31" i="79"/>
  <c r="AK69" i="79"/>
  <c r="AK106" i="79"/>
  <c r="AK120" i="79"/>
  <c r="AK174" i="79"/>
  <c r="AK156" i="79"/>
  <c r="AK188" i="79"/>
  <c r="AK198" i="79"/>
  <c r="AK103" i="79"/>
  <c r="AK151" i="79"/>
  <c r="AK47" i="79"/>
  <c r="AK117" i="79"/>
  <c r="AK172" i="79"/>
  <c r="AK23" i="79"/>
  <c r="AK76" i="79"/>
  <c r="AK110" i="79"/>
  <c r="AK142" i="79"/>
  <c r="AK175" i="79"/>
  <c r="AK194" i="79"/>
  <c r="AK40" i="79"/>
  <c r="AK94" i="79"/>
  <c r="AK59" i="79"/>
  <c r="AK73" i="79"/>
  <c r="AK109" i="79"/>
  <c r="AK91" i="79"/>
  <c r="AK127" i="79"/>
  <c r="AK168" i="79"/>
  <c r="AK160" i="79"/>
  <c r="AK52" i="79"/>
  <c r="AK41" i="79"/>
  <c r="AK122" i="79"/>
  <c r="AK152" i="79"/>
  <c r="AK65" i="79"/>
  <c r="AK155" i="79"/>
  <c r="AK171" i="79"/>
  <c r="AK145" i="79"/>
  <c r="H12" i="79"/>
  <c r="X19" i="79" s="1"/>
  <c r="AK38" i="79"/>
  <c r="AK86" i="79"/>
  <c r="AK49" i="79"/>
  <c r="AK123" i="79"/>
  <c r="AK98" i="79"/>
  <c r="AK181" i="79"/>
  <c r="AK196" i="79"/>
  <c r="AK164" i="79"/>
  <c r="AK46" i="79"/>
  <c r="AK37" i="79"/>
  <c r="AK27" i="79"/>
  <c r="AK115" i="79"/>
  <c r="AK42" i="79"/>
  <c r="AK74" i="79"/>
  <c r="AK58" i="79"/>
  <c r="AK70" i="79"/>
  <c r="AK118" i="79"/>
  <c r="AK119" i="79"/>
  <c r="AK113" i="79"/>
  <c r="AK100" i="79"/>
  <c r="AK111" i="79"/>
  <c r="AK121" i="79"/>
  <c r="AK132" i="79"/>
  <c r="AK166" i="79"/>
  <c r="AK192" i="79"/>
  <c r="AK148" i="79"/>
  <c r="AK180" i="79"/>
  <c r="AK165" i="79"/>
  <c r="AK183" i="79"/>
  <c r="AK81" i="79"/>
  <c r="AK48" i="79"/>
  <c r="AK34" i="79"/>
  <c r="AK57" i="79"/>
  <c r="AK51" i="79"/>
  <c r="AK90" i="79"/>
  <c r="AK66" i="79"/>
  <c r="AK79" i="79"/>
  <c r="AK78" i="79"/>
  <c r="AK157" i="79"/>
  <c r="AK128" i="79"/>
  <c r="AK135" i="79"/>
  <c r="AK159" i="79"/>
  <c r="AK137" i="79"/>
  <c r="AK130" i="79"/>
  <c r="AK146" i="79"/>
  <c r="AK200" i="79"/>
  <c r="AK154" i="79"/>
  <c r="AK189" i="79"/>
  <c r="AK173" i="79"/>
  <c r="AK176" i="79"/>
  <c r="AK43" i="79"/>
  <c r="AK36" i="79"/>
  <c r="AK26" i="79"/>
  <c r="AK30" i="79"/>
  <c r="AK97" i="79"/>
  <c r="AK35" i="79"/>
  <c r="AK63" i="79"/>
  <c r="AK55" i="79"/>
  <c r="AK112" i="79"/>
  <c r="AK71" i="79"/>
  <c r="AK80" i="79"/>
  <c r="AK84" i="79"/>
  <c r="AK161" i="79"/>
  <c r="AK185" i="79"/>
  <c r="AK102" i="79"/>
  <c r="AK163" i="79"/>
  <c r="AK139" i="79"/>
  <c r="AK136" i="79"/>
  <c r="AK150" i="79"/>
  <c r="AK170" i="79"/>
  <c r="AK158" i="79"/>
  <c r="AK193" i="79"/>
  <c r="AK178" i="79"/>
  <c r="AK177" i="79"/>
  <c r="AK32" i="79"/>
  <c r="AK28" i="79"/>
  <c r="AK22" i="79"/>
  <c r="AK105" i="79"/>
  <c r="AK39" i="79"/>
  <c r="AK67" i="79"/>
  <c r="AK60" i="79"/>
  <c r="AK44" i="79"/>
  <c r="AK89" i="79"/>
  <c r="AK82" i="79"/>
  <c r="AK88" i="79"/>
  <c r="AK77" i="79"/>
  <c r="AK83" i="79"/>
  <c r="AK114" i="79"/>
  <c r="AK125" i="79"/>
  <c r="AK141" i="79"/>
  <c r="AK143" i="79"/>
  <c r="AK153" i="79"/>
  <c r="AK126" i="79"/>
  <c r="AK162" i="79"/>
  <c r="AK197" i="79"/>
  <c r="AK184" i="79"/>
  <c r="AK182" i="79"/>
  <c r="AK21" i="79"/>
  <c r="AK101" i="79"/>
  <c r="AK50" i="79"/>
  <c r="AK72" i="79"/>
  <c r="AK56" i="79"/>
  <c r="AK75" i="79"/>
  <c r="AK64" i="79"/>
  <c r="AK45" i="79"/>
  <c r="AK85" i="79"/>
  <c r="AK134" i="79"/>
  <c r="AK92" i="79"/>
  <c r="AK96" i="79"/>
  <c r="AK87" i="79"/>
  <c r="AK149" i="79"/>
  <c r="AK140" i="79"/>
  <c r="AK179" i="79"/>
  <c r="AK147" i="79"/>
  <c r="AK133" i="79"/>
  <c r="AK131" i="79"/>
  <c r="AK167" i="79"/>
  <c r="AK187" i="79"/>
  <c r="AK191" i="79"/>
  <c r="AA25" i="84"/>
  <c r="T46" i="44"/>
  <c r="S46" i="44"/>
  <c r="R46" i="44"/>
  <c r="Q46" i="44"/>
  <c r="P46" i="44"/>
  <c r="J46" i="44"/>
  <c r="AD46" i="44"/>
  <c r="W18" i="37" s="1"/>
  <c r="AB25" i="84"/>
  <c r="AC25" i="84"/>
  <c r="AC24" i="84"/>
  <c r="AB24" i="84"/>
  <c r="K5" i="83" s="1"/>
  <c r="K23" i="83" s="1"/>
  <c r="AA24" i="84"/>
  <c r="AE28" i="84"/>
  <c r="I9" i="83"/>
  <c r="H63" i="83"/>
  <c r="H21" i="83"/>
  <c r="J43" i="26"/>
  <c r="G156" i="36"/>
  <c r="F97" i="36"/>
  <c r="F96" i="36"/>
  <c r="F94" i="36"/>
  <c r="F95" i="36"/>
  <c r="F98" i="36"/>
  <c r="M19" i="84"/>
  <c r="O44" i="84"/>
  <c r="AE21" i="84" s="1"/>
  <c r="AA29" i="84"/>
  <c r="AB29" i="84"/>
  <c r="AD28" i="84"/>
  <c r="O140" i="84"/>
  <c r="AE29" i="84" s="1"/>
  <c r="AD27" i="84"/>
  <c r="AD33" i="84"/>
  <c r="AD34" i="84"/>
  <c r="AD31" i="84"/>
  <c r="AA21" i="84"/>
  <c r="AB21" i="84"/>
  <c r="H5" i="83" s="1"/>
  <c r="H23" i="83" s="1"/>
  <c r="AD20" i="84"/>
  <c r="AD32" i="84"/>
  <c r="AE20" i="84"/>
  <c r="AD22" i="84"/>
  <c r="Y35" i="84"/>
  <c r="Y36" i="84" s="1"/>
  <c r="AP32" i="84"/>
  <c r="V36" i="84"/>
  <c r="I23" i="83"/>
  <c r="G23" i="83"/>
  <c r="H24" i="83"/>
  <c r="K72" i="83"/>
  <c r="I52" i="77"/>
  <c r="K52" i="77"/>
  <c r="AB5" i="37"/>
  <c r="AI5" i="37" s="1"/>
  <c r="Z5" i="37"/>
  <c r="AG5" i="37" s="1"/>
  <c r="AD5" i="37"/>
  <c r="AK5" i="37" s="1"/>
  <c r="AA5" i="37"/>
  <c r="AH5" i="37" s="1"/>
  <c r="AC5" i="37"/>
  <c r="AJ5" i="37" s="1"/>
  <c r="AC44" i="37"/>
  <c r="AI44" i="37"/>
  <c r="F44" i="26" s="1"/>
  <c r="G46" i="77" s="1"/>
  <c r="AS54" i="44"/>
  <c r="S45" i="44"/>
  <c r="O39" i="37" s="1"/>
  <c r="O46" i="37" s="1"/>
  <c r="I45" i="44"/>
  <c r="H23" i="78" s="1"/>
  <c r="AA45" i="44"/>
  <c r="Z46" i="44" s="1"/>
  <c r="T45" i="44"/>
  <c r="P39" i="37" s="1"/>
  <c r="P46" i="37" s="1"/>
  <c r="AD45" i="44"/>
  <c r="W39" i="37" s="1"/>
  <c r="W46" i="37" s="1"/>
  <c r="AB45" i="44"/>
  <c r="U39" i="37" s="1"/>
  <c r="U46" i="37" s="1"/>
  <c r="G45" i="44"/>
  <c r="F46" i="44" s="1"/>
  <c r="AS55" i="44"/>
  <c r="AC45" i="44"/>
  <c r="H24" i="78" s="1"/>
  <c r="R45" i="44"/>
  <c r="N39" i="37" s="1"/>
  <c r="N46" i="37" s="1"/>
  <c r="Z24" i="44"/>
  <c r="H45" i="44"/>
  <c r="G46" i="44" s="1"/>
  <c r="F24" i="44"/>
  <c r="J45" i="44"/>
  <c r="I46" i="44" s="1"/>
  <c r="G52" i="77"/>
  <c r="E52" i="77"/>
  <c r="D50" i="26"/>
  <c r="AS52" i="44"/>
  <c r="AS56" i="44"/>
  <c r="AS53" i="44"/>
  <c r="AS51" i="44"/>
  <c r="F45" i="44"/>
  <c r="G24" i="44"/>
  <c r="H24" i="44" s="1"/>
  <c r="I24" i="44" s="1"/>
  <c r="J24" i="44" s="1"/>
  <c r="Q24" i="44"/>
  <c r="R24" i="44" s="1"/>
  <c r="S24" i="44" s="1"/>
  <c r="AH29" i="44" a="1"/>
  <c r="AH34" i="44" s="1"/>
  <c r="AJ24" i="44"/>
  <c r="AK24" i="44" s="1"/>
  <c r="AL24" i="44" s="1"/>
  <c r="AM24" i="44" s="1"/>
  <c r="AN24" i="44" s="1"/>
  <c r="AO24" i="44" s="1"/>
  <c r="AI46" i="44"/>
  <c r="AP23" i="44"/>
  <c r="P24" i="44"/>
  <c r="P45" i="44"/>
  <c r="L39" i="37" s="1"/>
  <c r="L46" i="37" s="1"/>
  <c r="AA24" i="44"/>
  <c r="AB24" i="44" s="1"/>
  <c r="AC24" i="44" s="1"/>
  <c r="AD24" i="44" s="1"/>
  <c r="Z45" i="44"/>
  <c r="Y46" i="44" s="1"/>
  <c r="R18" i="37" s="1"/>
  <c r="R21" i="37" s="1"/>
  <c r="E47" i="77"/>
  <c r="E46" i="77"/>
  <c r="E45" i="77"/>
  <c r="K45" i="77" s="1"/>
  <c r="Q45" i="44"/>
  <c r="X29" i="44" a="1"/>
  <c r="N29" i="44" a="1"/>
  <c r="N30" i="44" s="1"/>
  <c r="N51" i="44" s="1"/>
  <c r="AM46" i="44"/>
  <c r="F136" i="79"/>
  <c r="F176" i="79"/>
  <c r="F161" i="79"/>
  <c r="F113" i="79"/>
  <c r="F159" i="79"/>
  <c r="F127" i="79"/>
  <c r="F87" i="79"/>
  <c r="F179" i="79"/>
  <c r="F59" i="79"/>
  <c r="F193" i="79"/>
  <c r="F198" i="79"/>
  <c r="F186" i="79"/>
  <c r="F163" i="79"/>
  <c r="F67" i="79"/>
  <c r="F65" i="79"/>
  <c r="F134" i="79"/>
  <c r="F57" i="79"/>
  <c r="F85" i="79"/>
  <c r="F79" i="79"/>
  <c r="AJ79" i="79" s="1"/>
  <c r="F40" i="79"/>
  <c r="E40" i="79" s="1"/>
  <c r="F52" i="79"/>
  <c r="AL52" i="79" s="1"/>
  <c r="AN52" i="79" s="1"/>
  <c r="F173" i="79"/>
  <c r="F143" i="79"/>
  <c r="AL143" i="79" s="1"/>
  <c r="AN143" i="79" s="1"/>
  <c r="F184" i="79"/>
  <c r="F90" i="79"/>
  <c r="F102" i="79"/>
  <c r="F167" i="79"/>
  <c r="F152" i="79"/>
  <c r="F168" i="79"/>
  <c r="AJ168" i="79" s="1"/>
  <c r="F48" i="79"/>
  <c r="F23" i="79"/>
  <c r="F165" i="79"/>
  <c r="AL165" i="79" s="1"/>
  <c r="AN165" i="79" s="1"/>
  <c r="F72" i="79"/>
  <c r="F101" i="79"/>
  <c r="F138" i="79"/>
  <c r="AL138" i="79" s="1"/>
  <c r="AN138" i="79" s="1"/>
  <c r="F197" i="79"/>
  <c r="F105" i="79"/>
  <c r="F185" i="79"/>
  <c r="F24" i="79"/>
  <c r="F149" i="79"/>
  <c r="F166" i="79"/>
  <c r="F50" i="79"/>
  <c r="F118" i="79"/>
  <c r="F189" i="79"/>
  <c r="F137" i="79"/>
  <c r="F128" i="79"/>
  <c r="AJ128" i="79" s="1"/>
  <c r="F125" i="79"/>
  <c r="E125" i="79" s="1"/>
  <c r="F108" i="79"/>
  <c r="F42" i="79"/>
  <c r="F96" i="79"/>
  <c r="F43" i="79"/>
  <c r="F37" i="79"/>
  <c r="F46" i="79"/>
  <c r="F171" i="79"/>
  <c r="F64" i="79"/>
  <c r="F122" i="79"/>
  <c r="F28" i="79"/>
  <c r="F98" i="79"/>
  <c r="F170" i="79"/>
  <c r="F94" i="79"/>
  <c r="F154" i="79"/>
  <c r="F82" i="79"/>
  <c r="F78" i="79"/>
  <c r="F51" i="79"/>
  <c r="F135" i="79"/>
  <c r="AJ135" i="79" s="1"/>
  <c r="F110" i="79"/>
  <c r="AL110" i="79" s="1"/>
  <c r="AN110" i="79" s="1"/>
  <c r="F117" i="79"/>
  <c r="E117" i="79" s="1"/>
  <c r="F27" i="79"/>
  <c r="F29" i="79"/>
  <c r="F71" i="79"/>
  <c r="F115" i="79"/>
  <c r="F66" i="79"/>
  <c r="F83" i="79"/>
  <c r="F80" i="79"/>
  <c r="F88" i="79"/>
  <c r="F91" i="79"/>
  <c r="F111" i="79"/>
  <c r="F92" i="79"/>
  <c r="F181" i="79"/>
  <c r="F139" i="79"/>
  <c r="F53" i="79"/>
  <c r="F63" i="79"/>
  <c r="F73" i="79"/>
  <c r="F89" i="79"/>
  <c r="F147" i="79"/>
  <c r="F61" i="79"/>
  <c r="AL61" i="79" s="1"/>
  <c r="AN61" i="79" s="1"/>
  <c r="F196" i="79"/>
  <c r="F26" i="79"/>
  <c r="F39" i="79"/>
  <c r="F47" i="79"/>
  <c r="F38" i="79"/>
  <c r="F175" i="79"/>
  <c r="F44" i="79"/>
  <c r="F177" i="79"/>
  <c r="F172" i="79"/>
  <c r="F49" i="79"/>
  <c r="F199" i="79"/>
  <c r="F145" i="79"/>
  <c r="F31" i="79"/>
  <c r="F77" i="79"/>
  <c r="F81" i="79"/>
  <c r="F93" i="79"/>
  <c r="F190" i="79"/>
  <c r="F188" i="79"/>
  <c r="F182" i="79"/>
  <c r="F194" i="79"/>
  <c r="F17" i="79"/>
  <c r="L17" i="79" s="1"/>
  <c r="F178" i="79"/>
  <c r="F192" i="79"/>
  <c r="F68" i="79"/>
  <c r="F56" i="79"/>
  <c r="E56" i="79" s="1"/>
  <c r="F129" i="79"/>
  <c r="AJ129" i="79" s="1"/>
  <c r="F164" i="79"/>
  <c r="E164" i="79" s="1"/>
  <c r="F146" i="79"/>
  <c r="E146" i="79" s="1"/>
  <c r="F62" i="79"/>
  <c r="AL62" i="79" s="1"/>
  <c r="AN62" i="79" s="1"/>
  <c r="F124" i="79"/>
  <c r="E124" i="79" s="1"/>
  <c r="F104" i="79"/>
  <c r="F132" i="79"/>
  <c r="AJ132" i="79" s="1"/>
  <c r="F150" i="79"/>
  <c r="AJ150" i="79" s="1"/>
  <c r="F130" i="79"/>
  <c r="AL130" i="79" s="1"/>
  <c r="AN130" i="79" s="1"/>
  <c r="F60" i="79"/>
  <c r="AL60" i="79" s="1"/>
  <c r="AN60" i="79" s="1"/>
  <c r="F169" i="79"/>
  <c r="AJ169" i="79" s="1"/>
  <c r="F74" i="79"/>
  <c r="AL74" i="79" s="1"/>
  <c r="AN74" i="79" s="1"/>
  <c r="F95" i="79"/>
  <c r="AJ95" i="79" s="1"/>
  <c r="F22" i="79"/>
  <c r="E22" i="79" s="1"/>
  <c r="F153" i="79"/>
  <c r="E153" i="79" s="1"/>
  <c r="F140" i="79"/>
  <c r="AJ140" i="79" s="1"/>
  <c r="F144" i="79"/>
  <c r="AJ144" i="79" s="1"/>
  <c r="F25" i="79"/>
  <c r="E25" i="79" s="1"/>
  <c r="F97" i="79"/>
  <c r="AJ97" i="79" s="1"/>
  <c r="F69" i="79"/>
  <c r="AL69" i="79" s="1"/>
  <c r="F131" i="79"/>
  <c r="AJ131" i="79" s="1"/>
  <c r="F162" i="79"/>
  <c r="AJ162" i="79" s="1"/>
  <c r="F148" i="79"/>
  <c r="AJ148" i="79" s="1"/>
  <c r="F156" i="79"/>
  <c r="AL156" i="79" s="1"/>
  <c r="AN156" i="79" s="1"/>
  <c r="R73" i="79"/>
  <c r="R133" i="79"/>
  <c r="R181" i="79"/>
  <c r="F116" i="79"/>
  <c r="F58" i="79"/>
  <c r="R74" i="79"/>
  <c r="G11" i="78"/>
  <c r="I54" i="83" s="1"/>
  <c r="I12" i="83" s="1"/>
  <c r="I11" i="83" s="1"/>
  <c r="I25" i="83" s="1"/>
  <c r="H54" i="82"/>
  <c r="H10" i="82" s="1"/>
  <c r="H9" i="82" s="1"/>
  <c r="I9" i="82" s="1"/>
  <c r="H6" i="79"/>
  <c r="J181" i="79" s="1"/>
  <c r="R134" i="79"/>
  <c r="F191" i="79"/>
  <c r="F180" i="79"/>
  <c r="F32" i="79"/>
  <c r="F109" i="79"/>
  <c r="F21" i="79"/>
  <c r="F160" i="79"/>
  <c r="F126" i="79"/>
  <c r="F121" i="79"/>
  <c r="F133" i="79"/>
  <c r="F75" i="79"/>
  <c r="F107" i="79"/>
  <c r="F100" i="79"/>
  <c r="F106" i="79"/>
  <c r="F174" i="79"/>
  <c r="F158" i="79"/>
  <c r="F76" i="79"/>
  <c r="F45" i="79"/>
  <c r="F155" i="79"/>
  <c r="F151" i="79"/>
  <c r="F86" i="79"/>
  <c r="F119" i="79"/>
  <c r="F54" i="79"/>
  <c r="F195" i="79"/>
  <c r="F183" i="79"/>
  <c r="F157" i="79"/>
  <c r="F30" i="79"/>
  <c r="F70" i="79"/>
  <c r="F34" i="79"/>
  <c r="F33" i="79"/>
  <c r="F35" i="79"/>
  <c r="F84" i="79"/>
  <c r="F142" i="79"/>
  <c r="F114" i="79"/>
  <c r="F200" i="79"/>
  <c r="F187" i="79"/>
  <c r="F99" i="79"/>
  <c r="F41" i="79"/>
  <c r="F123" i="79"/>
  <c r="F55" i="79"/>
  <c r="F103" i="79"/>
  <c r="F120" i="79"/>
  <c r="F36" i="79"/>
  <c r="F141" i="79"/>
  <c r="F112" i="79"/>
  <c r="R182" i="79"/>
  <c r="G72" i="82"/>
  <c r="G79" i="82" s="1"/>
  <c r="G69" i="82"/>
  <c r="G21" i="82"/>
  <c r="H7" i="82"/>
  <c r="AN46" i="44"/>
  <c r="AK46" i="44"/>
  <c r="AJ46" i="44"/>
  <c r="AL46" i="44"/>
  <c r="D29" i="44" a="1"/>
  <c r="AO46" i="44"/>
  <c r="H45" i="26"/>
  <c r="I47" i="77" s="1"/>
  <c r="H50" i="26"/>
  <c r="J50" i="26" s="1"/>
  <c r="I149" i="36"/>
  <c r="I105" i="36"/>
  <c r="E50" i="26"/>
  <c r="G50" i="26"/>
  <c r="AD39" i="37"/>
  <c r="K106" i="36"/>
  <c r="J50" i="36"/>
  <c r="J106" i="36"/>
  <c r="J149" i="36"/>
  <c r="E51" i="36"/>
  <c r="H96" i="36"/>
  <c r="K149" i="36"/>
  <c r="K50" i="36"/>
  <c r="J95" i="36"/>
  <c r="H95" i="36"/>
  <c r="I154" i="36"/>
  <c r="G97" i="36"/>
  <c r="K94" i="36"/>
  <c r="K96" i="36"/>
  <c r="J94" i="36"/>
  <c r="I97" i="36"/>
  <c r="J97" i="36"/>
  <c r="J96" i="36"/>
  <c r="H98" i="36"/>
  <c r="K98" i="36"/>
  <c r="I94" i="36"/>
  <c r="H97" i="36"/>
  <c r="G98" i="36"/>
  <c r="G94" i="36"/>
  <c r="K95" i="36"/>
  <c r="J98" i="36"/>
  <c r="H94" i="36"/>
  <c r="G95" i="36"/>
  <c r="G96" i="36"/>
  <c r="I96" i="36"/>
  <c r="I98" i="36"/>
  <c r="I95" i="36"/>
  <c r="K97" i="36"/>
  <c r="H60" i="69"/>
  <c r="G105" i="36"/>
  <c r="G149" i="36"/>
  <c r="H50" i="36"/>
  <c r="H105" i="36"/>
  <c r="AD30" i="84" l="1"/>
  <c r="AD23" i="84"/>
  <c r="AA46" i="44"/>
  <c r="T18" i="37" s="1"/>
  <c r="E46" i="44"/>
  <c r="B68" i="36"/>
  <c r="B123" i="36"/>
  <c r="B23" i="36"/>
  <c r="K147" i="36"/>
  <c r="J147" i="36"/>
  <c r="AC46" i="44"/>
  <c r="V18" i="37" s="1"/>
  <c r="AB46" i="44"/>
  <c r="U18" i="37" s="1"/>
  <c r="F24" i="78"/>
  <c r="H46" i="44"/>
  <c r="G18" i="37" s="1"/>
  <c r="AF7" i="37"/>
  <c r="AD26" i="84"/>
  <c r="F30" i="37"/>
  <c r="F20" i="37"/>
  <c r="AD20" i="37"/>
  <c r="AD30" i="37"/>
  <c r="AA35" i="37"/>
  <c r="AA30" i="37"/>
  <c r="AA20" i="37"/>
  <c r="T20" i="37"/>
  <c r="T30" i="37"/>
  <c r="U20" i="37"/>
  <c r="U30" i="37"/>
  <c r="Z20" i="37"/>
  <c r="Z30" i="37"/>
  <c r="AC35" i="37"/>
  <c r="AC20" i="37"/>
  <c r="AC30" i="37"/>
  <c r="M20" i="37"/>
  <c r="M30" i="37"/>
  <c r="I20" i="37"/>
  <c r="I30" i="37"/>
  <c r="E30" i="37"/>
  <c r="E20" i="37"/>
  <c r="AB35" i="37"/>
  <c r="AB30" i="37"/>
  <c r="AB20" i="37"/>
  <c r="S30" i="37"/>
  <c r="S20" i="37"/>
  <c r="L30" i="37"/>
  <c r="L20" i="37"/>
  <c r="H20" i="37"/>
  <c r="H30" i="37"/>
  <c r="P30" i="37"/>
  <c r="P20" i="37"/>
  <c r="W20" i="37"/>
  <c r="W21" i="37" s="1"/>
  <c r="W30" i="37"/>
  <c r="O30" i="37"/>
  <c r="O20" i="37"/>
  <c r="V20" i="37"/>
  <c r="V30" i="37"/>
  <c r="N20" i="37"/>
  <c r="N30" i="37"/>
  <c r="AK19" i="79"/>
  <c r="AD35" i="37"/>
  <c r="AC35" i="84"/>
  <c r="AD24" i="84"/>
  <c r="P35" i="37"/>
  <c r="M28" i="37"/>
  <c r="U32" i="37"/>
  <c r="W32" i="37"/>
  <c r="O23" i="37"/>
  <c r="O24" i="37" s="1"/>
  <c r="V32" i="37"/>
  <c r="L34" i="37"/>
  <c r="S23" i="37"/>
  <c r="S24" i="37" s="1"/>
  <c r="T35" i="37"/>
  <c r="H18" i="37"/>
  <c r="H39" i="37"/>
  <c r="H46" i="37" s="1"/>
  <c r="N18" i="37"/>
  <c r="O18" i="37"/>
  <c r="G24" i="78"/>
  <c r="G39" i="37"/>
  <c r="G46" i="37" s="1"/>
  <c r="G23" i="78"/>
  <c r="E39" i="37"/>
  <c r="E46" i="37" s="1"/>
  <c r="E23" i="78"/>
  <c r="I39" i="37"/>
  <c r="AK39" i="37" s="1"/>
  <c r="H39" i="26" s="1"/>
  <c r="I41" i="77" s="1"/>
  <c r="I23" i="78"/>
  <c r="F18" i="37"/>
  <c r="F23" i="78"/>
  <c r="AD25" i="84"/>
  <c r="R80" i="84"/>
  <c r="H73" i="83"/>
  <c r="H79" i="83" s="1"/>
  <c r="H69" i="83"/>
  <c r="I64" i="83"/>
  <c r="J11" i="83"/>
  <c r="J45" i="26"/>
  <c r="J9" i="83"/>
  <c r="I63" i="83"/>
  <c r="I73" i="83" s="1"/>
  <c r="I21" i="83"/>
  <c r="I24" i="78"/>
  <c r="E18" i="37"/>
  <c r="G152" i="36"/>
  <c r="G150" i="36"/>
  <c r="Z15" i="37" s="1"/>
  <c r="Z16" i="37" s="1"/>
  <c r="I151" i="36"/>
  <c r="U15" i="37" s="1"/>
  <c r="U16" i="37" s="1"/>
  <c r="G153" i="36"/>
  <c r="L15" i="37" s="1"/>
  <c r="G155" i="36"/>
  <c r="G154" i="36"/>
  <c r="G151" i="36"/>
  <c r="S15" i="37" s="1"/>
  <c r="S16" i="37" s="1"/>
  <c r="F100" i="36"/>
  <c r="D23" i="37"/>
  <c r="F156" i="36"/>
  <c r="F154" i="36"/>
  <c r="F152" i="36"/>
  <c r="F155" i="36"/>
  <c r="F153" i="36"/>
  <c r="K15" i="37" s="1"/>
  <c r="F150" i="36"/>
  <c r="F151" i="36"/>
  <c r="R15" i="37" s="1"/>
  <c r="R16" i="37" s="1"/>
  <c r="R48" i="37" s="1"/>
  <c r="AD29" i="84"/>
  <c r="T39" i="37"/>
  <c r="T46" i="37" s="1"/>
  <c r="AA35" i="84"/>
  <c r="AD21" i="84"/>
  <c r="R140" i="84"/>
  <c r="AB35" i="84"/>
  <c r="L5" i="83"/>
  <c r="R188" i="84"/>
  <c r="AE35" i="84"/>
  <c r="I24" i="83"/>
  <c r="I34" i="83" s="1"/>
  <c r="O19" i="84"/>
  <c r="R13" i="84" s="1"/>
  <c r="H30" i="83"/>
  <c r="J33" i="83"/>
  <c r="I35" i="83"/>
  <c r="I33" i="83"/>
  <c r="H33" i="83"/>
  <c r="G30" i="83"/>
  <c r="G33" i="83"/>
  <c r="G40" i="83" s="1"/>
  <c r="G44" i="83" s="1"/>
  <c r="K33" i="83"/>
  <c r="H34" i="83"/>
  <c r="K47" i="77"/>
  <c r="I29" i="37"/>
  <c r="E32" i="37"/>
  <c r="H34" i="37"/>
  <c r="F27" i="37"/>
  <c r="E168" i="79"/>
  <c r="AD44" i="37"/>
  <c r="AK44" i="37" s="1"/>
  <c r="H44" i="26" s="1"/>
  <c r="I46" i="77" s="1"/>
  <c r="AJ44" i="37"/>
  <c r="G44" i="26" s="1"/>
  <c r="H46" i="77" s="1"/>
  <c r="P18" i="37"/>
  <c r="V39" i="37"/>
  <c r="V46" i="37" s="1"/>
  <c r="I18" i="37"/>
  <c r="F39" i="37"/>
  <c r="AI7" i="37"/>
  <c r="F7" i="26" s="1"/>
  <c r="G9" i="77" s="1"/>
  <c r="AH7" i="37"/>
  <c r="AJ7" i="37"/>
  <c r="G7" i="26" s="1"/>
  <c r="H9" i="77" s="1"/>
  <c r="AK7" i="37"/>
  <c r="H7" i="26" s="1"/>
  <c r="I9" i="77" s="1"/>
  <c r="AG7" i="37"/>
  <c r="L18" i="37"/>
  <c r="AH35" i="44"/>
  <c r="AO35" i="44" s="1"/>
  <c r="AH33" i="44"/>
  <c r="AM33" i="44" s="1"/>
  <c r="N32" i="44"/>
  <c r="N53" i="44" s="1"/>
  <c r="N35" i="44"/>
  <c r="N56" i="44" s="1"/>
  <c r="N34" i="44"/>
  <c r="N55" i="44" s="1"/>
  <c r="N33" i="44"/>
  <c r="N54" i="44" s="1"/>
  <c r="N31" i="44"/>
  <c r="N52" i="44" s="1"/>
  <c r="AH29" i="44"/>
  <c r="AH31" i="44"/>
  <c r="N29" i="44"/>
  <c r="N50" i="44" s="1"/>
  <c r="AH32" i="44"/>
  <c r="AL32" i="44" s="1"/>
  <c r="AH30" i="44"/>
  <c r="AJ30" i="44" s="1"/>
  <c r="AP24" i="44"/>
  <c r="H155" i="36"/>
  <c r="K154" i="36"/>
  <c r="K156" i="36"/>
  <c r="H156" i="36"/>
  <c r="K155" i="36"/>
  <c r="I155" i="36"/>
  <c r="H154" i="36"/>
  <c r="J155" i="36"/>
  <c r="J154" i="36"/>
  <c r="J156" i="36"/>
  <c r="I156" i="36"/>
  <c r="AL168" i="79"/>
  <c r="AN168" i="79" s="1"/>
  <c r="AO168" i="79" s="1"/>
  <c r="E61" i="79"/>
  <c r="AL56" i="79"/>
  <c r="AN56" i="79" s="1"/>
  <c r="E162" i="79"/>
  <c r="S18" i="37"/>
  <c r="S39" i="37"/>
  <c r="E24" i="78"/>
  <c r="J95" i="79"/>
  <c r="AJ52" i="79"/>
  <c r="AO52" i="79" s="1"/>
  <c r="AL79" i="79"/>
  <c r="AN79" i="79" s="1"/>
  <c r="AO79" i="79" s="1"/>
  <c r="E52" i="79"/>
  <c r="J160" i="79"/>
  <c r="AL162" i="79"/>
  <c r="AN162" i="79" s="1"/>
  <c r="AO162" i="79" s="1"/>
  <c r="J29" i="79"/>
  <c r="AJ125" i="79"/>
  <c r="AJ56" i="79"/>
  <c r="AL117" i="79"/>
  <c r="AN117" i="79" s="1"/>
  <c r="E135" i="79"/>
  <c r="AJ117" i="79"/>
  <c r="J63" i="79"/>
  <c r="J78" i="79"/>
  <c r="J144" i="79"/>
  <c r="J200" i="79"/>
  <c r="E165" i="79"/>
  <c r="J77" i="79"/>
  <c r="J127" i="79"/>
  <c r="J112" i="79"/>
  <c r="J188" i="79"/>
  <c r="J87" i="79"/>
  <c r="AJ69" i="79"/>
  <c r="AJ62" i="79"/>
  <c r="AO62" i="79" s="1"/>
  <c r="J27" i="79"/>
  <c r="J82" i="79"/>
  <c r="J123" i="79"/>
  <c r="J62" i="79"/>
  <c r="AJ164" i="79"/>
  <c r="J59" i="79"/>
  <c r="J96" i="79"/>
  <c r="E79" i="79"/>
  <c r="AJ110" i="79"/>
  <c r="AO110" i="79" s="1"/>
  <c r="AL97" i="79"/>
  <c r="AN97" i="79" s="1"/>
  <c r="AO97" i="79" s="1"/>
  <c r="E110" i="79"/>
  <c r="E62" i="79"/>
  <c r="AJ40" i="79"/>
  <c r="AL40" i="79"/>
  <c r="AN40" i="79" s="1"/>
  <c r="E69" i="79"/>
  <c r="E138" i="79"/>
  <c r="J139" i="79"/>
  <c r="J159" i="79"/>
  <c r="AJ138" i="79"/>
  <c r="AO138" i="79" s="1"/>
  <c r="AN34" i="44"/>
  <c r="AO34" i="44"/>
  <c r="M18" i="37"/>
  <c r="M39" i="37"/>
  <c r="X33" i="44"/>
  <c r="X54" i="44" s="1"/>
  <c r="AD54" i="44" s="1"/>
  <c r="X32" i="44"/>
  <c r="X35" i="44"/>
  <c r="X56" i="44" s="1"/>
  <c r="X31" i="44"/>
  <c r="X29" i="44"/>
  <c r="X34" i="44"/>
  <c r="X55" i="44" s="1"/>
  <c r="X30" i="44"/>
  <c r="AJ165" i="79"/>
  <c r="AO165" i="79" s="1"/>
  <c r="E129" i="79"/>
  <c r="E130" i="79"/>
  <c r="AL144" i="79"/>
  <c r="AN144" i="79" s="1"/>
  <c r="AO144" i="79" s="1"/>
  <c r="AL129" i="79"/>
  <c r="AN129" i="79" s="1"/>
  <c r="AO129" i="79" s="1"/>
  <c r="E143" i="79"/>
  <c r="AJ22" i="79"/>
  <c r="AL22" i="79"/>
  <c r="AN22" i="79" s="1"/>
  <c r="E144" i="79"/>
  <c r="AL25" i="79"/>
  <c r="AN25" i="79" s="1"/>
  <c r="AJ130" i="79"/>
  <c r="AO130" i="79" s="1"/>
  <c r="H63" i="82"/>
  <c r="H73" i="82" s="1"/>
  <c r="U29" i="79"/>
  <c r="AL140" i="79"/>
  <c r="AN140" i="79" s="1"/>
  <c r="AO140" i="79" s="1"/>
  <c r="E150" i="79"/>
  <c r="J102" i="79"/>
  <c r="J176" i="79"/>
  <c r="J119" i="79"/>
  <c r="J184" i="79"/>
  <c r="U22" i="79"/>
  <c r="AL95" i="79"/>
  <c r="AN95" i="79" s="1"/>
  <c r="AO95" i="79" s="1"/>
  <c r="E95" i="79"/>
  <c r="AL124" i="79"/>
  <c r="AN124" i="79" s="1"/>
  <c r="J131" i="79"/>
  <c r="J142" i="79"/>
  <c r="J60" i="79"/>
  <c r="J126" i="79"/>
  <c r="J182" i="79"/>
  <c r="J175" i="79"/>
  <c r="AL125" i="79"/>
  <c r="AN125" i="79" s="1"/>
  <c r="AJ156" i="79"/>
  <c r="AO156" i="79" s="1"/>
  <c r="AL150" i="79"/>
  <c r="AN150" i="79" s="1"/>
  <c r="AO150" i="79" s="1"/>
  <c r="J157" i="79"/>
  <c r="J43" i="79"/>
  <c r="J67" i="79"/>
  <c r="J85" i="79"/>
  <c r="J53" i="79"/>
  <c r="J31" i="79"/>
  <c r="E156" i="79"/>
  <c r="AJ124" i="79"/>
  <c r="R135" i="79"/>
  <c r="J69" i="79"/>
  <c r="J121" i="79"/>
  <c r="J133" i="79"/>
  <c r="J116" i="79"/>
  <c r="J79" i="79"/>
  <c r="J130" i="79"/>
  <c r="AJ143" i="79"/>
  <c r="AO143" i="79" s="1"/>
  <c r="E140" i="79"/>
  <c r="AL135" i="79"/>
  <c r="AN135" i="79" s="1"/>
  <c r="AO135" i="79" s="1"/>
  <c r="E148" i="79"/>
  <c r="AL132" i="79"/>
  <c r="AN132" i="79" s="1"/>
  <c r="AO132" i="79" s="1"/>
  <c r="AL188" i="79"/>
  <c r="AN188" i="79" s="1"/>
  <c r="R183" i="79"/>
  <c r="AJ188" i="79"/>
  <c r="U33" i="79"/>
  <c r="E188" i="79"/>
  <c r="AL49" i="79"/>
  <c r="AN49" i="79" s="1"/>
  <c r="E49" i="79"/>
  <c r="AJ49" i="79"/>
  <c r="E26" i="79"/>
  <c r="AJ26" i="79"/>
  <c r="AL26" i="79"/>
  <c r="AN26" i="79" s="1"/>
  <c r="AL139" i="79"/>
  <c r="AN139" i="79" s="1"/>
  <c r="AJ139" i="79"/>
  <c r="E139" i="79"/>
  <c r="E66" i="79"/>
  <c r="AL66" i="79"/>
  <c r="AN66" i="79" s="1"/>
  <c r="AJ66" i="79"/>
  <c r="AL51" i="79"/>
  <c r="AN51" i="79" s="1"/>
  <c r="AJ51" i="79"/>
  <c r="E51" i="79"/>
  <c r="AJ122" i="79"/>
  <c r="AL122" i="79"/>
  <c r="AN122" i="79" s="1"/>
  <c r="E122" i="79"/>
  <c r="AL108" i="79"/>
  <c r="AN108" i="79" s="1"/>
  <c r="AJ108" i="79"/>
  <c r="E108" i="79"/>
  <c r="E149" i="79"/>
  <c r="AJ149" i="79"/>
  <c r="AL149" i="79"/>
  <c r="AN149" i="79" s="1"/>
  <c r="AJ184" i="79"/>
  <c r="E184" i="79"/>
  <c r="AL184" i="79"/>
  <c r="AN184" i="79" s="1"/>
  <c r="AL134" i="79"/>
  <c r="AN134" i="79" s="1"/>
  <c r="AJ134" i="79"/>
  <c r="E134" i="79"/>
  <c r="AJ179" i="79"/>
  <c r="AL179" i="79"/>
  <c r="AN179" i="79" s="1"/>
  <c r="E179" i="79"/>
  <c r="AL148" i="79"/>
  <c r="AN148" i="79" s="1"/>
  <c r="AO148" i="79" s="1"/>
  <c r="E190" i="79"/>
  <c r="AL190" i="79"/>
  <c r="AN190" i="79" s="1"/>
  <c r="AJ190" i="79"/>
  <c r="AL172" i="79"/>
  <c r="AN172" i="79" s="1"/>
  <c r="AJ172" i="79"/>
  <c r="E172" i="79"/>
  <c r="AL196" i="79"/>
  <c r="AN196" i="79" s="1"/>
  <c r="AJ196" i="79"/>
  <c r="E196" i="79"/>
  <c r="E181" i="79"/>
  <c r="AJ181" i="79"/>
  <c r="AL181" i="79"/>
  <c r="AN181" i="79" s="1"/>
  <c r="AL115" i="79"/>
  <c r="AN115" i="79" s="1"/>
  <c r="AJ115" i="79"/>
  <c r="E115" i="79"/>
  <c r="E78" i="79"/>
  <c r="AJ78" i="79"/>
  <c r="AL78" i="79"/>
  <c r="AN78" i="79" s="1"/>
  <c r="E64" i="79"/>
  <c r="AJ64" i="79"/>
  <c r="AL64" i="79"/>
  <c r="AN64" i="79" s="1"/>
  <c r="AJ24" i="79"/>
  <c r="AL24" i="79"/>
  <c r="AN24" i="79" s="1"/>
  <c r="E24" i="79"/>
  <c r="E23" i="79"/>
  <c r="AL23" i="79"/>
  <c r="AN23" i="79" s="1"/>
  <c r="AJ23" i="79"/>
  <c r="AJ65" i="79"/>
  <c r="E65" i="79"/>
  <c r="AL65" i="79"/>
  <c r="AN65" i="79" s="1"/>
  <c r="E87" i="79"/>
  <c r="AJ87" i="79"/>
  <c r="AL87" i="79"/>
  <c r="AN87" i="79" s="1"/>
  <c r="AL153" i="79"/>
  <c r="AN153" i="79" s="1"/>
  <c r="AJ153" i="79"/>
  <c r="AJ68" i="79"/>
  <c r="U23" i="79"/>
  <c r="E68" i="79"/>
  <c r="AL68" i="79"/>
  <c r="AN68" i="79" s="1"/>
  <c r="E93" i="79"/>
  <c r="AL93" i="79"/>
  <c r="AN93" i="79" s="1"/>
  <c r="AJ93" i="79"/>
  <c r="AL92" i="79"/>
  <c r="AN92" i="79" s="1"/>
  <c r="U25" i="79"/>
  <c r="E92" i="79"/>
  <c r="AJ92" i="79"/>
  <c r="E71" i="79"/>
  <c r="AJ71" i="79"/>
  <c r="AL71" i="79"/>
  <c r="AN71" i="79" s="1"/>
  <c r="AJ171" i="79"/>
  <c r="AL171" i="79"/>
  <c r="AN171" i="79" s="1"/>
  <c r="E171" i="79"/>
  <c r="AJ185" i="79"/>
  <c r="E185" i="79"/>
  <c r="AL185" i="79"/>
  <c r="AN185" i="79" s="1"/>
  <c r="E48" i="79"/>
  <c r="AJ48" i="79"/>
  <c r="AL48" i="79"/>
  <c r="AN48" i="79" s="1"/>
  <c r="AL173" i="79"/>
  <c r="AN173" i="79" s="1"/>
  <c r="E173" i="79"/>
  <c r="AJ173" i="79"/>
  <c r="AJ61" i="79"/>
  <c r="AO61" i="79" s="1"/>
  <c r="E132" i="79"/>
  <c r="E169" i="79"/>
  <c r="AJ104" i="79"/>
  <c r="U26" i="79"/>
  <c r="E104" i="79"/>
  <c r="E192" i="79"/>
  <c r="AL192" i="79"/>
  <c r="AN192" i="79" s="1"/>
  <c r="AJ192" i="79"/>
  <c r="E81" i="79"/>
  <c r="AL81" i="79"/>
  <c r="AN81" i="79" s="1"/>
  <c r="AJ81" i="79"/>
  <c r="AJ44" i="79"/>
  <c r="AL44" i="79"/>
  <c r="AN44" i="79" s="1"/>
  <c r="U21" i="79"/>
  <c r="E44" i="79"/>
  <c r="E147" i="79"/>
  <c r="AL147" i="79"/>
  <c r="AN147" i="79" s="1"/>
  <c r="AJ147" i="79"/>
  <c r="AL111" i="79"/>
  <c r="AN111" i="79" s="1"/>
  <c r="E111" i="79"/>
  <c r="AJ111" i="79"/>
  <c r="AJ29" i="79"/>
  <c r="E29" i="79"/>
  <c r="AL29" i="79"/>
  <c r="AN29" i="79" s="1"/>
  <c r="E154" i="79"/>
  <c r="AL154" i="79"/>
  <c r="AN154" i="79" s="1"/>
  <c r="AJ154" i="79"/>
  <c r="AJ46" i="79"/>
  <c r="E46" i="79"/>
  <c r="AL46" i="79"/>
  <c r="AN46" i="79" s="1"/>
  <c r="AL137" i="79"/>
  <c r="AN137" i="79" s="1"/>
  <c r="E137" i="79"/>
  <c r="AJ137" i="79"/>
  <c r="AL105" i="79"/>
  <c r="AN105" i="79" s="1"/>
  <c r="AJ105" i="79"/>
  <c r="E105" i="79"/>
  <c r="AJ163" i="79"/>
  <c r="AL163" i="79"/>
  <c r="AN163" i="79" s="1"/>
  <c r="E163" i="79"/>
  <c r="AJ159" i="79"/>
  <c r="E159" i="79"/>
  <c r="AL159" i="79"/>
  <c r="AN159" i="79" s="1"/>
  <c r="AL67" i="79"/>
  <c r="AN67" i="79" s="1"/>
  <c r="E67" i="79"/>
  <c r="AJ67" i="79"/>
  <c r="E97" i="79"/>
  <c r="AL104" i="79"/>
  <c r="AN104" i="79" s="1"/>
  <c r="AL131" i="79"/>
  <c r="AN131" i="79" s="1"/>
  <c r="AO131" i="79" s="1"/>
  <c r="E131" i="79"/>
  <c r="AJ178" i="79"/>
  <c r="E178" i="79"/>
  <c r="AL178" i="79"/>
  <c r="AN178" i="79" s="1"/>
  <c r="AJ77" i="79"/>
  <c r="E77" i="79"/>
  <c r="AL77" i="79"/>
  <c r="AN77" i="79" s="1"/>
  <c r="AJ175" i="79"/>
  <c r="AL175" i="79"/>
  <c r="AN175" i="79" s="1"/>
  <c r="E175" i="79"/>
  <c r="AJ89" i="79"/>
  <c r="E89" i="79"/>
  <c r="AL89" i="79"/>
  <c r="AN89" i="79" s="1"/>
  <c r="AJ91" i="79"/>
  <c r="E91" i="79"/>
  <c r="AL91" i="79"/>
  <c r="AN91" i="79" s="1"/>
  <c r="AJ27" i="79"/>
  <c r="AL27" i="79"/>
  <c r="AN27" i="79" s="1"/>
  <c r="E27" i="79"/>
  <c r="AL94" i="79"/>
  <c r="AN94" i="79" s="1"/>
  <c r="E94" i="79"/>
  <c r="AJ94" i="79"/>
  <c r="AJ37" i="79"/>
  <c r="AL37" i="79"/>
  <c r="AN37" i="79" s="1"/>
  <c r="E37" i="79"/>
  <c r="E189" i="79"/>
  <c r="AL189" i="79"/>
  <c r="AN189" i="79" s="1"/>
  <c r="AJ189" i="79"/>
  <c r="E197" i="79"/>
  <c r="AJ197" i="79"/>
  <c r="AL197" i="79"/>
  <c r="AN197" i="79" s="1"/>
  <c r="U30" i="79"/>
  <c r="E152" i="79"/>
  <c r="AJ152" i="79"/>
  <c r="AL152" i="79"/>
  <c r="AN152" i="79" s="1"/>
  <c r="AJ186" i="79"/>
  <c r="AL186" i="79"/>
  <c r="AN186" i="79" s="1"/>
  <c r="E186" i="79"/>
  <c r="AJ113" i="79"/>
  <c r="AL113" i="79"/>
  <c r="AN113" i="79" s="1"/>
  <c r="E113" i="79"/>
  <c r="AL177" i="79"/>
  <c r="AN177" i="79" s="1"/>
  <c r="E177" i="79"/>
  <c r="AJ177" i="79"/>
  <c r="AJ82" i="79"/>
  <c r="E82" i="79"/>
  <c r="AL82" i="79"/>
  <c r="AN82" i="79" s="1"/>
  <c r="AJ127" i="79"/>
  <c r="E127" i="79"/>
  <c r="AL127" i="79"/>
  <c r="AN127" i="79" s="1"/>
  <c r="AL128" i="79"/>
  <c r="AN128" i="79" s="1"/>
  <c r="AO128" i="79" s="1"/>
  <c r="AL169" i="79"/>
  <c r="AN169" i="79" s="1"/>
  <c r="AO169" i="79" s="1"/>
  <c r="AJ25" i="79"/>
  <c r="U28" i="79"/>
  <c r="E74" i="79"/>
  <c r="AJ74" i="79"/>
  <c r="AO74" i="79" s="1"/>
  <c r="AL31" i="79"/>
  <c r="AN31" i="79" s="1"/>
  <c r="AJ31" i="79"/>
  <c r="E31" i="79"/>
  <c r="E38" i="79"/>
  <c r="AJ38" i="79"/>
  <c r="AL38" i="79"/>
  <c r="AN38" i="79" s="1"/>
  <c r="AL73" i="79"/>
  <c r="AN73" i="79" s="1"/>
  <c r="E73" i="79"/>
  <c r="AJ73" i="79"/>
  <c r="AJ88" i="79"/>
  <c r="E88" i="79"/>
  <c r="AL88" i="79"/>
  <c r="AN88" i="79" s="1"/>
  <c r="AL170" i="79"/>
  <c r="AN170" i="79" s="1"/>
  <c r="AJ170" i="79"/>
  <c r="E170" i="79"/>
  <c r="AJ43" i="79"/>
  <c r="E43" i="79"/>
  <c r="AL43" i="79"/>
  <c r="AN43" i="79" s="1"/>
  <c r="AJ118" i="79"/>
  <c r="E118" i="79"/>
  <c r="AL118" i="79"/>
  <c r="AN118" i="79" s="1"/>
  <c r="AJ167" i="79"/>
  <c r="AL167" i="79"/>
  <c r="AN167" i="79" s="1"/>
  <c r="E167" i="79"/>
  <c r="E198" i="79"/>
  <c r="AJ198" i="79"/>
  <c r="AL198" i="79"/>
  <c r="AN198" i="79" s="1"/>
  <c r="AJ161" i="79"/>
  <c r="AL161" i="79"/>
  <c r="AN161" i="79" s="1"/>
  <c r="E161" i="79"/>
  <c r="E128" i="79"/>
  <c r="AJ146" i="79"/>
  <c r="AL146" i="79"/>
  <c r="AN146" i="79" s="1"/>
  <c r="E194" i="79"/>
  <c r="AJ194" i="79"/>
  <c r="AL194" i="79"/>
  <c r="AN194" i="79" s="1"/>
  <c r="E145" i="79"/>
  <c r="AJ145" i="79"/>
  <c r="AL145" i="79"/>
  <c r="AN145" i="79" s="1"/>
  <c r="AL47" i="79"/>
  <c r="AN47" i="79" s="1"/>
  <c r="E47" i="79"/>
  <c r="AJ47" i="79"/>
  <c r="E63" i="79"/>
  <c r="AJ63" i="79"/>
  <c r="AL63" i="79"/>
  <c r="AN63" i="79" s="1"/>
  <c r="AL80" i="79"/>
  <c r="AN80" i="79" s="1"/>
  <c r="AJ80" i="79"/>
  <c r="E80" i="79"/>
  <c r="U24" i="79"/>
  <c r="R75" i="79"/>
  <c r="AL98" i="79"/>
  <c r="AN98" i="79" s="1"/>
  <c r="AJ98" i="79"/>
  <c r="E98" i="79"/>
  <c r="AJ96" i="79"/>
  <c r="AL96" i="79"/>
  <c r="AN96" i="79" s="1"/>
  <c r="E96" i="79"/>
  <c r="E50" i="79"/>
  <c r="AJ50" i="79"/>
  <c r="AL50" i="79"/>
  <c r="AN50" i="79" s="1"/>
  <c r="AJ101" i="79"/>
  <c r="E101" i="79"/>
  <c r="AL101" i="79"/>
  <c r="AN101" i="79" s="1"/>
  <c r="E102" i="79"/>
  <c r="AJ102" i="79"/>
  <c r="AL102" i="79"/>
  <c r="AN102" i="79" s="1"/>
  <c r="E85" i="79"/>
  <c r="AJ85" i="79"/>
  <c r="AL85" i="79"/>
  <c r="AN85" i="79" s="1"/>
  <c r="E193" i="79"/>
  <c r="AL193" i="79"/>
  <c r="AN193" i="79" s="1"/>
  <c r="AJ193" i="79"/>
  <c r="U32" i="79"/>
  <c r="AL176" i="79"/>
  <c r="AN176" i="79" s="1"/>
  <c r="AJ176" i="79"/>
  <c r="E176" i="79"/>
  <c r="AJ60" i="79"/>
  <c r="AO60" i="79" s="1"/>
  <c r="E60" i="79"/>
  <c r="U31" i="79"/>
  <c r="AL164" i="79"/>
  <c r="AN164" i="79" s="1"/>
  <c r="AJ182" i="79"/>
  <c r="E182" i="79"/>
  <c r="AL182" i="79"/>
  <c r="AN182" i="79" s="1"/>
  <c r="AL199" i="79"/>
  <c r="AN199" i="79" s="1"/>
  <c r="AJ199" i="79"/>
  <c r="E199" i="79"/>
  <c r="AJ39" i="79"/>
  <c r="E39" i="79"/>
  <c r="AL39" i="79"/>
  <c r="AN39" i="79" s="1"/>
  <c r="AL53" i="79"/>
  <c r="AN53" i="79" s="1"/>
  <c r="AJ53" i="79"/>
  <c r="E53" i="79"/>
  <c r="AJ83" i="79"/>
  <c r="E83" i="79"/>
  <c r="AL83" i="79"/>
  <c r="AN83" i="79" s="1"/>
  <c r="AL28" i="79"/>
  <c r="AN28" i="79" s="1"/>
  <c r="E28" i="79"/>
  <c r="AJ28" i="79"/>
  <c r="E42" i="79"/>
  <c r="AJ42" i="79"/>
  <c r="AL42" i="79"/>
  <c r="AN42" i="79" s="1"/>
  <c r="E166" i="79"/>
  <c r="AJ166" i="79"/>
  <c r="AL166" i="79"/>
  <c r="AN166" i="79" s="1"/>
  <c r="AJ72" i="79"/>
  <c r="E72" i="79"/>
  <c r="AL72" i="79"/>
  <c r="AN72" i="79" s="1"/>
  <c r="AJ90" i="79"/>
  <c r="E90" i="79"/>
  <c r="AL90" i="79"/>
  <c r="AN90" i="79" s="1"/>
  <c r="E57" i="79"/>
  <c r="AL57" i="79"/>
  <c r="AN57" i="79" s="1"/>
  <c r="AJ57" i="79"/>
  <c r="AL59" i="79"/>
  <c r="AN59" i="79" s="1"/>
  <c r="E59" i="79"/>
  <c r="AJ59" i="79"/>
  <c r="AJ136" i="79"/>
  <c r="E136" i="79"/>
  <c r="AL136" i="79"/>
  <c r="AN136" i="79" s="1"/>
  <c r="AJ116" i="79"/>
  <c r="E116" i="79"/>
  <c r="AL116" i="79"/>
  <c r="AN116" i="79" s="1"/>
  <c r="U27" i="79"/>
  <c r="AL58" i="79"/>
  <c r="E58" i="79"/>
  <c r="AJ58" i="79"/>
  <c r="J122" i="79"/>
  <c r="J185" i="79"/>
  <c r="J135" i="79"/>
  <c r="J187" i="79"/>
  <c r="J134" i="79"/>
  <c r="J145" i="79"/>
  <c r="J36" i="79"/>
  <c r="J128" i="79"/>
  <c r="J143" i="79"/>
  <c r="J48" i="79"/>
  <c r="J190" i="79"/>
  <c r="J21" i="79"/>
  <c r="I21" i="79" s="1"/>
  <c r="J120" i="79"/>
  <c r="J30" i="79"/>
  <c r="J162" i="79"/>
  <c r="J196" i="79"/>
  <c r="J52" i="79"/>
  <c r="J24" i="79"/>
  <c r="J164" i="79"/>
  <c r="J55" i="79"/>
  <c r="J165" i="79"/>
  <c r="J99" i="79"/>
  <c r="J151" i="79"/>
  <c r="J136" i="79"/>
  <c r="J72" i="79"/>
  <c r="J80" i="79"/>
  <c r="J174" i="79"/>
  <c r="J100" i="79"/>
  <c r="J35" i="79"/>
  <c r="J101" i="79"/>
  <c r="J94" i="79"/>
  <c r="J46" i="79"/>
  <c r="J199" i="79"/>
  <c r="J137" i="79"/>
  <c r="J171" i="79"/>
  <c r="J39" i="79"/>
  <c r="J107" i="79"/>
  <c r="J166" i="79"/>
  <c r="J64" i="79"/>
  <c r="J193" i="79"/>
  <c r="J58" i="79"/>
  <c r="J150" i="79"/>
  <c r="J172" i="79"/>
  <c r="J56" i="79"/>
  <c r="J173" i="79"/>
  <c r="J104" i="79"/>
  <c r="J76" i="79"/>
  <c r="J25" i="79"/>
  <c r="J132" i="79"/>
  <c r="J180" i="79"/>
  <c r="J115" i="79"/>
  <c r="J186" i="79"/>
  <c r="J66" i="79"/>
  <c r="J34" i="79"/>
  <c r="J32" i="79"/>
  <c r="J37" i="79"/>
  <c r="J54" i="79"/>
  <c r="J110" i="79"/>
  <c r="J75" i="79"/>
  <c r="J40" i="79"/>
  <c r="J73" i="79"/>
  <c r="J192" i="79"/>
  <c r="J65" i="79"/>
  <c r="J108" i="79"/>
  <c r="J146" i="79"/>
  <c r="J50" i="79"/>
  <c r="J61" i="79"/>
  <c r="J148" i="79"/>
  <c r="J105" i="79"/>
  <c r="J70" i="79"/>
  <c r="J140" i="79"/>
  <c r="J33" i="79"/>
  <c r="J38" i="79"/>
  <c r="J125" i="79"/>
  <c r="J169" i="79"/>
  <c r="J86" i="79"/>
  <c r="J114" i="79"/>
  <c r="J23" i="79"/>
  <c r="J97" i="79"/>
  <c r="J84" i="79"/>
  <c r="J147" i="79"/>
  <c r="J161" i="79"/>
  <c r="J155" i="79"/>
  <c r="J51" i="79"/>
  <c r="J22" i="79"/>
  <c r="J111" i="79"/>
  <c r="J118" i="79"/>
  <c r="J124" i="79"/>
  <c r="J49" i="79"/>
  <c r="J191" i="79"/>
  <c r="J197" i="79"/>
  <c r="J81" i="79"/>
  <c r="J106" i="79"/>
  <c r="J47" i="79"/>
  <c r="J156" i="79"/>
  <c r="J57" i="79"/>
  <c r="J149" i="79"/>
  <c r="J44" i="79"/>
  <c r="J129" i="79"/>
  <c r="J179" i="79"/>
  <c r="J178" i="79"/>
  <c r="J109" i="79"/>
  <c r="J92" i="79"/>
  <c r="J194" i="79"/>
  <c r="J68" i="79"/>
  <c r="J141" i="79"/>
  <c r="J89" i="79"/>
  <c r="J71" i="79"/>
  <c r="J98" i="79"/>
  <c r="J183" i="79"/>
  <c r="J170" i="79"/>
  <c r="J163" i="79"/>
  <c r="J113" i="79"/>
  <c r="J138" i="79"/>
  <c r="J45" i="79"/>
  <c r="J158" i="79"/>
  <c r="J41" i="79"/>
  <c r="J195" i="79"/>
  <c r="J177" i="79"/>
  <c r="J167" i="79"/>
  <c r="J42" i="79"/>
  <c r="J117" i="79"/>
  <c r="J90" i="79"/>
  <c r="J28" i="79"/>
  <c r="J189" i="79"/>
  <c r="J154" i="79"/>
  <c r="J91" i="79"/>
  <c r="J26" i="79"/>
  <c r="J103" i="79"/>
  <c r="J198" i="79"/>
  <c r="J88" i="79"/>
  <c r="J74" i="79"/>
  <c r="J153" i="79"/>
  <c r="J93" i="79"/>
  <c r="J168" i="79"/>
  <c r="J83" i="79"/>
  <c r="J152" i="79"/>
  <c r="I54" i="82"/>
  <c r="I12" i="82" s="1"/>
  <c r="I11" i="82" s="1"/>
  <c r="H11" i="78"/>
  <c r="J54" i="83" s="1"/>
  <c r="J14" i="83" s="1"/>
  <c r="J13" i="83" s="1"/>
  <c r="AL103" i="79"/>
  <c r="AN103" i="79" s="1"/>
  <c r="AJ103" i="79"/>
  <c r="E103" i="79"/>
  <c r="AJ142" i="79"/>
  <c r="AL142" i="79"/>
  <c r="AN142" i="79" s="1"/>
  <c r="E142" i="79"/>
  <c r="AJ183" i="79"/>
  <c r="E183" i="79"/>
  <c r="AL183" i="79"/>
  <c r="AN183" i="79" s="1"/>
  <c r="AL45" i="79"/>
  <c r="E45" i="79"/>
  <c r="AJ45" i="79"/>
  <c r="E133" i="79"/>
  <c r="AJ133" i="79"/>
  <c r="AL133" i="79"/>
  <c r="AN133" i="79" s="1"/>
  <c r="AL191" i="79"/>
  <c r="E191" i="79"/>
  <c r="AJ191" i="79"/>
  <c r="E55" i="79"/>
  <c r="AL55" i="79"/>
  <c r="AN55" i="79" s="1"/>
  <c r="AJ55" i="79"/>
  <c r="E84" i="79"/>
  <c r="AJ84" i="79"/>
  <c r="AL84" i="79"/>
  <c r="AJ76" i="79"/>
  <c r="AL76" i="79"/>
  <c r="AN76" i="79" s="1"/>
  <c r="E76" i="79"/>
  <c r="AL121" i="79"/>
  <c r="AN121" i="79" s="1"/>
  <c r="E121" i="79"/>
  <c r="AJ121" i="79"/>
  <c r="AL123" i="79"/>
  <c r="AN123" i="79" s="1"/>
  <c r="E123" i="79"/>
  <c r="AJ123" i="79"/>
  <c r="AJ35" i="79"/>
  <c r="E35" i="79"/>
  <c r="AL35" i="79"/>
  <c r="AN35" i="79" s="1"/>
  <c r="AJ195" i="79"/>
  <c r="AL195" i="79"/>
  <c r="AN195" i="79" s="1"/>
  <c r="E195" i="79"/>
  <c r="AJ126" i="79"/>
  <c r="E126" i="79"/>
  <c r="AL126" i="79"/>
  <c r="AN126" i="79" s="1"/>
  <c r="AJ41" i="79"/>
  <c r="E41" i="79"/>
  <c r="AL41" i="79"/>
  <c r="AN41" i="79" s="1"/>
  <c r="AJ33" i="79"/>
  <c r="E33" i="79"/>
  <c r="AL33" i="79"/>
  <c r="AJ54" i="79"/>
  <c r="E54" i="79"/>
  <c r="AL54" i="79"/>
  <c r="AN54" i="79" s="1"/>
  <c r="AJ174" i="79"/>
  <c r="E174" i="79"/>
  <c r="AL174" i="79"/>
  <c r="E160" i="79"/>
  <c r="AJ160" i="79"/>
  <c r="AL160" i="79"/>
  <c r="AN160" i="79" s="1"/>
  <c r="AL158" i="79"/>
  <c r="AN158" i="79" s="1"/>
  <c r="AJ158" i="79"/>
  <c r="E158" i="79"/>
  <c r="E112" i="79"/>
  <c r="AJ112" i="79"/>
  <c r="AL112" i="79"/>
  <c r="AN112" i="79" s="1"/>
  <c r="AJ99" i="79"/>
  <c r="E99" i="79"/>
  <c r="AL99" i="79"/>
  <c r="AN99" i="79" s="1"/>
  <c r="AJ34" i="79"/>
  <c r="AL34" i="79"/>
  <c r="AN34" i="79" s="1"/>
  <c r="E34" i="79"/>
  <c r="AJ119" i="79"/>
  <c r="E119" i="79"/>
  <c r="AL119" i="79"/>
  <c r="AN119" i="79" s="1"/>
  <c r="E106" i="79"/>
  <c r="AJ106" i="79"/>
  <c r="AL106" i="79"/>
  <c r="E21" i="79"/>
  <c r="AL21" i="79"/>
  <c r="AJ21" i="79"/>
  <c r="AJ141" i="79"/>
  <c r="AL141" i="79"/>
  <c r="E141" i="79"/>
  <c r="AL187" i="79"/>
  <c r="AN187" i="79" s="1"/>
  <c r="E187" i="79"/>
  <c r="AJ187" i="79"/>
  <c r="E70" i="79"/>
  <c r="AL70" i="79"/>
  <c r="AN70" i="79" s="1"/>
  <c r="AJ70" i="79"/>
  <c r="AJ86" i="79"/>
  <c r="AL86" i="79"/>
  <c r="AN86" i="79" s="1"/>
  <c r="E86" i="79"/>
  <c r="AL100" i="79"/>
  <c r="AN100" i="79" s="1"/>
  <c r="E100" i="79"/>
  <c r="AJ100" i="79"/>
  <c r="AL109" i="79"/>
  <c r="AN109" i="79" s="1"/>
  <c r="AJ109" i="79"/>
  <c r="E109" i="79"/>
  <c r="E36" i="79"/>
  <c r="AJ36" i="79"/>
  <c r="AL36" i="79"/>
  <c r="AN36" i="79" s="1"/>
  <c r="AL200" i="79"/>
  <c r="AN200" i="79" s="1"/>
  <c r="E200" i="79"/>
  <c r="F18" i="79"/>
  <c r="R7" i="79" s="1"/>
  <c r="AJ200" i="79"/>
  <c r="U34" i="79"/>
  <c r="AL30" i="79"/>
  <c r="AN30" i="79" s="1"/>
  <c r="AJ30" i="79"/>
  <c r="E30" i="79"/>
  <c r="AJ151" i="79"/>
  <c r="E151" i="79"/>
  <c r="AL151" i="79"/>
  <c r="AN151" i="79" s="1"/>
  <c r="AJ107" i="79"/>
  <c r="E107" i="79"/>
  <c r="AL107" i="79"/>
  <c r="AN107" i="79" s="1"/>
  <c r="E32" i="79"/>
  <c r="U20" i="79"/>
  <c r="AL32" i="79"/>
  <c r="AN32" i="79" s="1"/>
  <c r="AJ32" i="79"/>
  <c r="E120" i="79"/>
  <c r="AJ120" i="79"/>
  <c r="AL120" i="79"/>
  <c r="AN120" i="79" s="1"/>
  <c r="AL114" i="79"/>
  <c r="AN114" i="79" s="1"/>
  <c r="E114" i="79"/>
  <c r="AJ114" i="79"/>
  <c r="E157" i="79"/>
  <c r="AL157" i="79"/>
  <c r="AN157" i="79" s="1"/>
  <c r="AJ157" i="79"/>
  <c r="E155" i="79"/>
  <c r="AL155" i="79"/>
  <c r="AJ155" i="79"/>
  <c r="E75" i="79"/>
  <c r="AJ75" i="79"/>
  <c r="AL75" i="79"/>
  <c r="AN75" i="79" s="1"/>
  <c r="E180" i="79"/>
  <c r="AJ180" i="79"/>
  <c r="AL180" i="79"/>
  <c r="AN69" i="79"/>
  <c r="H62" i="82"/>
  <c r="I7" i="82"/>
  <c r="H21" i="82"/>
  <c r="J9" i="82"/>
  <c r="I63" i="82"/>
  <c r="O27" i="37"/>
  <c r="P36" i="44"/>
  <c r="S36" i="44"/>
  <c r="Q36" i="44"/>
  <c r="D33" i="44"/>
  <c r="D29" i="44"/>
  <c r="D31" i="44"/>
  <c r="D30" i="44"/>
  <c r="D32" i="44"/>
  <c r="D34" i="44"/>
  <c r="D35" i="44"/>
  <c r="I150" i="36"/>
  <c r="AB15" i="37" s="1"/>
  <c r="AB16" i="37" s="1"/>
  <c r="H151" i="36"/>
  <c r="T15" i="37" s="1"/>
  <c r="T16" i="37" s="1"/>
  <c r="K150" i="36"/>
  <c r="AD15" i="37" s="1"/>
  <c r="AD16" i="37" s="1"/>
  <c r="H150" i="36"/>
  <c r="AA15" i="37" s="1"/>
  <c r="AA16" i="37" s="1"/>
  <c r="K151" i="36"/>
  <c r="W15" i="37" s="1"/>
  <c r="W16" i="37" s="1"/>
  <c r="H28" i="37"/>
  <c r="T27" i="37"/>
  <c r="I28" i="37"/>
  <c r="V23" i="37"/>
  <c r="V24" i="37" s="1"/>
  <c r="H33" i="37"/>
  <c r="V29" i="37"/>
  <c r="M35" i="37"/>
  <c r="P33" i="37"/>
  <c r="W23" i="37"/>
  <c r="W24" i="37" s="1"/>
  <c r="P34" i="37"/>
  <c r="P32" i="37"/>
  <c r="E28" i="37"/>
  <c r="W28" i="37"/>
  <c r="P29" i="37"/>
  <c r="I34" i="37"/>
  <c r="P27" i="37"/>
  <c r="H152" i="36"/>
  <c r="T36" i="37"/>
  <c r="J150" i="36"/>
  <c r="AC15" i="37" s="1"/>
  <c r="AC16" i="37" s="1"/>
  <c r="V27" i="37"/>
  <c r="T28" i="37"/>
  <c r="U29" i="37"/>
  <c r="I33" i="37"/>
  <c r="V33" i="37"/>
  <c r="T33" i="37"/>
  <c r="U27" i="37"/>
  <c r="J152" i="36"/>
  <c r="V35" i="37"/>
  <c r="M23" i="37"/>
  <c r="M24" i="37" s="1"/>
  <c r="I153" i="36"/>
  <c r="N15" i="37" s="1"/>
  <c r="I36" i="37"/>
  <c r="V26" i="37"/>
  <c r="M34" i="37"/>
  <c r="H153" i="36"/>
  <c r="M15" i="37" s="1"/>
  <c r="AB28" i="37"/>
  <c r="U35" i="37"/>
  <c r="M27" i="37"/>
  <c r="V28" i="37"/>
  <c r="T23" i="37"/>
  <c r="T24" i="37" s="1"/>
  <c r="M29" i="37"/>
  <c r="T34" i="37"/>
  <c r="M32" i="37"/>
  <c r="T29" i="37"/>
  <c r="F26" i="37"/>
  <c r="T32" i="37"/>
  <c r="M26" i="37"/>
  <c r="P23" i="37"/>
  <c r="P24" i="37" s="1"/>
  <c r="V36" i="37"/>
  <c r="T26" i="37"/>
  <c r="M33" i="37"/>
  <c r="M36" i="37"/>
  <c r="P36" i="37"/>
  <c r="P26" i="37"/>
  <c r="L32" i="37"/>
  <c r="L35" i="37"/>
  <c r="L27" i="37"/>
  <c r="V34" i="37"/>
  <c r="F32" i="37"/>
  <c r="P28" i="37"/>
  <c r="L33" i="37"/>
  <c r="E27" i="37"/>
  <c r="I32" i="37"/>
  <c r="I35" i="37"/>
  <c r="S28" i="37"/>
  <c r="I27" i="37"/>
  <c r="I26" i="37"/>
  <c r="AD33" i="37"/>
  <c r="I23" i="37"/>
  <c r="S35" i="37"/>
  <c r="I152" i="36"/>
  <c r="N36" i="37"/>
  <c r="N32" i="37"/>
  <c r="E23" i="37"/>
  <c r="W29" i="37"/>
  <c r="W34" i="37"/>
  <c r="L28" i="37"/>
  <c r="E34" i="37"/>
  <c r="W35" i="37"/>
  <c r="L36" i="37"/>
  <c r="W36" i="37"/>
  <c r="L26" i="37"/>
  <c r="K153" i="36"/>
  <c r="P15" i="37" s="1"/>
  <c r="J151" i="36"/>
  <c r="V15" i="37" s="1"/>
  <c r="V16" i="37" s="1"/>
  <c r="G100" i="36"/>
  <c r="G101" i="36" s="1"/>
  <c r="E33" i="37"/>
  <c r="E29" i="37"/>
  <c r="W33" i="37"/>
  <c r="E36" i="37"/>
  <c r="W26" i="37"/>
  <c r="W27" i="37"/>
  <c r="E26" i="37"/>
  <c r="K152" i="36"/>
  <c r="J153" i="36"/>
  <c r="O15" i="37" s="1"/>
  <c r="I100" i="36"/>
  <c r="I101" i="36" s="1"/>
  <c r="E35" i="37"/>
  <c r="O34" i="37"/>
  <c r="O28" i="37"/>
  <c r="F34" i="37"/>
  <c r="U23" i="37"/>
  <c r="U24" i="37" s="1"/>
  <c r="N28" i="37"/>
  <c r="N23" i="37"/>
  <c r="N24" i="37" s="1"/>
  <c r="O32" i="37"/>
  <c r="H32" i="37"/>
  <c r="F35" i="37"/>
  <c r="U36" i="37"/>
  <c r="N35" i="37"/>
  <c r="O29" i="37"/>
  <c r="U33" i="37"/>
  <c r="N27" i="37"/>
  <c r="K100" i="36"/>
  <c r="O36" i="37"/>
  <c r="O35" i="37"/>
  <c r="F23" i="37"/>
  <c r="U28" i="37"/>
  <c r="H36" i="37"/>
  <c r="S36" i="37"/>
  <c r="F36" i="37"/>
  <c r="U26" i="37"/>
  <c r="N26" i="37"/>
  <c r="L29" i="37"/>
  <c r="L23" i="37"/>
  <c r="L24" i="37" s="1"/>
  <c r="N29" i="37"/>
  <c r="H29" i="37"/>
  <c r="N34" i="37"/>
  <c r="O26" i="37"/>
  <c r="H23" i="37"/>
  <c r="O33" i="37"/>
  <c r="H27" i="37"/>
  <c r="J100" i="36"/>
  <c r="J160" i="36" s="1"/>
  <c r="F33" i="37"/>
  <c r="U34" i="37"/>
  <c r="N33" i="37"/>
  <c r="AA26" i="37"/>
  <c r="H100" i="36"/>
  <c r="F29" i="37"/>
  <c r="H35" i="37"/>
  <c r="S33" i="37"/>
  <c r="F28" i="37"/>
  <c r="H26" i="37"/>
  <c r="AD18" i="37"/>
  <c r="Z18" i="37"/>
  <c r="AC18" i="37"/>
  <c r="H63" i="69"/>
  <c r="H64" i="69"/>
  <c r="H62" i="69"/>
  <c r="S32" i="37"/>
  <c r="S27" i="37"/>
  <c r="S26" i="37"/>
  <c r="S29" i="37"/>
  <c r="S34" i="37"/>
  <c r="C7" i="26" l="1"/>
  <c r="D21" i="37"/>
  <c r="AF18" i="37"/>
  <c r="C18" i="26" s="1"/>
  <c r="B69" i="36"/>
  <c r="B124" i="36"/>
  <c r="B24" i="36"/>
  <c r="O21" i="37"/>
  <c r="V21" i="37"/>
  <c r="U21" i="37"/>
  <c r="T21" i="37"/>
  <c r="AI39" i="37"/>
  <c r="F39" i="26" s="1"/>
  <c r="G41" i="77" s="1"/>
  <c r="L21" i="37"/>
  <c r="S21" i="37"/>
  <c r="P21" i="37"/>
  <c r="M21" i="37"/>
  <c r="N21" i="37"/>
  <c r="G20" i="37"/>
  <c r="G30" i="37"/>
  <c r="AI30" i="37" s="1"/>
  <c r="E21" i="37"/>
  <c r="AG20" i="37"/>
  <c r="D20" i="26" s="1"/>
  <c r="I21" i="37"/>
  <c r="AK20" i="37"/>
  <c r="H20" i="26" s="1"/>
  <c r="I22" i="77" s="1"/>
  <c r="AJ20" i="37"/>
  <c r="G20" i="26" s="1"/>
  <c r="H22" i="77" s="1"/>
  <c r="H21" i="37"/>
  <c r="F21" i="37"/>
  <c r="AH20" i="37"/>
  <c r="E20" i="26" s="1"/>
  <c r="F22" i="77" s="1"/>
  <c r="J23" i="78"/>
  <c r="G34" i="37"/>
  <c r="G23" i="37"/>
  <c r="G24" i="37" s="1"/>
  <c r="G27" i="37"/>
  <c r="G28" i="37"/>
  <c r="AI28" i="37" s="1"/>
  <c r="F28" i="26" s="1"/>
  <c r="G30" i="77" s="1"/>
  <c r="G26" i="37"/>
  <c r="G33" i="37"/>
  <c r="G35" i="37"/>
  <c r="AI35" i="37" s="1"/>
  <c r="G36" i="37"/>
  <c r="G32" i="37"/>
  <c r="O16" i="37"/>
  <c r="H15" i="37"/>
  <c r="AJ15" i="37" s="1"/>
  <c r="AJ16" i="37" s="1"/>
  <c r="G15" i="26" s="1"/>
  <c r="L16" i="37"/>
  <c r="E15" i="37"/>
  <c r="AG15" i="37" s="1"/>
  <c r="AG16" i="37" s="1"/>
  <c r="D15" i="26" s="1"/>
  <c r="G29" i="37"/>
  <c r="K16" i="37"/>
  <c r="K48" i="37" s="1"/>
  <c r="D15" i="37"/>
  <c r="D16" i="37" s="1"/>
  <c r="P16" i="37"/>
  <c r="I15" i="37"/>
  <c r="AK15" i="37" s="1"/>
  <c r="AK16" i="37" s="1"/>
  <c r="H15" i="26" s="1"/>
  <c r="H16" i="26" s="1"/>
  <c r="N16" i="37"/>
  <c r="G15" i="37"/>
  <c r="G16" i="37" s="1"/>
  <c r="M16" i="37"/>
  <c r="F15" i="37"/>
  <c r="F16" i="37" s="1"/>
  <c r="I46" i="37"/>
  <c r="AG39" i="37"/>
  <c r="D39" i="26" s="1"/>
  <c r="AC36" i="84"/>
  <c r="K9" i="83"/>
  <c r="J63" i="83"/>
  <c r="J73" i="83" s="1"/>
  <c r="J21" i="83"/>
  <c r="J24" i="83"/>
  <c r="J34" i="83" s="1"/>
  <c r="AD35" i="84"/>
  <c r="AD36" i="84" s="1"/>
  <c r="J64" i="83"/>
  <c r="J74" i="83" s="1"/>
  <c r="K11" i="83"/>
  <c r="I74" i="83"/>
  <c r="I79" i="83" s="1"/>
  <c r="J65" i="83"/>
  <c r="J75" i="83" s="1"/>
  <c r="K13" i="83"/>
  <c r="J26" i="83"/>
  <c r="J36" i="83" s="1"/>
  <c r="AJ18" i="37"/>
  <c r="G18" i="26" s="1"/>
  <c r="H20" i="77" s="1"/>
  <c r="J25" i="83"/>
  <c r="J35" i="83" s="1"/>
  <c r="I69" i="83"/>
  <c r="G157" i="36"/>
  <c r="G158" i="36" s="1"/>
  <c r="AF23" i="37"/>
  <c r="D24" i="37"/>
  <c r="Y15" i="37"/>
  <c r="Y16" i="37" s="1"/>
  <c r="Y48" i="37" s="1"/>
  <c r="F157" i="36"/>
  <c r="F158" i="36" s="1"/>
  <c r="F160" i="36"/>
  <c r="D15" i="77"/>
  <c r="F101" i="36"/>
  <c r="J33" i="44"/>
  <c r="I30" i="83"/>
  <c r="AE36" i="84"/>
  <c r="H31" i="44"/>
  <c r="D50" i="44"/>
  <c r="F29" i="44"/>
  <c r="G30" i="44"/>
  <c r="I32" i="44"/>
  <c r="Q19" i="84"/>
  <c r="K46" i="77"/>
  <c r="J44" i="26"/>
  <c r="H40" i="83"/>
  <c r="H44" i="83" s="1"/>
  <c r="G29" i="44" s="1"/>
  <c r="I40" i="83"/>
  <c r="I44" i="83" s="1"/>
  <c r="H29" i="44" s="1"/>
  <c r="E7" i="26"/>
  <c r="F9" i="77" s="1"/>
  <c r="AK18" i="37"/>
  <c r="H18" i="26" s="1"/>
  <c r="I20" i="77" s="1"/>
  <c r="AH26" i="37"/>
  <c r="E24" i="37"/>
  <c r="H37" i="37"/>
  <c r="F24" i="37"/>
  <c r="H24" i="37"/>
  <c r="I24" i="37"/>
  <c r="AK33" i="37"/>
  <c r="H33" i="26" s="1"/>
  <c r="I35" i="77" s="1"/>
  <c r="AO56" i="79"/>
  <c r="AO164" i="79"/>
  <c r="AO117" i="79"/>
  <c r="AJ39" i="37"/>
  <c r="G39" i="26" s="1"/>
  <c r="H41" i="77" s="1"/>
  <c r="D7" i="26"/>
  <c r="P40" i="44"/>
  <c r="L8" i="37"/>
  <c r="L12" i="37" s="1"/>
  <c r="Q40" i="44"/>
  <c r="M8" i="37"/>
  <c r="M12" i="37" s="1"/>
  <c r="AG18" i="37"/>
  <c r="D18" i="26" s="1"/>
  <c r="F46" i="37"/>
  <c r="AH39" i="37"/>
  <c r="E39" i="26" s="1"/>
  <c r="O8" i="37"/>
  <c r="O12" i="37" s="1"/>
  <c r="S40" i="44"/>
  <c r="AO33" i="44"/>
  <c r="AN33" i="44"/>
  <c r="AO32" i="44"/>
  <c r="AN32" i="44"/>
  <c r="AO30" i="44"/>
  <c r="AM31" i="44"/>
  <c r="AN30" i="44"/>
  <c r="AL30" i="44"/>
  <c r="AM30" i="44"/>
  <c r="AK30" i="44"/>
  <c r="AM32" i="44"/>
  <c r="AO31" i="44"/>
  <c r="AK31" i="44"/>
  <c r="AN31" i="44"/>
  <c r="AL31" i="44"/>
  <c r="AM29" i="44"/>
  <c r="AO29" i="44"/>
  <c r="AK29" i="44"/>
  <c r="AJ29" i="44"/>
  <c r="AJ36" i="44" s="1"/>
  <c r="AJ40" i="44" s="1"/>
  <c r="AL29" i="44"/>
  <c r="AI29" i="44"/>
  <c r="AI36" i="44" s="1"/>
  <c r="AI40" i="44" s="1"/>
  <c r="AN29" i="44"/>
  <c r="AO44" i="79"/>
  <c r="AO23" i="79"/>
  <c r="AO190" i="79"/>
  <c r="AO40" i="79"/>
  <c r="AO70" i="79"/>
  <c r="AO199" i="79"/>
  <c r="J24" i="78"/>
  <c r="S46" i="37"/>
  <c r="AO25" i="79"/>
  <c r="AO125" i="79"/>
  <c r="AO59" i="79"/>
  <c r="AO69" i="79"/>
  <c r="AO198" i="79"/>
  <c r="AO22" i="79"/>
  <c r="AO181" i="79"/>
  <c r="AO163" i="79"/>
  <c r="AO100" i="79"/>
  <c r="AO185" i="79"/>
  <c r="AO116" i="79"/>
  <c r="AO193" i="79"/>
  <c r="AO80" i="79"/>
  <c r="AO167" i="79"/>
  <c r="AO37" i="79"/>
  <c r="AO139" i="79"/>
  <c r="X51" i="44"/>
  <c r="AA51" i="44" s="1"/>
  <c r="X50" i="44"/>
  <c r="Z50" i="44" s="1"/>
  <c r="Z57" i="44" s="1"/>
  <c r="E30" i="78" s="1"/>
  <c r="X52" i="44"/>
  <c r="AB52" i="44" s="1"/>
  <c r="M46" i="37"/>
  <c r="X53" i="44"/>
  <c r="AC53" i="44" s="1"/>
  <c r="AA8" i="37"/>
  <c r="AO76" i="79"/>
  <c r="AO200" i="79"/>
  <c r="W23" i="79"/>
  <c r="Y23" i="79" s="1"/>
  <c r="AO82" i="79"/>
  <c r="W29" i="79"/>
  <c r="Y29" i="79" s="1"/>
  <c r="AO85" i="79"/>
  <c r="AO194" i="79"/>
  <c r="AO118" i="79"/>
  <c r="AO186" i="79"/>
  <c r="AO189" i="79"/>
  <c r="AO94" i="79"/>
  <c r="AO46" i="79"/>
  <c r="AO53" i="79"/>
  <c r="AO88" i="79"/>
  <c r="AO89" i="79"/>
  <c r="AO104" i="79"/>
  <c r="AO120" i="79"/>
  <c r="AO28" i="79"/>
  <c r="AO47" i="79"/>
  <c r="AO124" i="79"/>
  <c r="AO57" i="79"/>
  <c r="AO72" i="79"/>
  <c r="AO39" i="79"/>
  <c r="AO182" i="79"/>
  <c r="AO176" i="79"/>
  <c r="AO73" i="79"/>
  <c r="AO177" i="79"/>
  <c r="AO152" i="79"/>
  <c r="AO178" i="79"/>
  <c r="AO105" i="79"/>
  <c r="AO154" i="79"/>
  <c r="AO81" i="79"/>
  <c r="AO48" i="79"/>
  <c r="AO71" i="79"/>
  <c r="AO78" i="79"/>
  <c r="AO108" i="79"/>
  <c r="AO66" i="79"/>
  <c r="AO147" i="79"/>
  <c r="AO196" i="79"/>
  <c r="AO184" i="79"/>
  <c r="AO175" i="79"/>
  <c r="AO114" i="79"/>
  <c r="AO111" i="79"/>
  <c r="AO188" i="79"/>
  <c r="V24" i="79"/>
  <c r="AO50" i="79"/>
  <c r="AO31" i="79"/>
  <c r="AO171" i="79"/>
  <c r="AO93" i="79"/>
  <c r="AO153" i="79"/>
  <c r="AO134" i="79"/>
  <c r="AO51" i="79"/>
  <c r="AO26" i="79"/>
  <c r="AO34" i="79"/>
  <c r="AO166" i="79"/>
  <c r="AO102" i="79"/>
  <c r="AO146" i="79"/>
  <c r="AO43" i="79"/>
  <c r="AO27" i="79"/>
  <c r="AO159" i="79"/>
  <c r="AO87" i="79"/>
  <c r="AO49" i="79"/>
  <c r="AO127" i="79"/>
  <c r="AG27" i="79"/>
  <c r="AO96" i="79"/>
  <c r="AO145" i="79"/>
  <c r="AO113" i="79"/>
  <c r="AO92" i="79"/>
  <c r="AO24" i="79"/>
  <c r="AO136" i="79"/>
  <c r="AO83" i="79"/>
  <c r="AO170" i="79"/>
  <c r="AO38" i="79"/>
  <c r="AO197" i="79"/>
  <c r="AO91" i="79"/>
  <c r="AO137" i="79"/>
  <c r="AO192" i="79"/>
  <c r="AO173" i="79"/>
  <c r="AO115" i="79"/>
  <c r="AO122" i="79"/>
  <c r="AO90" i="79"/>
  <c r="AO42" i="79"/>
  <c r="AO101" i="79"/>
  <c r="AO98" i="79"/>
  <c r="AO63" i="79"/>
  <c r="AO161" i="79"/>
  <c r="AO77" i="79"/>
  <c r="AO67" i="79"/>
  <c r="AO29" i="79"/>
  <c r="AO68" i="79"/>
  <c r="AO65" i="79"/>
  <c r="AO64" i="79"/>
  <c r="AO172" i="79"/>
  <c r="AO179" i="79"/>
  <c r="AO149" i="79"/>
  <c r="AG24" i="79"/>
  <c r="AG32" i="79"/>
  <c r="AO151" i="79"/>
  <c r="AG31" i="79"/>
  <c r="AG25" i="79"/>
  <c r="AN58" i="79"/>
  <c r="AO58" i="79" s="1"/>
  <c r="V23" i="79"/>
  <c r="AO157" i="79"/>
  <c r="AG28" i="79"/>
  <c r="AG30" i="79"/>
  <c r="AG33" i="79"/>
  <c r="AG29" i="79"/>
  <c r="R79" i="79"/>
  <c r="AG26" i="79"/>
  <c r="AG23" i="79"/>
  <c r="AO123" i="79"/>
  <c r="AO133" i="79"/>
  <c r="AG21" i="79"/>
  <c r="W26" i="79"/>
  <c r="Y26" i="79" s="1"/>
  <c r="J54" i="82"/>
  <c r="J14" i="82" s="1"/>
  <c r="J13" i="82" s="1"/>
  <c r="I11" i="78"/>
  <c r="K54" i="83" s="1"/>
  <c r="K16" i="83" s="1"/>
  <c r="K15" i="83" s="1"/>
  <c r="AO32" i="79"/>
  <c r="R139" i="79"/>
  <c r="AO41" i="79"/>
  <c r="R187" i="79"/>
  <c r="I64" i="82"/>
  <c r="I74" i="82" s="1"/>
  <c r="J11" i="82"/>
  <c r="AO112" i="79"/>
  <c r="AO160" i="79"/>
  <c r="J19" i="79"/>
  <c r="R12" i="79" s="1"/>
  <c r="AG34" i="79"/>
  <c r="I22" i="79"/>
  <c r="L21" i="79"/>
  <c r="M21" i="79" s="1"/>
  <c r="O21" i="79" s="1"/>
  <c r="AG20" i="79"/>
  <c r="W24" i="79"/>
  <c r="Y24" i="79" s="1"/>
  <c r="AO30" i="79"/>
  <c r="AO36" i="79"/>
  <c r="AG22" i="79"/>
  <c r="W31" i="79"/>
  <c r="Y31" i="79" s="1"/>
  <c r="W30" i="79"/>
  <c r="Y30" i="79" s="1"/>
  <c r="W27" i="79"/>
  <c r="Y27" i="79" s="1"/>
  <c r="AO99" i="79"/>
  <c r="AO54" i="79"/>
  <c r="AO126" i="79"/>
  <c r="AO121" i="79"/>
  <c r="AN155" i="79"/>
  <c r="AO155" i="79" s="1"/>
  <c r="V31" i="79"/>
  <c r="AO142" i="79"/>
  <c r="W33" i="79"/>
  <c r="Y33" i="79" s="1"/>
  <c r="AN141" i="79"/>
  <c r="AO141" i="79" s="1"/>
  <c r="V30" i="79"/>
  <c r="AO158" i="79"/>
  <c r="AO35" i="79"/>
  <c r="AN84" i="79"/>
  <c r="AO84" i="79" s="1"/>
  <c r="V25" i="79"/>
  <c r="W22" i="79"/>
  <c r="Y22" i="79" s="1"/>
  <c r="AO103" i="79"/>
  <c r="AN106" i="79"/>
  <c r="AO106" i="79" s="1"/>
  <c r="V27" i="79"/>
  <c r="AN180" i="79"/>
  <c r="AO180" i="79" s="1"/>
  <c r="V33" i="79"/>
  <c r="V28" i="79"/>
  <c r="V21" i="79"/>
  <c r="AN33" i="79"/>
  <c r="AO33" i="79" s="1"/>
  <c r="AN45" i="79"/>
  <c r="AO45" i="79" s="1"/>
  <c r="V22" i="79"/>
  <c r="AO75" i="79"/>
  <c r="AO86" i="79"/>
  <c r="AJ19" i="79"/>
  <c r="AO119" i="79"/>
  <c r="AN174" i="79"/>
  <c r="AO174" i="79" s="1"/>
  <c r="V32" i="79"/>
  <c r="W21" i="79"/>
  <c r="Y21" i="79" s="1"/>
  <c r="AO195" i="79"/>
  <c r="W25" i="79"/>
  <c r="Y25" i="79" s="1"/>
  <c r="W28" i="79"/>
  <c r="Y28" i="79" s="1"/>
  <c r="W34" i="79"/>
  <c r="Y34" i="79" s="1"/>
  <c r="AO107" i="79"/>
  <c r="AO109" i="79"/>
  <c r="V26" i="79"/>
  <c r="AN21" i="79"/>
  <c r="AO21" i="79" s="1"/>
  <c r="V20" i="79"/>
  <c r="AL19" i="79"/>
  <c r="W32" i="79"/>
  <c r="Y32" i="79" s="1"/>
  <c r="AO55" i="79"/>
  <c r="V29" i="79"/>
  <c r="AN191" i="79"/>
  <c r="AO191" i="79" s="1"/>
  <c r="V34" i="79"/>
  <c r="AO183" i="79"/>
  <c r="AO187" i="79"/>
  <c r="W20" i="79"/>
  <c r="E19" i="79"/>
  <c r="H69" i="82"/>
  <c r="H72" i="82"/>
  <c r="H79" i="82" s="1"/>
  <c r="K9" i="82"/>
  <c r="J63" i="82"/>
  <c r="I73" i="82"/>
  <c r="J7" i="82"/>
  <c r="I21" i="82"/>
  <c r="I62" i="82"/>
  <c r="T36" i="44"/>
  <c r="P57" i="44"/>
  <c r="R57" i="44"/>
  <c r="Q57" i="44"/>
  <c r="R36" i="44"/>
  <c r="D56" i="44"/>
  <c r="D55" i="44"/>
  <c r="D53" i="44"/>
  <c r="D51" i="44"/>
  <c r="D52" i="44"/>
  <c r="D54" i="44"/>
  <c r="J54" i="44" s="1"/>
  <c r="I160" i="36"/>
  <c r="AB23" i="37"/>
  <c r="AB24" i="37" s="1"/>
  <c r="P37" i="37"/>
  <c r="AD23" i="37"/>
  <c r="AD24" i="37" s="1"/>
  <c r="AB26" i="37"/>
  <c r="T37" i="37"/>
  <c r="I157" i="36"/>
  <c r="I158" i="36" s="1"/>
  <c r="V37" i="37"/>
  <c r="AB33" i="37"/>
  <c r="AB27" i="37"/>
  <c r="H157" i="36"/>
  <c r="H158" i="36" s="1"/>
  <c r="AB32" i="37"/>
  <c r="AB34" i="37"/>
  <c r="AB29" i="37"/>
  <c r="AB36" i="37"/>
  <c r="M37" i="37"/>
  <c r="G160" i="36"/>
  <c r="W37" i="37"/>
  <c r="W48" i="37" s="1"/>
  <c r="O37" i="37"/>
  <c r="AD27" i="37"/>
  <c r="AK27" i="37" s="1"/>
  <c r="AD28" i="37"/>
  <c r="L37" i="37"/>
  <c r="AK35" i="37"/>
  <c r="K157" i="36"/>
  <c r="K158" i="36" s="1"/>
  <c r="AD34" i="37"/>
  <c r="AK34" i="37" s="1"/>
  <c r="AD36" i="37"/>
  <c r="AK36" i="37" s="1"/>
  <c r="AD29" i="37"/>
  <c r="AD32" i="37"/>
  <c r="AK32" i="37" s="1"/>
  <c r="E37" i="37"/>
  <c r="N37" i="37"/>
  <c r="J157" i="36"/>
  <c r="J158" i="36" s="1"/>
  <c r="AD26" i="37"/>
  <c r="AK26" i="37" s="1"/>
  <c r="J101" i="36"/>
  <c r="U37" i="37"/>
  <c r="S37" i="37"/>
  <c r="H101" i="36"/>
  <c r="H160" i="36"/>
  <c r="AA28" i="37"/>
  <c r="AH28" i="37" s="1"/>
  <c r="AA29" i="37"/>
  <c r="AH29" i="37" s="1"/>
  <c r="AA36" i="37"/>
  <c r="AH36" i="37" s="1"/>
  <c r="AA32" i="37"/>
  <c r="AA27" i="37"/>
  <c r="AA23" i="37"/>
  <c r="AH23" i="37" s="1"/>
  <c r="AA34" i="37"/>
  <c r="AA33" i="37"/>
  <c r="F37" i="37"/>
  <c r="AG35" i="37"/>
  <c r="Z36" i="37"/>
  <c r="AG36" i="37" s="1"/>
  <c r="Z33" i="37"/>
  <c r="AG33" i="37" s="1"/>
  <c r="Z23" i="37"/>
  <c r="Z24" i="37" s="1"/>
  <c r="Z32" i="37"/>
  <c r="Z34" i="37"/>
  <c r="AG34" i="37" s="1"/>
  <c r="Z26" i="37"/>
  <c r="AG26" i="37" s="1"/>
  <c r="Z29" i="37"/>
  <c r="AG29" i="37" s="1"/>
  <c r="Z27" i="37"/>
  <c r="AG27" i="37" s="1"/>
  <c r="Z28" i="37"/>
  <c r="K160" i="36"/>
  <c r="K15" i="77"/>
  <c r="K101" i="36"/>
  <c r="AC27" i="37"/>
  <c r="AJ35" i="37"/>
  <c r="AC26" i="37"/>
  <c r="AJ26" i="37" s="1"/>
  <c r="AC29" i="37"/>
  <c r="AJ29" i="37" s="1"/>
  <c r="AC33" i="37"/>
  <c r="AJ33" i="37" s="1"/>
  <c r="AC23" i="37"/>
  <c r="AC24" i="37" s="1"/>
  <c r="AC28" i="37"/>
  <c r="AC34" i="37"/>
  <c r="AJ34" i="37" s="1"/>
  <c r="AC36" i="37"/>
  <c r="AJ36" i="37" s="1"/>
  <c r="AC32" i="37"/>
  <c r="AJ32" i="37" s="1"/>
  <c r="AB18" i="37"/>
  <c r="AI18" i="37" s="1"/>
  <c r="AA18" i="37"/>
  <c r="AH18" i="37" s="1"/>
  <c r="H65" i="69"/>
  <c r="H67" i="69" s="1"/>
  <c r="AF21" i="37" l="1"/>
  <c r="B70" i="36"/>
  <c r="B125" i="36"/>
  <c r="B25" i="36"/>
  <c r="AL18" i="37"/>
  <c r="V48" i="37"/>
  <c r="U48" i="37"/>
  <c r="T48" i="37"/>
  <c r="C21" i="26"/>
  <c r="D20" i="77"/>
  <c r="D23" i="77" s="1"/>
  <c r="E22" i="77"/>
  <c r="G21" i="37"/>
  <c r="AI20" i="37"/>
  <c r="F20" i="26" s="1"/>
  <c r="G22" i="77" s="1"/>
  <c r="AI27" i="37"/>
  <c r="F27" i="26" s="1"/>
  <c r="G29" i="77" s="1"/>
  <c r="O48" i="37"/>
  <c r="P48" i="37"/>
  <c r="N48" i="37"/>
  <c r="L48" i="37"/>
  <c r="H16" i="37"/>
  <c r="H48" i="37" s="1"/>
  <c r="AI26" i="37"/>
  <c r="F26" i="26" s="1"/>
  <c r="AI32" i="37"/>
  <c r="F32" i="26" s="1"/>
  <c r="G34" i="77" s="1"/>
  <c r="G37" i="37"/>
  <c r="AI33" i="37"/>
  <c r="F33" i="26" s="1"/>
  <c r="G35" i="77" s="1"/>
  <c r="I16" i="37"/>
  <c r="AI15" i="37"/>
  <c r="AI16" i="37" s="1"/>
  <c r="F15" i="26" s="1"/>
  <c r="G17" i="77" s="1"/>
  <c r="G18" i="77" s="1"/>
  <c r="E16" i="37"/>
  <c r="E48" i="37" s="1"/>
  <c r="AH15" i="37"/>
  <c r="AH16" i="37" s="1"/>
  <c r="E15" i="26" s="1"/>
  <c r="E16" i="26" s="1"/>
  <c r="J40" i="83"/>
  <c r="J44" i="83" s="1"/>
  <c r="I29" i="44" s="1"/>
  <c r="K64" i="83"/>
  <c r="K74" i="83" s="1"/>
  <c r="K25" i="83"/>
  <c r="K35" i="83" s="1"/>
  <c r="J30" i="83"/>
  <c r="K65" i="83"/>
  <c r="K75" i="83" s="1"/>
  <c r="K26" i="83"/>
  <c r="K36" i="83" s="1"/>
  <c r="J79" i="83"/>
  <c r="I50" i="44" s="1"/>
  <c r="J69" i="83"/>
  <c r="K66" i="83"/>
  <c r="K76" i="83" s="1"/>
  <c r="K27" i="83"/>
  <c r="K37" i="83" s="1"/>
  <c r="K63" i="83"/>
  <c r="K21" i="83"/>
  <c r="K24" i="83"/>
  <c r="J7" i="26"/>
  <c r="D48" i="37"/>
  <c r="M15" i="77"/>
  <c r="AF15" i="37"/>
  <c r="AF16" i="37" s="1"/>
  <c r="C23" i="26"/>
  <c r="AF24" i="37"/>
  <c r="D16" i="26"/>
  <c r="I30" i="44"/>
  <c r="G51" i="44"/>
  <c r="H51" i="44"/>
  <c r="I51" i="44"/>
  <c r="H50" i="44"/>
  <c r="F50" i="44"/>
  <c r="F57" i="44" s="1"/>
  <c r="E29" i="78" s="1"/>
  <c r="G50" i="44"/>
  <c r="J53" i="44"/>
  <c r="I53" i="44"/>
  <c r="I52" i="44"/>
  <c r="H52" i="44"/>
  <c r="J52" i="44"/>
  <c r="J32" i="44"/>
  <c r="J31" i="44"/>
  <c r="I31" i="44"/>
  <c r="H30" i="44"/>
  <c r="E41" i="77"/>
  <c r="J39" i="26"/>
  <c r="E17" i="77"/>
  <c r="F48" i="37"/>
  <c r="G33" i="26"/>
  <c r="H35" i="77" s="1"/>
  <c r="E28" i="26"/>
  <c r="F30" i="77" s="1"/>
  <c r="H32" i="26"/>
  <c r="I34" i="77" s="1"/>
  <c r="AK23" i="37"/>
  <c r="AK24" i="37" s="1"/>
  <c r="AI29" i="37"/>
  <c r="F29" i="26" s="1"/>
  <c r="G31" i="77" s="1"/>
  <c r="AH33" i="37"/>
  <c r="E33" i="26" s="1"/>
  <c r="F35" i="77" s="1"/>
  <c r="D33" i="26"/>
  <c r="H27" i="26"/>
  <c r="I29" i="77" s="1"/>
  <c r="AJ30" i="37"/>
  <c r="G30" i="26" s="1"/>
  <c r="H32" i="77" s="1"/>
  <c r="H35" i="26"/>
  <c r="I37" i="77" s="1"/>
  <c r="E29" i="26"/>
  <c r="F31" i="77" s="1"/>
  <c r="G29" i="26"/>
  <c r="H31" i="77" s="1"/>
  <c r="D36" i="26"/>
  <c r="F35" i="26"/>
  <c r="G37" i="77" s="1"/>
  <c r="AJ28" i="37"/>
  <c r="G28" i="26" s="1"/>
  <c r="H30" i="77" s="1"/>
  <c r="AI23" i="37"/>
  <c r="F23" i="26" s="1"/>
  <c r="G25" i="77" s="1"/>
  <c r="G26" i="77" s="1"/>
  <c r="AI34" i="37"/>
  <c r="F34" i="26" s="1"/>
  <c r="G36" i="77" s="1"/>
  <c r="AK29" i="37"/>
  <c r="D34" i="26"/>
  <c r="G32" i="26"/>
  <c r="H34" i="77" s="1"/>
  <c r="D27" i="26"/>
  <c r="D35" i="26"/>
  <c r="H36" i="26"/>
  <c r="I38" i="77" s="1"/>
  <c r="AK28" i="37"/>
  <c r="H28" i="26" s="1"/>
  <c r="I30" i="77" s="1"/>
  <c r="AJ23" i="37"/>
  <c r="AH34" i="37"/>
  <c r="E34" i="26" s="1"/>
  <c r="AG28" i="37"/>
  <c r="D28" i="26" s="1"/>
  <c r="AG23" i="37"/>
  <c r="AH27" i="37"/>
  <c r="E27" i="26" s="1"/>
  <c r="F29" i="77" s="1"/>
  <c r="G34" i="26"/>
  <c r="H36" i="77" s="1"/>
  <c r="AH30" i="37"/>
  <c r="E30" i="26" s="1"/>
  <c r="G36" i="26"/>
  <c r="H38" i="77" s="1"/>
  <c r="G35" i="26"/>
  <c r="H37" i="77" s="1"/>
  <c r="D29" i="26"/>
  <c r="AG30" i="37"/>
  <c r="D30" i="26" s="1"/>
  <c r="E36" i="26"/>
  <c r="F38" i="77" s="1"/>
  <c r="H26" i="26"/>
  <c r="I28" i="77" s="1"/>
  <c r="H34" i="26"/>
  <c r="I36" i="77" s="1"/>
  <c r="F30" i="26"/>
  <c r="G32" i="77" s="1"/>
  <c r="AI36" i="37"/>
  <c r="F36" i="26" s="1"/>
  <c r="AH35" i="37"/>
  <c r="E35" i="26" s="1"/>
  <c r="F37" i="77" s="1"/>
  <c r="AJ27" i="37"/>
  <c r="G27" i="26" s="1"/>
  <c r="H29" i="77" s="1"/>
  <c r="AH32" i="37"/>
  <c r="E32" i="26" s="1"/>
  <c r="F34" i="77" s="1"/>
  <c r="AG32" i="37"/>
  <c r="D32" i="26" s="1"/>
  <c r="N8" i="37"/>
  <c r="N12" i="37" s="1"/>
  <c r="R40" i="44"/>
  <c r="F18" i="26"/>
  <c r="G20" i="77" s="1"/>
  <c r="P8" i="37"/>
  <c r="P12" i="37" s="1"/>
  <c r="T40" i="44"/>
  <c r="E18" i="26"/>
  <c r="F20" i="77" s="1"/>
  <c r="E9" i="77"/>
  <c r="AL36" i="44"/>
  <c r="AL40" i="44" s="1"/>
  <c r="AN36" i="44"/>
  <c r="AN40" i="44" s="1"/>
  <c r="M48" i="37"/>
  <c r="AO36" i="44"/>
  <c r="AO40" i="44" s="1"/>
  <c r="AM36" i="44"/>
  <c r="AM40" i="44" s="1"/>
  <c r="AK36" i="44"/>
  <c r="AK40" i="44" s="1"/>
  <c r="S48" i="37"/>
  <c r="F41" i="77"/>
  <c r="AP140" i="79"/>
  <c r="AC52" i="44"/>
  <c r="AA50" i="44"/>
  <c r="AA57" i="44" s="1"/>
  <c r="F30" i="78" s="1"/>
  <c r="AB51" i="44"/>
  <c r="AD53" i="44"/>
  <c r="AC8" i="37"/>
  <c r="AD8" i="37"/>
  <c r="AB8" i="37"/>
  <c r="AP68" i="79"/>
  <c r="AG35" i="79"/>
  <c r="AG36" i="79" s="1"/>
  <c r="AP80" i="79"/>
  <c r="AP104" i="79"/>
  <c r="J64" i="82"/>
  <c r="J74" i="82" s="1"/>
  <c r="K11" i="82"/>
  <c r="AP128" i="79"/>
  <c r="K54" i="82"/>
  <c r="K16" i="82" s="1"/>
  <c r="K15" i="82" s="1"/>
  <c r="AO19" i="79"/>
  <c r="AP92" i="79"/>
  <c r="K13" i="82"/>
  <c r="J65" i="82"/>
  <c r="J75" i="82" s="1"/>
  <c r="L22" i="79"/>
  <c r="M22" i="79" s="1"/>
  <c r="O22" i="79" s="1"/>
  <c r="I23" i="79"/>
  <c r="AP56" i="79"/>
  <c r="AP116" i="79"/>
  <c r="Y20" i="79"/>
  <c r="W35" i="79"/>
  <c r="W36" i="79" s="1"/>
  <c r="AP176" i="79"/>
  <c r="AP152" i="79"/>
  <c r="AP200" i="79"/>
  <c r="AP188" i="79"/>
  <c r="AP164" i="79"/>
  <c r="AP44" i="79"/>
  <c r="V35" i="79"/>
  <c r="AN19" i="79"/>
  <c r="I69" i="82"/>
  <c r="J21" i="82"/>
  <c r="J62" i="82"/>
  <c r="J72" i="82" s="1"/>
  <c r="K7" i="82"/>
  <c r="J73" i="82"/>
  <c r="K63" i="82"/>
  <c r="K73" i="82" s="1"/>
  <c r="I72" i="82"/>
  <c r="I79" i="82" s="1"/>
  <c r="T57" i="44"/>
  <c r="S57" i="44"/>
  <c r="AB37" i="37"/>
  <c r="I17" i="77"/>
  <c r="I18" i="77" s="1"/>
  <c r="AD37" i="37"/>
  <c r="G26" i="26"/>
  <c r="D26" i="26"/>
  <c r="AC37" i="37"/>
  <c r="AA37" i="37"/>
  <c r="Z37" i="37"/>
  <c r="AA24" i="37"/>
  <c r="G16" i="26"/>
  <c r="H17" i="77"/>
  <c r="H18" i="77" s="1"/>
  <c r="B126" i="36" l="1"/>
  <c r="B71" i="36"/>
  <c r="B26" i="36"/>
  <c r="G48" i="37"/>
  <c r="J20" i="26"/>
  <c r="K22" i="77"/>
  <c r="F16" i="26"/>
  <c r="F17" i="77"/>
  <c r="F18" i="77" s="1"/>
  <c r="AL16" i="37"/>
  <c r="J30" i="44"/>
  <c r="J51" i="44"/>
  <c r="K30" i="83"/>
  <c r="K34" i="83"/>
  <c r="K40" i="83" s="1"/>
  <c r="K44" i="83" s="1"/>
  <c r="J29" i="44" s="1"/>
  <c r="K69" i="83"/>
  <c r="K73" i="83"/>
  <c r="K79" i="83" s="1"/>
  <c r="J50" i="44" s="1"/>
  <c r="AL15" i="37"/>
  <c r="C24" i="26"/>
  <c r="D25" i="77"/>
  <c r="D26" i="77" s="1"/>
  <c r="J28" i="26"/>
  <c r="C15" i="26"/>
  <c r="AF48" i="37"/>
  <c r="AF51" i="37" s="1"/>
  <c r="K9" i="77"/>
  <c r="E32" i="77"/>
  <c r="E35" i="77"/>
  <c r="K35" i="77" s="1"/>
  <c r="J33" i="26"/>
  <c r="E36" i="77"/>
  <c r="J34" i="26"/>
  <c r="K41" i="77"/>
  <c r="J18" i="26"/>
  <c r="E37" i="77"/>
  <c r="K37" i="77" s="1"/>
  <c r="J35" i="26"/>
  <c r="E38" i="77"/>
  <c r="J36" i="26"/>
  <c r="J32" i="26"/>
  <c r="E29" i="77"/>
  <c r="K29" i="77" s="1"/>
  <c r="J27" i="26"/>
  <c r="E18" i="77"/>
  <c r="AG37" i="37"/>
  <c r="E34" i="77"/>
  <c r="K34" i="77" s="1"/>
  <c r="F32" i="77"/>
  <c r="E30" i="77"/>
  <c r="K30" i="77" s="1"/>
  <c r="F36" i="77"/>
  <c r="G38" i="77"/>
  <c r="G37" i="26"/>
  <c r="E31" i="77"/>
  <c r="AI37" i="37"/>
  <c r="H29" i="26"/>
  <c r="I31" i="77" s="1"/>
  <c r="AJ37" i="37"/>
  <c r="AK30" i="37"/>
  <c r="I37" i="37"/>
  <c r="F37" i="26"/>
  <c r="D37" i="26"/>
  <c r="AD52" i="44"/>
  <c r="AB50" i="44"/>
  <c r="AB57" i="44" s="1"/>
  <c r="G30" i="78" s="1"/>
  <c r="AC51" i="44"/>
  <c r="G57" i="44"/>
  <c r="F29" i="78" s="1"/>
  <c r="K65" i="82"/>
  <c r="K75" i="82" s="1"/>
  <c r="L23" i="79"/>
  <c r="M23" i="79" s="1"/>
  <c r="O23" i="79" s="1"/>
  <c r="I24" i="79"/>
  <c r="K66" i="82"/>
  <c r="K64" i="82"/>
  <c r="K74" i="82" s="1"/>
  <c r="AP32" i="79"/>
  <c r="Y35" i="79"/>
  <c r="Y36" i="79" s="1"/>
  <c r="V36" i="79"/>
  <c r="J79" i="82"/>
  <c r="K62" i="82"/>
  <c r="K72" i="82" s="1"/>
  <c r="K21" i="82"/>
  <c r="J69" i="82"/>
  <c r="H23" i="26"/>
  <c r="I25" i="77" s="1"/>
  <c r="I26" i="77" s="1"/>
  <c r="AI24" i="37"/>
  <c r="F24" i="26"/>
  <c r="E28" i="77"/>
  <c r="H28" i="77"/>
  <c r="H39" i="77" s="1"/>
  <c r="D23" i="26"/>
  <c r="AG24" i="37"/>
  <c r="E26" i="26"/>
  <c r="J26" i="26" s="1"/>
  <c r="AH37" i="37"/>
  <c r="G23" i="26"/>
  <c r="AJ24" i="37"/>
  <c r="E23" i="26"/>
  <c r="AH24" i="37"/>
  <c r="E20" i="77"/>
  <c r="K20" i="77" s="1"/>
  <c r="G28" i="77"/>
  <c r="B72" i="36" l="1"/>
  <c r="B127" i="36"/>
  <c r="B27" i="36"/>
  <c r="M9" i="77"/>
  <c r="H30" i="26"/>
  <c r="I32" i="77" s="1"/>
  <c r="J29" i="26"/>
  <c r="C16" i="26"/>
  <c r="C48" i="26" s="1"/>
  <c r="D17" i="77"/>
  <c r="J15" i="26"/>
  <c r="J16" i="26" s="1"/>
  <c r="L16" i="26" s="1"/>
  <c r="K38" i="77"/>
  <c r="AL24" i="37"/>
  <c r="K36" i="77"/>
  <c r="I48" i="37"/>
  <c r="J23" i="26"/>
  <c r="J24" i="26" s="1"/>
  <c r="L24" i="26" s="1"/>
  <c r="K31" i="77"/>
  <c r="G39" i="77"/>
  <c r="AK37" i="37"/>
  <c r="AL37" i="37" s="1"/>
  <c r="E39" i="77"/>
  <c r="H57" i="44"/>
  <c r="G29" i="78" s="1"/>
  <c r="AD51" i="44"/>
  <c r="AC50" i="44"/>
  <c r="AC57" i="44" s="1"/>
  <c r="H30" i="78" s="1"/>
  <c r="L24" i="79"/>
  <c r="M24" i="79" s="1"/>
  <c r="O24" i="79" s="1"/>
  <c r="I25" i="79"/>
  <c r="K76" i="82"/>
  <c r="K79" i="82" s="1"/>
  <c r="K69" i="82"/>
  <c r="H24" i="26"/>
  <c r="D24" i="26"/>
  <c r="E25" i="77"/>
  <c r="F28" i="77"/>
  <c r="F39" i="77" s="1"/>
  <c r="E37" i="26"/>
  <c r="F25" i="77"/>
  <c r="F26" i="77" s="1"/>
  <c r="E24" i="26"/>
  <c r="H25" i="77"/>
  <c r="H26" i="77" s="1"/>
  <c r="G24" i="26"/>
  <c r="B128" i="36" l="1"/>
  <c r="B73" i="36"/>
  <c r="B28" i="36"/>
  <c r="C51" i="26"/>
  <c r="H37" i="26"/>
  <c r="J30" i="26"/>
  <c r="J37" i="26" s="1"/>
  <c r="L37" i="26" s="1"/>
  <c r="I39" i="77"/>
  <c r="K32" i="77"/>
  <c r="D18" i="77"/>
  <c r="D50" i="77" s="1"/>
  <c r="K17" i="77"/>
  <c r="K18" i="77" s="1"/>
  <c r="M18" i="77" s="1"/>
  <c r="K28" i="77"/>
  <c r="K25" i="77"/>
  <c r="E26" i="77"/>
  <c r="AD50" i="44"/>
  <c r="AD57" i="44" s="1"/>
  <c r="I30" i="78" s="1"/>
  <c r="I57" i="44"/>
  <c r="H29" i="78" s="1"/>
  <c r="I26" i="79"/>
  <c r="L25" i="79"/>
  <c r="M25" i="79" s="1"/>
  <c r="O25" i="79" s="1"/>
  <c r="B74" i="36" l="1"/>
  <c r="B129" i="36"/>
  <c r="B29" i="36"/>
  <c r="D53" i="77"/>
  <c r="K26" i="77"/>
  <c r="M26" i="77" s="1"/>
  <c r="K39" i="77"/>
  <c r="M39" i="77" s="1"/>
  <c r="J57" i="44"/>
  <c r="I29" i="78" s="1"/>
  <c r="J29" i="78" s="1"/>
  <c r="L26" i="79"/>
  <c r="M26" i="79" s="1"/>
  <c r="O26" i="79" s="1"/>
  <c r="I27" i="79"/>
  <c r="B75" i="36" l="1"/>
  <c r="B130" i="36"/>
  <c r="B30" i="36"/>
  <c r="J30" i="78"/>
  <c r="I28" i="79"/>
  <c r="L27" i="79"/>
  <c r="M27" i="79" s="1"/>
  <c r="O27" i="79" s="1"/>
  <c r="B76" i="36" l="1"/>
  <c r="B131" i="36"/>
  <c r="B31" i="36"/>
  <c r="L28" i="79"/>
  <c r="M28" i="79" s="1"/>
  <c r="O28" i="79" s="1"/>
  <c r="I29" i="79"/>
  <c r="B77" i="36" l="1"/>
  <c r="B132" i="36"/>
  <c r="B32" i="36"/>
  <c r="L29" i="79"/>
  <c r="M29" i="79" s="1"/>
  <c r="O29" i="79" s="1"/>
  <c r="I30" i="79"/>
  <c r="B78" i="36" l="1"/>
  <c r="B133" i="36"/>
  <c r="B33" i="36"/>
  <c r="I31" i="79"/>
  <c r="L30" i="79"/>
  <c r="M30" i="79" s="1"/>
  <c r="O30" i="79" s="1"/>
  <c r="B134" i="36" l="1"/>
  <c r="B79" i="36"/>
  <c r="B34" i="36"/>
  <c r="I32" i="79"/>
  <c r="L31" i="79"/>
  <c r="M31" i="79" s="1"/>
  <c r="O31" i="79" s="1"/>
  <c r="B80" i="36" l="1"/>
  <c r="B135" i="36"/>
  <c r="B35" i="36"/>
  <c r="L32" i="79"/>
  <c r="I33" i="79"/>
  <c r="B136" i="36" l="1"/>
  <c r="B81" i="36"/>
  <c r="B36" i="36"/>
  <c r="Z20" i="79"/>
  <c r="M32" i="79"/>
  <c r="L33" i="79"/>
  <c r="M33" i="79" s="1"/>
  <c r="O33" i="79" s="1"/>
  <c r="I34" i="79"/>
  <c r="B82" i="36" l="1"/>
  <c r="B137" i="36"/>
  <c r="B37" i="36"/>
  <c r="O32" i="79"/>
  <c r="AE20" i="79" s="1"/>
  <c r="AC20" i="79"/>
  <c r="AA20" i="79"/>
  <c r="AB20" i="79"/>
  <c r="G5" i="82" s="1"/>
  <c r="L34" i="79"/>
  <c r="M34" i="79" s="1"/>
  <c r="O34" i="79" s="1"/>
  <c r="I35" i="79"/>
  <c r="B83" i="36" l="1"/>
  <c r="B138" i="36"/>
  <c r="B38" i="36"/>
  <c r="AD20" i="79"/>
  <c r="I36" i="79"/>
  <c r="L35" i="79"/>
  <c r="M35" i="79" s="1"/>
  <c r="O35" i="79" s="1"/>
  <c r="H24" i="82"/>
  <c r="H34" i="82" s="1"/>
  <c r="I25" i="82"/>
  <c r="I35" i="82" s="1"/>
  <c r="G23" i="82"/>
  <c r="J26" i="82"/>
  <c r="J36" i="82" s="1"/>
  <c r="K27" i="82"/>
  <c r="K37" i="82" s="1"/>
  <c r="B84" i="36" l="1"/>
  <c r="B139" i="36"/>
  <c r="B39" i="36"/>
  <c r="G33" i="82"/>
  <c r="G40" i="82" s="1"/>
  <c r="G44" i="82" s="1"/>
  <c r="G30" i="82"/>
  <c r="I37" i="79"/>
  <c r="L36" i="79"/>
  <c r="M36" i="79" s="1"/>
  <c r="O36" i="79" s="1"/>
  <c r="B85" i="36" l="1"/>
  <c r="B140" i="36"/>
  <c r="B40" i="36"/>
  <c r="Z29" i="44"/>
  <c r="Z36" i="44" s="1"/>
  <c r="AD33" i="44"/>
  <c r="AC32" i="44"/>
  <c r="AB31" i="44"/>
  <c r="AA30" i="44"/>
  <c r="I38" i="79"/>
  <c r="L37" i="79"/>
  <c r="M37" i="79" s="1"/>
  <c r="O37" i="79" s="1"/>
  <c r="B86" i="36" l="1"/>
  <c r="B141" i="36"/>
  <c r="B41" i="36"/>
  <c r="Z40" i="44"/>
  <c r="S8" i="37"/>
  <c r="S12" i="37" s="1"/>
  <c r="L38" i="79"/>
  <c r="M38" i="79" s="1"/>
  <c r="O38" i="79" s="1"/>
  <c r="I39" i="79"/>
  <c r="B87" i="36" l="1"/>
  <c r="B142" i="36"/>
  <c r="B42" i="36"/>
  <c r="I40" i="79"/>
  <c r="L39" i="79"/>
  <c r="M39" i="79" s="1"/>
  <c r="O39" i="79" s="1"/>
  <c r="B88" i="36" l="1"/>
  <c r="B143" i="36"/>
  <c r="B43" i="36"/>
  <c r="I41" i="79"/>
  <c r="L40" i="79"/>
  <c r="M40" i="79" s="1"/>
  <c r="O40" i="79" s="1"/>
  <c r="B144" i="36" l="1"/>
  <c r="B89" i="36"/>
  <c r="B44" i="36"/>
  <c r="I42" i="79"/>
  <c r="L41" i="79"/>
  <c r="M41" i="79" s="1"/>
  <c r="O41" i="79" s="1"/>
  <c r="B90" i="36" l="1"/>
  <c r="B145" i="36"/>
  <c r="B45" i="36"/>
  <c r="L42" i="79"/>
  <c r="M42" i="79" s="1"/>
  <c r="O42" i="79" s="1"/>
  <c r="I43" i="79"/>
  <c r="B91" i="36" l="1"/>
  <c r="B146" i="36"/>
  <c r="I44" i="79"/>
  <c r="L43" i="79"/>
  <c r="M43" i="79" s="1"/>
  <c r="O43" i="79" s="1"/>
  <c r="L44" i="79" l="1"/>
  <c r="I45" i="79"/>
  <c r="M44" i="79" l="1"/>
  <c r="Z21" i="79"/>
  <c r="L45" i="79"/>
  <c r="M45" i="79" s="1"/>
  <c r="O45" i="79" s="1"/>
  <c r="I46" i="79"/>
  <c r="L46" i="79" l="1"/>
  <c r="M46" i="79" s="1"/>
  <c r="O46" i="79" s="1"/>
  <c r="I47" i="79"/>
  <c r="O44" i="79"/>
  <c r="AE21" i="79" s="1"/>
  <c r="AC21" i="79"/>
  <c r="AB21" i="79"/>
  <c r="H5" i="82" s="1"/>
  <c r="AA21" i="79"/>
  <c r="I24" i="82" l="1"/>
  <c r="I34" i="82" s="1"/>
  <c r="J25" i="82"/>
  <c r="J35" i="82" s="1"/>
  <c r="H23" i="82"/>
  <c r="K26" i="82"/>
  <c r="K36" i="82" s="1"/>
  <c r="I48" i="79"/>
  <c r="L47" i="79"/>
  <c r="M47" i="79" s="1"/>
  <c r="O47" i="79" s="1"/>
  <c r="AD21" i="79"/>
  <c r="H30" i="82" l="1"/>
  <c r="H33" i="82"/>
  <c r="H40" i="82" s="1"/>
  <c r="H44" i="82" s="1"/>
  <c r="L48" i="79"/>
  <c r="M48" i="79" s="1"/>
  <c r="O48" i="79" s="1"/>
  <c r="I49" i="79"/>
  <c r="D57" i="26" l="1"/>
  <c r="AC31" i="44"/>
  <c r="AA29" i="44"/>
  <c r="AB30" i="44"/>
  <c r="AD32" i="44"/>
  <c r="I50" i="79"/>
  <c r="L49" i="79"/>
  <c r="M49" i="79" s="1"/>
  <c r="O49" i="79" s="1"/>
  <c r="L50" i="79" l="1"/>
  <c r="M50" i="79" s="1"/>
  <c r="O50" i="79" s="1"/>
  <c r="I51" i="79"/>
  <c r="AA36" i="44"/>
  <c r="AA40" i="44" l="1"/>
  <c r="T8" i="37"/>
  <c r="T12" i="37" s="1"/>
  <c r="G36" i="44"/>
  <c r="I52" i="79"/>
  <c r="L51" i="79"/>
  <c r="M51" i="79" s="1"/>
  <c r="O51" i="79" s="1"/>
  <c r="F8" i="37" l="1"/>
  <c r="F12" i="37" s="1"/>
  <c r="G40" i="44"/>
  <c r="I53" i="79"/>
  <c r="L52" i="79"/>
  <c r="M52" i="79" s="1"/>
  <c r="O52" i="79" s="1"/>
  <c r="AH8" i="37" l="1"/>
  <c r="I54" i="79"/>
  <c r="L53" i="79"/>
  <c r="M53" i="79" s="1"/>
  <c r="O53" i="79" s="1"/>
  <c r="E8" i="26" l="1"/>
  <c r="L54" i="79"/>
  <c r="M54" i="79" s="1"/>
  <c r="O54" i="79" s="1"/>
  <c r="I55" i="79"/>
  <c r="AA42" i="37" l="1"/>
  <c r="AA41" i="37"/>
  <c r="AA40" i="37"/>
  <c r="AH40" i="37" s="1"/>
  <c r="I56" i="79"/>
  <c r="L55" i="79"/>
  <c r="M55" i="79" s="1"/>
  <c r="O55" i="79" s="1"/>
  <c r="AH41" i="37" l="1"/>
  <c r="E41" i="26" s="1"/>
  <c r="AH42" i="37"/>
  <c r="E42" i="26" s="1"/>
  <c r="AA46" i="37"/>
  <c r="L56" i="79"/>
  <c r="I57" i="79"/>
  <c r="F44" i="77" l="1"/>
  <c r="F43" i="77"/>
  <c r="E40" i="26"/>
  <c r="AH46" i="37"/>
  <c r="L57" i="79"/>
  <c r="M57" i="79" s="1"/>
  <c r="O57" i="79" s="1"/>
  <c r="I58" i="79"/>
  <c r="M56" i="79"/>
  <c r="Z22" i="79"/>
  <c r="F42" i="77" l="1"/>
  <c r="E46" i="26"/>
  <c r="O56" i="79"/>
  <c r="AE22" i="79" s="1"/>
  <c r="AA22" i="79"/>
  <c r="AB22" i="79"/>
  <c r="I5" i="82" s="1"/>
  <c r="AC22" i="79"/>
  <c r="L58" i="79"/>
  <c r="M58" i="79" s="1"/>
  <c r="O58" i="79" s="1"/>
  <c r="I59" i="79"/>
  <c r="F48" i="77" l="1"/>
  <c r="J24" i="82"/>
  <c r="J34" i="82" s="1"/>
  <c r="I23" i="82"/>
  <c r="K25" i="82"/>
  <c r="K35" i="82" s="1"/>
  <c r="I60" i="79"/>
  <c r="L59" i="79"/>
  <c r="M59" i="79" s="1"/>
  <c r="O59" i="79" s="1"/>
  <c r="AD22" i="79"/>
  <c r="I33" i="82" l="1"/>
  <c r="I40" i="82" s="1"/>
  <c r="I44" i="82" s="1"/>
  <c r="I30" i="82"/>
  <c r="I61" i="79"/>
  <c r="L60" i="79"/>
  <c r="M60" i="79" s="1"/>
  <c r="O60" i="79" s="1"/>
  <c r="AD31" i="44" l="1"/>
  <c r="AB29" i="44"/>
  <c r="AC30" i="44"/>
  <c r="I62" i="79"/>
  <c r="L61" i="79"/>
  <c r="M61" i="79" s="1"/>
  <c r="O61" i="79" s="1"/>
  <c r="E57" i="26"/>
  <c r="I63" i="79" l="1"/>
  <c r="L62" i="79"/>
  <c r="M62" i="79" s="1"/>
  <c r="O62" i="79" s="1"/>
  <c r="AB36" i="44"/>
  <c r="U8" i="37" s="1"/>
  <c r="AB40" i="44" l="1"/>
  <c r="U12" i="37"/>
  <c r="H36" i="44"/>
  <c r="I64" i="79"/>
  <c r="L63" i="79"/>
  <c r="M63" i="79" s="1"/>
  <c r="O63" i="79" s="1"/>
  <c r="H40" i="44" l="1"/>
  <c r="G8" i="37"/>
  <c r="G12" i="37" s="1"/>
  <c r="L64" i="79"/>
  <c r="M64" i="79" s="1"/>
  <c r="O64" i="79" s="1"/>
  <c r="I65" i="79"/>
  <c r="AI8" i="37" l="1"/>
  <c r="L65" i="79"/>
  <c r="M65" i="79" s="1"/>
  <c r="O65" i="79" s="1"/>
  <c r="I66" i="79"/>
  <c r="F8" i="26" l="1"/>
  <c r="L66" i="79"/>
  <c r="M66" i="79" s="1"/>
  <c r="O66" i="79" s="1"/>
  <c r="I67" i="79"/>
  <c r="AB41" i="37" l="1"/>
  <c r="AB42" i="37"/>
  <c r="AB40" i="37"/>
  <c r="AI40" i="37" s="1"/>
  <c r="G10" i="77"/>
  <c r="I68" i="79"/>
  <c r="L67" i="79"/>
  <c r="M67" i="79" s="1"/>
  <c r="O67" i="79" s="1"/>
  <c r="AI41" i="37" l="1"/>
  <c r="F41" i="26" s="1"/>
  <c r="AI42" i="37"/>
  <c r="F42" i="26" s="1"/>
  <c r="AB46" i="37"/>
  <c r="L68" i="79"/>
  <c r="I69" i="79"/>
  <c r="G44" i="77" l="1"/>
  <c r="G43" i="77"/>
  <c r="AI46" i="37"/>
  <c r="F40" i="26"/>
  <c r="I70" i="79"/>
  <c r="L69" i="79"/>
  <c r="M69" i="79" s="1"/>
  <c r="O69" i="79" s="1"/>
  <c r="Z23" i="79"/>
  <c r="M68" i="79"/>
  <c r="G42" i="77" l="1"/>
  <c r="F46" i="26"/>
  <c r="O68" i="79"/>
  <c r="AE23" i="79" s="1"/>
  <c r="AA23" i="79"/>
  <c r="AB23" i="79"/>
  <c r="J5" i="82" s="1"/>
  <c r="AC23" i="79"/>
  <c r="I71" i="79"/>
  <c r="L70" i="79"/>
  <c r="M70" i="79" s="1"/>
  <c r="O70" i="79" s="1"/>
  <c r="G48" i="77" l="1"/>
  <c r="AD23" i="79"/>
  <c r="I72" i="79"/>
  <c r="L71" i="79"/>
  <c r="M71" i="79" s="1"/>
  <c r="O71" i="79" s="1"/>
  <c r="J23" i="82"/>
  <c r="K24" i="82"/>
  <c r="K34" i="82" s="1"/>
  <c r="L72" i="79" l="1"/>
  <c r="M72" i="79" s="1"/>
  <c r="O72" i="79" s="1"/>
  <c r="I73" i="79"/>
  <c r="J33" i="82"/>
  <c r="J40" i="82" s="1"/>
  <c r="J44" i="82" s="1"/>
  <c r="J30" i="82"/>
  <c r="AC29" i="44" l="1"/>
  <c r="AD30" i="44"/>
  <c r="I74" i="79"/>
  <c r="L73" i="79"/>
  <c r="M73" i="79" s="1"/>
  <c r="O73" i="79" s="1"/>
  <c r="F57" i="26"/>
  <c r="L74" i="79" l="1"/>
  <c r="M74" i="79" s="1"/>
  <c r="O74" i="79" s="1"/>
  <c r="I75" i="79"/>
  <c r="AC36" i="44"/>
  <c r="AC40" i="44" l="1"/>
  <c r="V8" i="37"/>
  <c r="V12" i="37" s="1"/>
  <c r="I36" i="44"/>
  <c r="I76" i="79"/>
  <c r="L75" i="79"/>
  <c r="M75" i="79" s="1"/>
  <c r="O75" i="79" s="1"/>
  <c r="I40" i="44" l="1"/>
  <c r="H8" i="37"/>
  <c r="H12" i="37" s="1"/>
  <c r="I77" i="79"/>
  <c r="L76" i="79"/>
  <c r="M76" i="79" s="1"/>
  <c r="O76" i="79" s="1"/>
  <c r="AJ8" i="37" l="1"/>
  <c r="L77" i="79"/>
  <c r="M77" i="79" s="1"/>
  <c r="O77" i="79" s="1"/>
  <c r="I78" i="79"/>
  <c r="G8" i="26" l="1"/>
  <c r="I79" i="79"/>
  <c r="L78" i="79"/>
  <c r="M78" i="79" s="1"/>
  <c r="O78" i="79" s="1"/>
  <c r="AC42" i="37" l="1"/>
  <c r="AC41" i="37"/>
  <c r="AC40" i="37"/>
  <c r="AJ40" i="37" s="1"/>
  <c r="H10" i="77"/>
  <c r="I80" i="79"/>
  <c r="L79" i="79"/>
  <c r="M79" i="79" s="1"/>
  <c r="O79" i="79" s="1"/>
  <c r="AJ42" i="37" l="1"/>
  <c r="G42" i="26" s="1"/>
  <c r="AJ41" i="37"/>
  <c r="G41" i="26" s="1"/>
  <c r="AC46" i="37"/>
  <c r="L80" i="79"/>
  <c r="I81" i="79"/>
  <c r="H43" i="77" l="1"/>
  <c r="H44" i="77"/>
  <c r="AJ46" i="37"/>
  <c r="G40" i="26"/>
  <c r="I82" i="79"/>
  <c r="L81" i="79"/>
  <c r="M81" i="79" s="1"/>
  <c r="O81" i="79" s="1"/>
  <c r="Z24" i="79"/>
  <c r="M80" i="79"/>
  <c r="H42" i="77" l="1"/>
  <c r="G46" i="26"/>
  <c r="O80" i="79"/>
  <c r="AA24" i="79"/>
  <c r="AB24" i="79"/>
  <c r="K5" i="82" s="1"/>
  <c r="L5" i="82" s="1"/>
  <c r="AC24" i="79"/>
  <c r="I83" i="79"/>
  <c r="L82" i="79"/>
  <c r="M82" i="79" s="1"/>
  <c r="O82" i="79" s="1"/>
  <c r="H48" i="77" l="1"/>
  <c r="K23" i="82"/>
  <c r="R80" i="79"/>
  <c r="AE24" i="79"/>
  <c r="AD24" i="79"/>
  <c r="I84" i="79"/>
  <c r="L83" i="79"/>
  <c r="M83" i="79" s="1"/>
  <c r="O83" i="79" s="1"/>
  <c r="K33" i="82" l="1"/>
  <c r="K40" i="82" s="1"/>
  <c r="K44" i="82" s="1"/>
  <c r="K30" i="82"/>
  <c r="L84" i="79"/>
  <c r="M84" i="79" s="1"/>
  <c r="O84" i="79" s="1"/>
  <c r="I85" i="79"/>
  <c r="AD29" i="44" l="1"/>
  <c r="I86" i="79"/>
  <c r="L85" i="79"/>
  <c r="M85" i="79" s="1"/>
  <c r="O85" i="79" s="1"/>
  <c r="I87" i="79" l="1"/>
  <c r="L86" i="79"/>
  <c r="M86" i="79" s="1"/>
  <c r="O86" i="79" s="1"/>
  <c r="AD36" i="44"/>
  <c r="W8" i="37" l="1"/>
  <c r="W12" i="37" s="1"/>
  <c r="AD40" i="44"/>
  <c r="G57" i="26"/>
  <c r="J36" i="44"/>
  <c r="L87" i="79"/>
  <c r="M87" i="79" s="1"/>
  <c r="O87" i="79" s="1"/>
  <c r="I88" i="79"/>
  <c r="J40" i="44" l="1"/>
  <c r="I8" i="37"/>
  <c r="I12" i="37" s="1"/>
  <c r="L88" i="79"/>
  <c r="M88" i="79" s="1"/>
  <c r="O88" i="79" s="1"/>
  <c r="I89" i="79"/>
  <c r="AK8" i="37" l="1"/>
  <c r="L89" i="79"/>
  <c r="M89" i="79" s="1"/>
  <c r="O89" i="79" s="1"/>
  <c r="I90" i="79"/>
  <c r="H8" i="26" l="1"/>
  <c r="I91" i="79"/>
  <c r="L90" i="79"/>
  <c r="M90" i="79" s="1"/>
  <c r="O90" i="79" s="1"/>
  <c r="AD41" i="37" l="1"/>
  <c r="AK41" i="37" s="1"/>
  <c r="H41" i="26" s="1"/>
  <c r="AD42" i="37"/>
  <c r="AK42" i="37" s="1"/>
  <c r="H42" i="26" s="1"/>
  <c r="I10" i="77"/>
  <c r="AD40" i="37"/>
  <c r="AK40" i="37" s="1"/>
  <c r="H40" i="26" s="1"/>
  <c r="I92" i="79"/>
  <c r="L91" i="79"/>
  <c r="M91" i="79" s="1"/>
  <c r="O91" i="79" s="1"/>
  <c r="I42" i="77" l="1"/>
  <c r="AD46" i="37"/>
  <c r="I44" i="77"/>
  <c r="I43" i="77"/>
  <c r="H46" i="26"/>
  <c r="AK46" i="37"/>
  <c r="I93" i="79"/>
  <c r="L92" i="79"/>
  <c r="I48" i="77" l="1"/>
  <c r="Z25" i="79"/>
  <c r="M92" i="79"/>
  <c r="L93" i="79"/>
  <c r="M93" i="79" s="1"/>
  <c r="O93" i="79" s="1"/>
  <c r="I94" i="79"/>
  <c r="L94" i="79" l="1"/>
  <c r="M94" i="79" s="1"/>
  <c r="O94" i="79" s="1"/>
  <c r="I95" i="79"/>
  <c r="AC25" i="79"/>
  <c r="AB25" i="79"/>
  <c r="O92" i="79"/>
  <c r="AE25" i="79" s="1"/>
  <c r="AA25" i="79"/>
  <c r="AD25" i="79" l="1"/>
  <c r="I96" i="79"/>
  <c r="L95" i="79"/>
  <c r="M95" i="79" s="1"/>
  <c r="O95" i="79" s="1"/>
  <c r="I97" i="79" l="1"/>
  <c r="L96" i="79"/>
  <c r="M96" i="79" s="1"/>
  <c r="O96" i="79" s="1"/>
  <c r="L97" i="79" l="1"/>
  <c r="M97" i="79" s="1"/>
  <c r="O97" i="79" s="1"/>
  <c r="I98" i="79"/>
  <c r="I99" i="79" l="1"/>
  <c r="L98" i="79"/>
  <c r="M98" i="79" s="1"/>
  <c r="O98" i="79" s="1"/>
  <c r="H57" i="26" l="1"/>
  <c r="I100" i="79"/>
  <c r="L99" i="79"/>
  <c r="M99" i="79" s="1"/>
  <c r="O99" i="79" s="1"/>
  <c r="L100" i="79" l="1"/>
  <c r="M100" i="79" s="1"/>
  <c r="O100" i="79" s="1"/>
  <c r="I101" i="79"/>
  <c r="L101" i="79" l="1"/>
  <c r="M101" i="79" s="1"/>
  <c r="O101" i="79" s="1"/>
  <c r="I102" i="79"/>
  <c r="L102" i="79" l="1"/>
  <c r="M102" i="79" s="1"/>
  <c r="O102" i="79" s="1"/>
  <c r="I103" i="79"/>
  <c r="L103" i="79" l="1"/>
  <c r="M103" i="79" s="1"/>
  <c r="O103" i="79" s="1"/>
  <c r="I104" i="79"/>
  <c r="I105" i="79" l="1"/>
  <c r="L104" i="79"/>
  <c r="Z26" i="79" l="1"/>
  <c r="M104" i="79"/>
  <c r="L105" i="79"/>
  <c r="M105" i="79" s="1"/>
  <c r="O105" i="79" s="1"/>
  <c r="I106" i="79"/>
  <c r="I107" i="79" l="1"/>
  <c r="L106" i="79"/>
  <c r="M106" i="79" s="1"/>
  <c r="O106" i="79" s="1"/>
  <c r="O104" i="79"/>
  <c r="AE26" i="79" s="1"/>
  <c r="AC26" i="79"/>
  <c r="AB26" i="79"/>
  <c r="AA26" i="79"/>
  <c r="AD26" i="79" l="1"/>
  <c r="I108" i="79"/>
  <c r="L107" i="79"/>
  <c r="M107" i="79" s="1"/>
  <c r="O107" i="79" s="1"/>
  <c r="L108" i="79" l="1"/>
  <c r="M108" i="79" s="1"/>
  <c r="O108" i="79" s="1"/>
  <c r="I109" i="79"/>
  <c r="I110" i="79" l="1"/>
  <c r="L109" i="79"/>
  <c r="M109" i="79" s="1"/>
  <c r="O109" i="79" s="1"/>
  <c r="I111" i="79" l="1"/>
  <c r="L110" i="79"/>
  <c r="M110" i="79" s="1"/>
  <c r="O110" i="79" s="1"/>
  <c r="I112" i="79" l="1"/>
  <c r="L111" i="79"/>
  <c r="M111" i="79" s="1"/>
  <c r="O111" i="79" s="1"/>
  <c r="L112" i="79" l="1"/>
  <c r="M112" i="79" s="1"/>
  <c r="O112" i="79" s="1"/>
  <c r="I113" i="79"/>
  <c r="I114" i="79" l="1"/>
  <c r="L113" i="79"/>
  <c r="M113" i="79" s="1"/>
  <c r="O113" i="79" s="1"/>
  <c r="I115" i="79" l="1"/>
  <c r="L114" i="79"/>
  <c r="M114" i="79" s="1"/>
  <c r="O114" i="79" s="1"/>
  <c r="I116" i="79" l="1"/>
  <c r="L115" i="79"/>
  <c r="M115" i="79" s="1"/>
  <c r="O115" i="79" s="1"/>
  <c r="L116" i="79" l="1"/>
  <c r="I117" i="79"/>
  <c r="Z27" i="79" l="1"/>
  <c r="M116" i="79"/>
  <c r="L117" i="79"/>
  <c r="M117" i="79" s="1"/>
  <c r="O117" i="79" s="1"/>
  <c r="I118" i="79"/>
  <c r="L118" i="79" l="1"/>
  <c r="M118" i="79" s="1"/>
  <c r="O118" i="79" s="1"/>
  <c r="I119" i="79"/>
  <c r="O116" i="79"/>
  <c r="AE27" i="79" s="1"/>
  <c r="AC27" i="79"/>
  <c r="AA27" i="79"/>
  <c r="AB27" i="79"/>
  <c r="AD27" i="79" l="1"/>
  <c r="L119" i="79"/>
  <c r="M119" i="79" s="1"/>
  <c r="O119" i="79" s="1"/>
  <c r="I120" i="79"/>
  <c r="L120" i="79" l="1"/>
  <c r="M120" i="79" s="1"/>
  <c r="O120" i="79" s="1"/>
  <c r="I121" i="79"/>
  <c r="L121" i="79" l="1"/>
  <c r="M121" i="79" s="1"/>
  <c r="O121" i="79" s="1"/>
  <c r="I122" i="79"/>
  <c r="I123" i="79" l="1"/>
  <c r="L122" i="79"/>
  <c r="M122" i="79" s="1"/>
  <c r="O122" i="79" s="1"/>
  <c r="I124" i="79" l="1"/>
  <c r="L123" i="79"/>
  <c r="M123" i="79" s="1"/>
  <c r="O123" i="79" s="1"/>
  <c r="I125" i="79" l="1"/>
  <c r="L124" i="79"/>
  <c r="M124" i="79" s="1"/>
  <c r="O124" i="79" s="1"/>
  <c r="I126" i="79" l="1"/>
  <c r="L125" i="79"/>
  <c r="M125" i="79" s="1"/>
  <c r="O125" i="79" s="1"/>
  <c r="I127" i="79" l="1"/>
  <c r="L126" i="79"/>
  <c r="M126" i="79" s="1"/>
  <c r="O126" i="79" s="1"/>
  <c r="I128" i="79" l="1"/>
  <c r="L127" i="79"/>
  <c r="M127" i="79" s="1"/>
  <c r="O127" i="79" s="1"/>
  <c r="I129" i="79" l="1"/>
  <c r="L128" i="79"/>
  <c r="Z28" i="79" l="1"/>
  <c r="M128" i="79"/>
  <c r="L129" i="79"/>
  <c r="M129" i="79" s="1"/>
  <c r="O129" i="79" s="1"/>
  <c r="I130" i="79"/>
  <c r="I131" i="79" l="1"/>
  <c r="L130" i="79"/>
  <c r="M130" i="79" s="1"/>
  <c r="O130" i="79" s="1"/>
  <c r="O128" i="79"/>
  <c r="AE28" i="79" s="1"/>
  <c r="AC28" i="79"/>
  <c r="AA28" i="79"/>
  <c r="AB28" i="79"/>
  <c r="AD28" i="79" l="1"/>
  <c r="I132" i="79"/>
  <c r="L131" i="79"/>
  <c r="M131" i="79" s="1"/>
  <c r="O131" i="79" s="1"/>
  <c r="L132" i="79" l="1"/>
  <c r="M132" i="79" s="1"/>
  <c r="O132" i="79" s="1"/>
  <c r="I133" i="79"/>
  <c r="L133" i="79" l="1"/>
  <c r="M133" i="79" s="1"/>
  <c r="O133" i="79" s="1"/>
  <c r="I134" i="79"/>
  <c r="I135" i="79" l="1"/>
  <c r="L134" i="79"/>
  <c r="M134" i="79" s="1"/>
  <c r="O134" i="79" s="1"/>
  <c r="I136" i="79" l="1"/>
  <c r="L135" i="79"/>
  <c r="M135" i="79" s="1"/>
  <c r="O135" i="79" s="1"/>
  <c r="I137" i="79" l="1"/>
  <c r="L136" i="79"/>
  <c r="M136" i="79" s="1"/>
  <c r="O136" i="79" s="1"/>
  <c r="I138" i="79" l="1"/>
  <c r="L137" i="79"/>
  <c r="M137" i="79" s="1"/>
  <c r="O137" i="79" s="1"/>
  <c r="I139" i="79" l="1"/>
  <c r="L138" i="79"/>
  <c r="M138" i="79" s="1"/>
  <c r="O138" i="79" s="1"/>
  <c r="I140" i="79" l="1"/>
  <c r="L139" i="79"/>
  <c r="M139" i="79" s="1"/>
  <c r="O139" i="79" s="1"/>
  <c r="I141" i="79" l="1"/>
  <c r="L140" i="79"/>
  <c r="M140" i="79" l="1"/>
  <c r="Z29" i="79"/>
  <c r="L141" i="79"/>
  <c r="M141" i="79" s="1"/>
  <c r="O141" i="79" s="1"/>
  <c r="I142" i="79"/>
  <c r="I143" i="79" l="1"/>
  <c r="L142" i="79"/>
  <c r="M142" i="79" s="1"/>
  <c r="O142" i="79" s="1"/>
  <c r="AC29" i="79"/>
  <c r="O140" i="79"/>
  <c r="AA29" i="79"/>
  <c r="AB29" i="79"/>
  <c r="L143" i="79" l="1"/>
  <c r="M143" i="79" s="1"/>
  <c r="O143" i="79" s="1"/>
  <c r="I144" i="79"/>
  <c r="R140" i="79"/>
  <c r="AE29" i="79"/>
  <c r="AD29" i="79"/>
  <c r="L144" i="79" l="1"/>
  <c r="M144" i="79" s="1"/>
  <c r="O144" i="79" s="1"/>
  <c r="I145" i="79"/>
  <c r="I146" i="79" l="1"/>
  <c r="L145" i="79"/>
  <c r="M145" i="79" s="1"/>
  <c r="O145" i="79" s="1"/>
  <c r="L146" i="79" l="1"/>
  <c r="M146" i="79" s="1"/>
  <c r="O146" i="79" s="1"/>
  <c r="I147" i="79"/>
  <c r="I148" i="79" l="1"/>
  <c r="L147" i="79"/>
  <c r="M147" i="79" s="1"/>
  <c r="O147" i="79" s="1"/>
  <c r="L148" i="79" l="1"/>
  <c r="M148" i="79" s="1"/>
  <c r="O148" i="79" s="1"/>
  <c r="I149" i="79"/>
  <c r="L149" i="79" l="1"/>
  <c r="M149" i="79" s="1"/>
  <c r="O149" i="79" s="1"/>
  <c r="I150" i="79"/>
  <c r="L150" i="79" l="1"/>
  <c r="M150" i="79" s="1"/>
  <c r="O150" i="79" s="1"/>
  <c r="I151" i="79"/>
  <c r="L151" i="79" l="1"/>
  <c r="M151" i="79" s="1"/>
  <c r="O151" i="79" s="1"/>
  <c r="I152" i="79"/>
  <c r="L152" i="79" l="1"/>
  <c r="I153" i="79"/>
  <c r="I154" i="79" l="1"/>
  <c r="L153" i="79"/>
  <c r="M153" i="79" s="1"/>
  <c r="O153" i="79" s="1"/>
  <c r="M152" i="79"/>
  <c r="Z30" i="79"/>
  <c r="I155" i="79" l="1"/>
  <c r="L154" i="79"/>
  <c r="M154" i="79" s="1"/>
  <c r="O154" i="79" s="1"/>
  <c r="O152" i="79"/>
  <c r="AE30" i="79" s="1"/>
  <c r="AC30" i="79"/>
  <c r="AA30" i="79"/>
  <c r="AB30" i="79"/>
  <c r="AD30" i="79" l="1"/>
  <c r="L155" i="79"/>
  <c r="M155" i="79" s="1"/>
  <c r="O155" i="79" s="1"/>
  <c r="I156" i="79"/>
  <c r="I157" i="79" l="1"/>
  <c r="L156" i="79"/>
  <c r="M156" i="79" s="1"/>
  <c r="O156" i="79" s="1"/>
  <c r="L157" i="79" l="1"/>
  <c r="M157" i="79" s="1"/>
  <c r="O157" i="79" s="1"/>
  <c r="I158" i="79"/>
  <c r="L158" i="79" l="1"/>
  <c r="M158" i="79" s="1"/>
  <c r="O158" i="79" s="1"/>
  <c r="I159" i="79"/>
  <c r="L159" i="79" l="1"/>
  <c r="M159" i="79" s="1"/>
  <c r="O159" i="79" s="1"/>
  <c r="I160" i="79"/>
  <c r="L160" i="79" l="1"/>
  <c r="M160" i="79" s="1"/>
  <c r="O160" i="79" s="1"/>
  <c r="I161" i="79"/>
  <c r="I162" i="79" l="1"/>
  <c r="L161" i="79"/>
  <c r="M161" i="79" s="1"/>
  <c r="O161" i="79" s="1"/>
  <c r="L162" i="79" l="1"/>
  <c r="M162" i="79" s="1"/>
  <c r="O162" i="79" s="1"/>
  <c r="I163" i="79"/>
  <c r="I164" i="79" l="1"/>
  <c r="L163" i="79"/>
  <c r="M163" i="79" s="1"/>
  <c r="O163" i="79" s="1"/>
  <c r="L164" i="79" l="1"/>
  <c r="I165" i="79"/>
  <c r="Z31" i="79" l="1"/>
  <c r="M164" i="79"/>
  <c r="L165" i="79"/>
  <c r="M165" i="79" s="1"/>
  <c r="O165" i="79" s="1"/>
  <c r="I166" i="79"/>
  <c r="L166" i="79" l="1"/>
  <c r="M166" i="79" s="1"/>
  <c r="O166" i="79" s="1"/>
  <c r="I167" i="79"/>
  <c r="O164" i="79"/>
  <c r="AE31" i="79" s="1"/>
  <c r="AC31" i="79"/>
  <c r="AA31" i="79"/>
  <c r="AB31" i="79"/>
  <c r="L167" i="79" l="1"/>
  <c r="M167" i="79" s="1"/>
  <c r="O167" i="79" s="1"/>
  <c r="I168" i="79"/>
  <c r="AD31" i="79"/>
  <c r="L168" i="79" l="1"/>
  <c r="M168" i="79" s="1"/>
  <c r="O168" i="79" s="1"/>
  <c r="I169" i="79"/>
  <c r="I170" i="79" l="1"/>
  <c r="L169" i="79"/>
  <c r="M169" i="79" s="1"/>
  <c r="O169" i="79" s="1"/>
  <c r="I171" i="79" l="1"/>
  <c r="L170" i="79"/>
  <c r="M170" i="79" s="1"/>
  <c r="O170" i="79" s="1"/>
  <c r="I172" i="79" l="1"/>
  <c r="L171" i="79"/>
  <c r="M171" i="79" s="1"/>
  <c r="O171" i="79" s="1"/>
  <c r="I173" i="79" l="1"/>
  <c r="L172" i="79"/>
  <c r="M172" i="79" s="1"/>
  <c r="O172" i="79" s="1"/>
  <c r="L173" i="79" l="1"/>
  <c r="M173" i="79" s="1"/>
  <c r="O173" i="79" s="1"/>
  <c r="I174" i="79"/>
  <c r="L174" i="79" l="1"/>
  <c r="M174" i="79" s="1"/>
  <c r="O174" i="79" s="1"/>
  <c r="I175" i="79"/>
  <c r="I176" i="79" l="1"/>
  <c r="L175" i="79"/>
  <c r="M175" i="79" s="1"/>
  <c r="O175" i="79" s="1"/>
  <c r="I177" i="79" l="1"/>
  <c r="L176" i="79"/>
  <c r="M176" i="79" l="1"/>
  <c r="Z32" i="79"/>
  <c r="L177" i="79"/>
  <c r="M177" i="79" s="1"/>
  <c r="O177" i="79" s="1"/>
  <c r="I178" i="79"/>
  <c r="L178" i="79" l="1"/>
  <c r="M178" i="79" s="1"/>
  <c r="O178" i="79" s="1"/>
  <c r="I179" i="79"/>
  <c r="AC32" i="79"/>
  <c r="AA32" i="79"/>
  <c r="O176" i="79"/>
  <c r="AE32" i="79" s="1"/>
  <c r="AB32" i="79"/>
  <c r="AD32" i="79" l="1"/>
  <c r="I180" i="79"/>
  <c r="L179" i="79"/>
  <c r="M179" i="79" s="1"/>
  <c r="O179" i="79" s="1"/>
  <c r="L180" i="79" l="1"/>
  <c r="M180" i="79" s="1"/>
  <c r="O180" i="79" s="1"/>
  <c r="I181" i="79"/>
  <c r="I182" i="79" l="1"/>
  <c r="L181" i="79"/>
  <c r="M181" i="79" s="1"/>
  <c r="O181" i="79" s="1"/>
  <c r="L182" i="79" l="1"/>
  <c r="M182" i="79" s="1"/>
  <c r="O182" i="79" s="1"/>
  <c r="I183" i="79"/>
  <c r="L183" i="79" l="1"/>
  <c r="M183" i="79" s="1"/>
  <c r="O183" i="79" s="1"/>
  <c r="I184" i="79"/>
  <c r="L184" i="79" l="1"/>
  <c r="M184" i="79" s="1"/>
  <c r="O184" i="79" s="1"/>
  <c r="I185" i="79"/>
  <c r="I186" i="79" l="1"/>
  <c r="L185" i="79"/>
  <c r="M185" i="79" s="1"/>
  <c r="O185" i="79" s="1"/>
  <c r="I187" i="79" l="1"/>
  <c r="L186" i="79"/>
  <c r="M186" i="79" s="1"/>
  <c r="O186" i="79" s="1"/>
  <c r="I188" i="79" l="1"/>
  <c r="L187" i="79"/>
  <c r="M187" i="79" s="1"/>
  <c r="O187" i="79" s="1"/>
  <c r="L188" i="79" l="1"/>
  <c r="I189" i="79"/>
  <c r="L189" i="79" l="1"/>
  <c r="M189" i="79" s="1"/>
  <c r="O189" i="79" s="1"/>
  <c r="I190" i="79"/>
  <c r="Z33" i="79"/>
  <c r="M188" i="79"/>
  <c r="AC33" i="79" l="1"/>
  <c r="AB33" i="79"/>
  <c r="AA33" i="79"/>
  <c r="O188" i="79"/>
  <c r="I191" i="79"/>
  <c r="L190" i="79"/>
  <c r="M190" i="79" s="1"/>
  <c r="O190" i="79" s="1"/>
  <c r="AD33" i="79" l="1"/>
  <c r="I192" i="79"/>
  <c r="L191" i="79"/>
  <c r="M191" i="79" s="1"/>
  <c r="O191" i="79" s="1"/>
  <c r="R188" i="79"/>
  <c r="AE33" i="79"/>
  <c r="L192" i="79" l="1"/>
  <c r="M192" i="79" s="1"/>
  <c r="O192" i="79" s="1"/>
  <c r="I193" i="79"/>
  <c r="L193" i="79" l="1"/>
  <c r="M193" i="79" s="1"/>
  <c r="O193" i="79" s="1"/>
  <c r="I194" i="79"/>
  <c r="L194" i="79" l="1"/>
  <c r="M194" i="79" s="1"/>
  <c r="O194" i="79" s="1"/>
  <c r="I195" i="79"/>
  <c r="L195" i="79" l="1"/>
  <c r="M195" i="79" s="1"/>
  <c r="O195" i="79" s="1"/>
  <c r="I196" i="79"/>
  <c r="I197" i="79" l="1"/>
  <c r="L196" i="79"/>
  <c r="M196" i="79" s="1"/>
  <c r="O196" i="79" s="1"/>
  <c r="L197" i="79" l="1"/>
  <c r="M197" i="79" s="1"/>
  <c r="O197" i="79" s="1"/>
  <c r="I198" i="79"/>
  <c r="I199" i="79" l="1"/>
  <c r="L198" i="79"/>
  <c r="M198" i="79" s="1"/>
  <c r="O198" i="79" s="1"/>
  <c r="L199" i="79" l="1"/>
  <c r="M199" i="79" s="1"/>
  <c r="O199" i="79" s="1"/>
  <c r="I200" i="79"/>
  <c r="I18" i="79" l="1"/>
  <c r="L200" i="79"/>
  <c r="L18" i="79" l="1"/>
  <c r="R6" i="79" s="1"/>
  <c r="R9" i="79" s="1"/>
  <c r="R10" i="79" s="1"/>
  <c r="M200" i="79"/>
  <c r="Z34" i="79"/>
  <c r="R184" i="79"/>
  <c r="R185" i="79" s="1"/>
  <c r="R186" i="79" s="1"/>
  <c r="R76" i="79"/>
  <c r="R77" i="79" s="1"/>
  <c r="R78" i="79" s="1"/>
  <c r="R136" i="79"/>
  <c r="R137" i="79" s="1"/>
  <c r="R138" i="79" s="1"/>
  <c r="AC34" i="79" l="1"/>
  <c r="AC35" i="79" s="1"/>
  <c r="AA34" i="79"/>
  <c r="O200" i="79"/>
  <c r="AB34" i="79"/>
  <c r="AB35" i="79" s="1"/>
  <c r="M19" i="79"/>
  <c r="O19" i="79" l="1"/>
  <c r="AE34" i="79"/>
  <c r="AE35" i="79" s="1"/>
  <c r="AD34" i="79"/>
  <c r="AD35" i="79" s="1"/>
  <c r="AA35" i="79"/>
  <c r="R13" i="79" l="1"/>
  <c r="AE36" i="79"/>
  <c r="AC36" i="79"/>
  <c r="AD36" i="79"/>
  <c r="Q19" i="79"/>
  <c r="F36" i="44" l="1"/>
  <c r="E8" i="37" s="1"/>
  <c r="E12" i="37" s="1"/>
  <c r="AG8" i="37" l="1"/>
  <c r="F40" i="44"/>
  <c r="AL8" i="37" l="1"/>
  <c r="D8" i="26"/>
  <c r="Z42" i="37" s="1"/>
  <c r="Z41" i="37" l="1"/>
  <c r="AG41" i="37" s="1"/>
  <c r="D41" i="26" s="1"/>
  <c r="AG42" i="37"/>
  <c r="D42" i="26" s="1"/>
  <c r="Z40" i="37"/>
  <c r="E10" i="77"/>
  <c r="J8" i="26"/>
  <c r="F10" i="77"/>
  <c r="J42" i="26" l="1"/>
  <c r="E44" i="77"/>
  <c r="K44" i="77" s="1"/>
  <c r="K10" i="77"/>
  <c r="AG40" i="37"/>
  <c r="Z46" i="37"/>
  <c r="E43" i="77"/>
  <c r="K43" i="77" s="1"/>
  <c r="J41" i="26"/>
  <c r="M10" i="77" l="1"/>
  <c r="D40" i="26"/>
  <c r="AG46" i="37"/>
  <c r="J40" i="26" l="1"/>
  <c r="J46" i="26" s="1"/>
  <c r="D46" i="26"/>
  <c r="E42" i="77"/>
  <c r="AL46" i="37"/>
  <c r="K42" i="77" l="1"/>
  <c r="K48" i="77" s="1"/>
  <c r="E48" i="77"/>
  <c r="L46" i="26"/>
  <c r="M48" i="77" l="1"/>
  <c r="D14" i="77" l="1"/>
  <c r="D56" i="77" s="1"/>
  <c r="C12" i="26"/>
  <c r="C54" i="26" s="1"/>
  <c r="D58" i="77" l="1"/>
  <c r="E13" i="77" s="1"/>
  <c r="C53" i="26"/>
  <c r="D11" i="26" l="1"/>
  <c r="D12" i="26" s="1"/>
  <c r="E89" i="78" s="1"/>
  <c r="Z19" i="37" s="1"/>
  <c r="Z21" i="37" s="1"/>
  <c r="Z48" i="37" s="1"/>
  <c r="Z11" i="37"/>
  <c r="E14" i="77"/>
  <c r="AG19" i="37" l="1"/>
  <c r="AG21" i="37" s="1"/>
  <c r="AG48" i="37" s="1"/>
  <c r="AG51" i="37" s="1"/>
  <c r="Z12" i="37"/>
  <c r="AG11" i="37"/>
  <c r="D19" i="26" l="1"/>
  <c r="E21" i="77" s="1"/>
  <c r="E23" i="77" s="1"/>
  <c r="E50" i="77" s="1"/>
  <c r="D21" i="26" l="1"/>
  <c r="D48" i="26" s="1"/>
  <c r="D51" i="26" s="1"/>
  <c r="D54" i="26" s="1"/>
  <c r="D53" i="26" s="1"/>
  <c r="E53" i="77"/>
  <c r="E56" i="77" s="1"/>
  <c r="E58" i="77" l="1"/>
  <c r="F13" i="77" s="1"/>
  <c r="AA11" i="37" s="1"/>
  <c r="F14" i="77" l="1"/>
  <c r="E11" i="26"/>
  <c r="E12" i="26" s="1"/>
  <c r="AA12" i="37"/>
  <c r="AH11" i="37"/>
  <c r="F89" i="78" l="1"/>
  <c r="AA19" i="37" s="1"/>
  <c r="AH19" i="37" s="1"/>
  <c r="AH21" i="37" s="1"/>
  <c r="AA21" i="37" l="1"/>
  <c r="AA48" i="37" s="1"/>
  <c r="E19" i="26"/>
  <c r="E21" i="26" s="1"/>
  <c r="E48" i="26" s="1"/>
  <c r="E51" i="26" s="1"/>
  <c r="E54" i="26" s="1"/>
  <c r="AH48" i="37"/>
  <c r="F21" i="77" l="1"/>
  <c r="F23" i="77" s="1"/>
  <c r="F50" i="77" s="1"/>
  <c r="AH51" i="37"/>
  <c r="E53" i="26"/>
  <c r="F53" i="77" l="1"/>
  <c r="F56" i="77" s="1"/>
  <c r="F58" i="77" l="1"/>
  <c r="F55" i="77"/>
  <c r="G13" i="77" l="1"/>
  <c r="AB11" i="37" s="1"/>
  <c r="AB12" i="37" l="1"/>
  <c r="AI11" i="37"/>
  <c r="G14" i="77"/>
  <c r="F11" i="26"/>
  <c r="F12" i="26" l="1"/>
  <c r="G89" i="78" l="1"/>
  <c r="AB19" i="37" s="1"/>
  <c r="AI19" i="37" l="1"/>
  <c r="AB21" i="37"/>
  <c r="AB48" i="37" s="1"/>
  <c r="AI21" i="37" l="1"/>
  <c r="F19" i="26"/>
  <c r="F21" i="26" l="1"/>
  <c r="F48" i="26" s="1"/>
  <c r="F51" i="26" s="1"/>
  <c r="F54" i="26" s="1"/>
  <c r="G21" i="77"/>
  <c r="AI48" i="37"/>
  <c r="AI51" i="37" s="1"/>
  <c r="G23" i="77" l="1"/>
  <c r="G50" i="77" s="1"/>
  <c r="F53" i="26"/>
  <c r="G53" i="77" l="1"/>
  <c r="G56" i="77" s="1"/>
  <c r="G55" i="77" l="1"/>
  <c r="G58" i="77"/>
  <c r="H13" i="77" l="1"/>
  <c r="AC11" i="37" s="1"/>
  <c r="AC12" i="37" l="1"/>
  <c r="AJ11" i="37"/>
  <c r="H14" i="77"/>
  <c r="G11" i="26"/>
  <c r="G12" i="26" l="1"/>
  <c r="H89" i="78" l="1"/>
  <c r="AC19" i="37" s="1"/>
  <c r="AJ19" i="37" l="1"/>
  <c r="AC21" i="37"/>
  <c r="AC48" i="37" s="1"/>
  <c r="AJ21" i="37" l="1"/>
  <c r="G19" i="26"/>
  <c r="AJ48" i="37" l="1"/>
  <c r="AJ51" i="37" s="1"/>
  <c r="G21" i="26"/>
  <c r="G48" i="26" s="1"/>
  <c r="G51" i="26" s="1"/>
  <c r="G54" i="26" s="1"/>
  <c r="H21" i="77"/>
  <c r="H23" i="77" l="1"/>
  <c r="H50" i="77" s="1"/>
  <c r="G53" i="26"/>
  <c r="H53" i="77" l="1"/>
  <c r="H56" i="77" s="1"/>
  <c r="H55" i="77" l="1"/>
  <c r="H58" i="77"/>
  <c r="I13" i="77" l="1"/>
  <c r="AD11" i="37" s="1"/>
  <c r="AK11" i="37" s="1"/>
  <c r="AD12" i="37" l="1"/>
  <c r="I14" i="77"/>
  <c r="H11" i="26"/>
  <c r="K13" i="77"/>
  <c r="AL11" i="37" l="1"/>
  <c r="K14" i="77"/>
  <c r="H12" i="26"/>
  <c r="J11" i="26"/>
  <c r="M13" i="77" l="1"/>
  <c r="I89" i="78"/>
  <c r="AD19" i="37" s="1"/>
  <c r="AD21" i="37" l="1"/>
  <c r="AD48" i="37" s="1"/>
  <c r="AK19" i="37"/>
  <c r="AK21" i="37" l="1"/>
  <c r="H19" i="26"/>
  <c r="H21" i="26" l="1"/>
  <c r="H48" i="26" s="1"/>
  <c r="H51" i="26" s="1"/>
  <c r="H54" i="26" s="1"/>
  <c r="I21" i="77"/>
  <c r="J19" i="26"/>
  <c r="J21" i="26" s="1"/>
  <c r="AK48" i="37"/>
  <c r="AL21" i="37"/>
  <c r="AK51" i="37" l="1"/>
  <c r="AL48" i="37"/>
  <c r="I23" i="77"/>
  <c r="I50" i="77" s="1"/>
  <c r="K21" i="77"/>
  <c r="K23" i="77" s="1"/>
  <c r="J48" i="26"/>
  <c r="L21" i="26"/>
  <c r="H53" i="26"/>
  <c r="J51" i="26" l="1"/>
  <c r="L51" i="26" s="1"/>
  <c r="L48" i="26"/>
  <c r="I53" i="77"/>
  <c r="I56" i="77" s="1"/>
  <c r="M23" i="77"/>
  <c r="K50" i="77"/>
  <c r="K53" i="77" l="1"/>
  <c r="M53" i="77" s="1"/>
  <c r="M50" i="77"/>
  <c r="I55" i="77"/>
  <c r="I58" i="77"/>
  <c r="K56" i="77" l="1"/>
  <c r="M56" i="77" s="1"/>
  <c r="J58" i="77"/>
  <c r="K58" i="77" l="1"/>
  <c r="M58" i="77" s="1"/>
  <c r="J12" i="26" l="1"/>
  <c r="J54" i="26" s="1"/>
  <c r="L55" i="26" l="1"/>
  <c r="J53" i="26"/>
  <c r="Y12" i="37"/>
  <c r="AK12" i="37" l="1"/>
  <c r="R12" i="37"/>
  <c r="AI12" i="37"/>
  <c r="AJ12" i="37"/>
  <c r="AG12" i="37"/>
  <c r="AF12" i="37"/>
  <c r="AG54" i="37" l="1"/>
  <c r="AG53" i="37" s="1"/>
  <c r="AJ54" i="37"/>
  <c r="AJ53" i="37" s="1"/>
  <c r="AK54" i="37"/>
  <c r="AK53" i="37" s="1"/>
  <c r="AH12" i="37"/>
  <c r="AF54" i="37"/>
  <c r="AI54" i="37"/>
  <c r="AI53" i="37" s="1"/>
  <c r="AH54" i="37" l="1"/>
  <c r="AH53" i="37" s="1"/>
  <c r="L12" i="26"/>
  <c r="AF53" i="37"/>
  <c r="AL12" i="37"/>
  <c r="L54" i="26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thuynh</author>
  </authors>
  <commentList>
    <comment ref="D57" authorId="0" shapeId="0" xr:uid="{00000000-0006-0000-1900-000001000000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FFG retention expected to be better than market average due to product features.  Product designed to provide long-term income support.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thuynh</author>
  </authors>
  <commentList>
    <comment ref="D57" authorId="0" shapeId="0" xr:uid="{AE8E8F73-2758-42CB-8BA4-1D1996D0E08A}">
      <text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FFG retention expected to be better than market average due to product features.  Product designed to provide long-term income support.</t>
        </r>
      </text>
    </comment>
  </commentList>
</comments>
</file>

<file path=xl/sharedStrings.xml><?xml version="1.0" encoding="utf-8"?>
<sst xmlns="http://schemas.openxmlformats.org/spreadsheetml/2006/main" count="1238" uniqueCount="355">
  <si>
    <t>TOTAL</t>
  </si>
  <si>
    <t>Position</t>
  </si>
  <si>
    <t>Personnel Expenses</t>
  </si>
  <si>
    <t>Printing and Stationary</t>
  </si>
  <si>
    <t>Telecommunications</t>
  </si>
  <si>
    <t>Office Equipment</t>
  </si>
  <si>
    <t>Postage and Courier</t>
  </si>
  <si>
    <t>Conferences</t>
  </si>
  <si>
    <t>Insurance</t>
  </si>
  <si>
    <t>Sundry Exps</t>
  </si>
  <si>
    <t>Consultants</t>
  </si>
  <si>
    <t>Other Expenses</t>
  </si>
  <si>
    <t>IT Costs</t>
  </si>
  <si>
    <t>Expenses</t>
  </si>
  <si>
    <t>Total Revenue</t>
  </si>
  <si>
    <t>Staff Salaries</t>
  </si>
  <si>
    <t>Comment</t>
  </si>
  <si>
    <t>Total Package $</t>
  </si>
  <si>
    <t>Country of Employment</t>
  </si>
  <si>
    <t>Grand Total</t>
  </si>
  <si>
    <t>Route</t>
  </si>
  <si>
    <t>Traveller</t>
  </si>
  <si>
    <t>No. of Visit</t>
  </si>
  <si>
    <t>Cost</t>
  </si>
  <si>
    <t>Royalty</t>
  </si>
  <si>
    <t>PROJECTED PROFIT AND LOSS STATEMENT</t>
  </si>
  <si>
    <t>Position Details</t>
  </si>
  <si>
    <t>ProdRegion</t>
  </si>
  <si>
    <t>Base Package</t>
  </si>
  <si>
    <t>Other</t>
  </si>
  <si>
    <t>Sum</t>
  </si>
  <si>
    <t>Total FTE</t>
  </si>
  <si>
    <t>Actual Salary</t>
  </si>
  <si>
    <t>Sales &amp; Marketing Expenses</t>
  </si>
  <si>
    <t>General Overheads</t>
  </si>
  <si>
    <t>DETAILS</t>
  </si>
  <si>
    <t>International Travel - Non Sales</t>
  </si>
  <si>
    <t>Total Operating Expenses</t>
  </si>
  <si>
    <t>F</t>
  </si>
  <si>
    <t>Region =&gt;</t>
  </si>
  <si>
    <t>Licencee</t>
  </si>
  <si>
    <t>Year 1</t>
  </si>
  <si>
    <t>Year</t>
  </si>
  <si>
    <t>Annual Engagement Rate</t>
  </si>
  <si>
    <t>Country</t>
  </si>
  <si>
    <t>Total</t>
  </si>
  <si>
    <t>No. of Loans</t>
  </si>
  <si>
    <t>Total Income</t>
  </si>
  <si>
    <t>Total Loan No.</t>
  </si>
  <si>
    <t>Total Cost</t>
  </si>
  <si>
    <t>Airfare</t>
  </si>
  <si>
    <t>No. of Nights</t>
  </si>
  <si>
    <t>Licencee2</t>
  </si>
  <si>
    <t>US</t>
  </si>
  <si>
    <t>Cost / Nights</t>
  </si>
  <si>
    <t>Revenue &amp; Major Fees</t>
  </si>
  <si>
    <t>Dailay Allowance</t>
  </si>
  <si>
    <t>Pick a region =&gt;</t>
  </si>
  <si>
    <t>USA domestic</t>
  </si>
  <si>
    <t>Australian domestic</t>
  </si>
  <si>
    <t>European domestic</t>
  </si>
  <si>
    <t>Other international</t>
  </si>
  <si>
    <t>Other domestic</t>
  </si>
  <si>
    <t>Number of Licence Sold</t>
  </si>
  <si>
    <t>Travel Cost for Licences Sold</t>
  </si>
  <si>
    <t>Travel - BAU 2007</t>
  </si>
  <si>
    <t>Marketing</t>
  </si>
  <si>
    <t>IT Cost per person p.a.</t>
  </si>
  <si>
    <t>Telcom Cost per person p.a.</t>
  </si>
  <si>
    <t>Region</t>
  </si>
  <si>
    <t>Contingency %</t>
  </si>
  <si>
    <t>Contingency $</t>
  </si>
  <si>
    <t>Cost Contingency %</t>
  </si>
  <si>
    <t/>
  </si>
  <si>
    <t>New Licencees</t>
  </si>
  <si>
    <t>Cumulative Licencees</t>
  </si>
  <si>
    <t>Sales Month</t>
  </si>
  <si>
    <t>Start of Month</t>
  </si>
  <si>
    <t xml:space="preserve"> - retirees</t>
  </si>
  <si>
    <t>Growth</t>
  </si>
  <si>
    <t>If payments received upfront</t>
  </si>
  <si>
    <t>Conversion to USD</t>
  </si>
  <si>
    <t>Total Income Converted for Currency and Loan Size into USD</t>
  </si>
  <si>
    <t># of New Licencees</t>
  </si>
  <si>
    <t>HeadOffice</t>
  </si>
  <si>
    <t>Expense Indexation p.a.</t>
  </si>
  <si>
    <t>FTEs</t>
  </si>
  <si>
    <t>Shareholder's Equity (Beginning)</t>
  </si>
  <si>
    <t>SINGLE LICENCEE</t>
  </si>
  <si>
    <t>Figures in USD</t>
  </si>
  <si>
    <t>Legal Fees</t>
  </si>
  <si>
    <t>Bank Fee &amp; Other Taxes (E.g. FBT)</t>
  </si>
  <si>
    <t>Travel Regional - APAC</t>
  </si>
  <si>
    <t>Travel Regional - NorthAmerica</t>
  </si>
  <si>
    <t>Travel Regional - Europe</t>
  </si>
  <si>
    <t>%  of sales received in first year</t>
  </si>
  <si>
    <t>%  of sales received in following year</t>
  </si>
  <si>
    <t>% of a year's sales received in yr 2 - not used</t>
  </si>
  <si>
    <t>All Licencees</t>
  </si>
  <si>
    <t>Licensee1</t>
  </si>
  <si>
    <t>Licensee2</t>
  </si>
  <si>
    <t>Licensee3</t>
  </si>
  <si>
    <t>Licensee4</t>
  </si>
  <si>
    <t>Licensee5</t>
  </si>
  <si>
    <t>Licensee6</t>
  </si>
  <si>
    <t>Licensee7</t>
  </si>
  <si>
    <t>Licensee8</t>
  </si>
  <si>
    <t>Licensee9</t>
  </si>
  <si>
    <t>Licensee10</t>
  </si>
  <si>
    <t>Licensee11</t>
  </si>
  <si>
    <t>Licensee12</t>
  </si>
  <si>
    <t>Licensee13</t>
  </si>
  <si>
    <t>Licensee14</t>
  </si>
  <si>
    <t>Licensee15</t>
  </si>
  <si>
    <t>Licensee 14</t>
  </si>
  <si>
    <t>Licensee 15</t>
  </si>
  <si>
    <t>Licensee 16</t>
  </si>
  <si>
    <t>Licensee 13</t>
  </si>
  <si>
    <t>Licensee 17</t>
  </si>
  <si>
    <t>3 months</t>
  </si>
  <si>
    <t>6 months</t>
  </si>
  <si>
    <t>9 months</t>
  </si>
  <si>
    <t>12 months</t>
  </si>
  <si>
    <t>15 months</t>
  </si>
  <si>
    <t>Readjusted for QTRly %</t>
  </si>
  <si>
    <t>Q1+Q2</t>
  </si>
  <si>
    <t>Use for QTR estimates</t>
  </si>
  <si>
    <t>Year 2</t>
  </si>
  <si>
    <t>Year 3</t>
  </si>
  <si>
    <t>Year 4</t>
  </si>
  <si>
    <t>Year 5</t>
  </si>
  <si>
    <t>Year 6</t>
  </si>
  <si>
    <t>Year 7</t>
  </si>
  <si>
    <t>Check</t>
  </si>
  <si>
    <t>AUS-USA-AUS(PE)</t>
  </si>
  <si>
    <t>AUS-LON-AUS(PE)</t>
  </si>
  <si>
    <t>AUS-EUR-AUS(PE)</t>
  </si>
  <si>
    <t>AUS-NZ-AUS(PE)</t>
  </si>
  <si>
    <t>AUS-OTHER-AUS(PE)</t>
  </si>
  <si>
    <t>Licensee16</t>
  </si>
  <si>
    <t>Licensee17</t>
  </si>
  <si>
    <t>Licensee18</t>
  </si>
  <si>
    <t>Licensee19</t>
  </si>
  <si>
    <t>Licensee 18</t>
  </si>
  <si>
    <t>Licensee 19</t>
  </si>
  <si>
    <t>Closing Cash Position</t>
  </si>
  <si>
    <t>Net Cash Movement $</t>
  </si>
  <si>
    <t>Net Cash Movement %</t>
  </si>
  <si>
    <t>Cash Movement and Fund Injection</t>
  </si>
  <si>
    <t xml:space="preserve">Accounting/Audit/Tax Fees </t>
  </si>
  <si>
    <t>Group Exec - CFO</t>
  </si>
  <si>
    <t>Group Exec - CLO</t>
  </si>
  <si>
    <t>FFG Income</t>
  </si>
  <si>
    <t>Exec Chairman</t>
  </si>
  <si>
    <t>Group Exec - CPO</t>
  </si>
  <si>
    <t>Regional Head - USA</t>
  </si>
  <si>
    <t>Discharge Rate - FFG Products</t>
  </si>
  <si>
    <t>Full Drawdown of Reinvestment Account and Monthly Drawdown of Capital (Annuity) Account - Interest-Only EPM, 15 Years</t>
  </si>
  <si>
    <t>Mortgage</t>
  </si>
  <si>
    <t>Reinvestment Account</t>
  </si>
  <si>
    <t>Capital (Annuity) Account</t>
  </si>
  <si>
    <t>Mortgage, Royalty, Insurance Cost</t>
  </si>
  <si>
    <t>Property Appreciation after 15 years</t>
  </si>
  <si>
    <t>End of Term Position</t>
  </si>
  <si>
    <t>Home Value</t>
  </si>
  <si>
    <t>Home Equity at term</t>
  </si>
  <si>
    <t>LVR %</t>
  </si>
  <si>
    <t>- Cash Rate</t>
  </si>
  <si>
    <t>Loan Principal</t>
  </si>
  <si>
    <t>- Wholesale Rate</t>
  </si>
  <si>
    <t>Return of Reinvestment Account at term</t>
  </si>
  <si>
    <t>Property Appreciation p.a.</t>
  </si>
  <si>
    <t>- Retail Rate</t>
  </si>
  <si>
    <t>Repayment of Capital Account during term</t>
  </si>
  <si>
    <t>Cash Rate p.a.</t>
  </si>
  <si>
    <t>Net Assets at term</t>
  </si>
  <si>
    <t>Rate above Cash Rate p.a.</t>
  </si>
  <si>
    <t>MER %</t>
  </si>
  <si>
    <t>Capital (Annuity) received tax free during term</t>
  </si>
  <si>
    <t>Target Investment Earnings Rate</t>
  </si>
  <si>
    <t>Valid Hurdle Rate Range</t>
  </si>
  <si>
    <t>1% to 3% above</t>
  </si>
  <si>
    <t>Amount in Suspense Account</t>
  </si>
  <si>
    <t>cash, net of fees</t>
  </si>
  <si>
    <t>Other fees p.a.</t>
  </si>
  <si>
    <t>Investment Accounts</t>
  </si>
  <si>
    <t>Mortgage Account</t>
  </si>
  <si>
    <t>Suspense Account</t>
  </si>
  <si>
    <t>Years</t>
  </si>
  <si>
    <t>Months</t>
  </si>
  <si>
    <t xml:space="preserve">Interest Income Reinvestment Account </t>
  </si>
  <si>
    <t>Fully Drawn Reinvestment Account (Returned at Term)</t>
  </si>
  <si>
    <t>Interest Income Capital (Annuity) Account</t>
  </si>
  <si>
    <t>Monthly Drawdown of Capital (Annuity) Account and Monthly Capital (Annuity) Paid</t>
  </si>
  <si>
    <t>Monthly Capital (Annuity) Amount Paid</t>
  </si>
  <si>
    <t>Mortgage Loan Balance</t>
  </si>
  <si>
    <t>Mortgage Interest Expense on Reinvestment and Capital (Annuity) Accounts</t>
  </si>
  <si>
    <t>Interest income Surplus+/deficit-</t>
  </si>
  <si>
    <t>Yearly Cashflows Interest Only,  Fully Drawdown Reinvestment  and Monthly Drawdown Capital Account</t>
  </si>
  <si>
    <t>Reinvestment Gross Interest Income</t>
  </si>
  <si>
    <t>Capital Gross Interest Income</t>
  </si>
  <si>
    <t>MER Reinvestment</t>
  </si>
  <si>
    <t>MER Capital</t>
  </si>
  <si>
    <t>MER Total</t>
  </si>
  <si>
    <t>Net Interest Income</t>
  </si>
  <si>
    <t>Starting Balance</t>
  </si>
  <si>
    <t>Asset Under Mgt</t>
  </si>
  <si>
    <t>MER Fee</t>
  </si>
  <si>
    <t>Interest Income net of MER fee</t>
  </si>
  <si>
    <t>Loan Balance</t>
  </si>
  <si>
    <t>Interest Expense</t>
  </si>
  <si>
    <t>Suspense A/C</t>
  </si>
  <si>
    <t>Capital (Annuity) Paid to Mortgage</t>
  </si>
  <si>
    <t>Ending Balance</t>
  </si>
  <si>
    <t>Reinvestment A/C</t>
  </si>
  <si>
    <t>Capital A/C</t>
  </si>
  <si>
    <t>Total Interest Income</t>
  </si>
  <si>
    <t>Mortgage Exp</t>
  </si>
  <si>
    <t>Royalty Exp</t>
  </si>
  <si>
    <t>Insurance Exp</t>
  </si>
  <si>
    <t>Total Expense</t>
  </si>
  <si>
    <t>Income(Surplus+)/Expense(deficit-)</t>
  </si>
  <si>
    <t>Cumulative Balance</t>
  </si>
  <si>
    <t>check</t>
  </si>
  <si>
    <t>Early Termination Scenario 1 - Exit at 5 Year Position</t>
  </si>
  <si>
    <t>Home Equity at 5 years</t>
  </si>
  <si>
    <t xml:space="preserve">Mortgage </t>
  </si>
  <si>
    <t xml:space="preserve">Return of Reinvestment Account </t>
  </si>
  <si>
    <t>Returned Undrawn Capital Account Balance</t>
  </si>
  <si>
    <t>Early Termination Scenario 2 - Exit at 10 Year Position</t>
  </si>
  <si>
    <t>Home Equity at 10 years</t>
  </si>
  <si>
    <t>Early Termination Scenario 3 - Exit at 14 Year Position</t>
  </si>
  <si>
    <t>Home Equity at 14 years</t>
  </si>
  <si>
    <t>USA</t>
  </si>
  <si>
    <t>Amounts Received 12 months after signing</t>
  </si>
  <si>
    <t>IT Laptop and support</t>
  </si>
  <si>
    <t xml:space="preserve">Implied Sales for a Licencee </t>
  </si>
  <si>
    <t>FFG Mortgages</t>
  </si>
  <si>
    <t>Total Mortgages</t>
  </si>
  <si>
    <t>Mortgages Signed</t>
  </si>
  <si>
    <t>Mortgagees signed</t>
  </si>
  <si>
    <t>Mortgages</t>
  </si>
  <si>
    <t>Growth %</t>
  </si>
  <si>
    <t>Head Office</t>
  </si>
  <si>
    <t>Solver Calculated</t>
  </si>
  <si>
    <t>3% to 7% above</t>
  </si>
  <si>
    <t>Single Loan Income Year 1</t>
  </si>
  <si>
    <t>Rent per person per month</t>
  </si>
  <si>
    <t>Marketing - take X% of Revenue</t>
  </si>
  <si>
    <t>per person</t>
  </si>
  <si>
    <t xml:space="preserve">   Number of trips</t>
  </si>
  <si>
    <t>per licensee</t>
  </si>
  <si>
    <t>Corporate Entertainment</t>
  </si>
  <si>
    <t>Exec Team - Business Development</t>
  </si>
  <si>
    <t>p.a. per person</t>
  </si>
  <si>
    <t>per month per person</t>
  </si>
  <si>
    <t>Number of trips</t>
  </si>
  <si>
    <t>Printing &amp; Stationary per person p.a.</t>
  </si>
  <si>
    <t>Office Equipment per person p.a.</t>
  </si>
  <si>
    <t>Postage &amp; Courier per person p.a.</t>
  </si>
  <si>
    <t>Sundry Expenses per person p.a.</t>
  </si>
  <si>
    <t>Entertainment per person p.a.</t>
  </si>
  <si>
    <t>Insurance per person p.a.</t>
  </si>
  <si>
    <t xml:space="preserve">   Percentage of revenue</t>
  </si>
  <si>
    <t xml:space="preserve">Corporate Entertainment </t>
  </si>
  <si>
    <t>Reduction %</t>
  </si>
  <si>
    <t>n/a</t>
  </si>
  <si>
    <t xml:space="preserve">  Number of trips</t>
  </si>
  <si>
    <t>Additional contingency cost on top of total expenses</t>
  </si>
  <si>
    <t>Futureproof Financial Group Limited Financial Model (Most Likely Scenario)</t>
  </si>
  <si>
    <t>EBITDA $</t>
  </si>
  <si>
    <t>EBITDA %</t>
  </si>
  <si>
    <t>CPI Increment %</t>
  </si>
  <si>
    <t>Actuarial, Quant &amp; Asset Consultants</t>
  </si>
  <si>
    <t>Number of Product Issuers signed-up per region per year:</t>
  </si>
  <si>
    <t>LTV/LVR is at 80% (for maximum annuity income)</t>
  </si>
  <si>
    <t>Product Issuer</t>
  </si>
  <si>
    <t>5 Year Total</t>
  </si>
  <si>
    <t>Assumptions (USD)</t>
  </si>
  <si>
    <t>Non-exec Director Fees</t>
  </si>
  <si>
    <t xml:space="preserve">CEO </t>
  </si>
  <si>
    <t>License Fee</t>
  </si>
  <si>
    <t>Year 0</t>
  </si>
  <si>
    <t>Group Exec - COO</t>
  </si>
  <si>
    <t>Exec Partners</t>
  </si>
  <si>
    <t>Admin Assistant</t>
  </si>
  <si>
    <t>On boading fee</t>
  </si>
  <si>
    <t>On Boarding Service Fee (One-off)</t>
  </si>
  <si>
    <t>SaaS Subscription Fees (Recurring Loan Margin)</t>
  </si>
  <si>
    <t>Sales &amp; Travel Expenses</t>
  </si>
  <si>
    <t>Rental Expenses</t>
  </si>
  <si>
    <t>Account Management</t>
  </si>
  <si>
    <t xml:space="preserve"> Account Management</t>
  </si>
  <si>
    <t>UK/APAC</t>
  </si>
  <si>
    <t>Regional Head - UK/APAC</t>
  </si>
  <si>
    <t>UK/APAC (Target higher Value homes US1.2Mn av)</t>
  </si>
  <si>
    <t>UK/AU</t>
  </si>
  <si>
    <t>Group Exec - CMO</t>
  </si>
  <si>
    <t>Exec Legal Officer</t>
  </si>
  <si>
    <t>Additional Headcount</t>
  </si>
  <si>
    <t>Group Exec - CIO</t>
  </si>
  <si>
    <t>Exec Finance</t>
  </si>
  <si>
    <t>Exec IT</t>
  </si>
  <si>
    <t>ESOP</t>
  </si>
  <si>
    <t>Serviced Accomodation</t>
  </si>
  <si>
    <t>Group Exec - CTO</t>
  </si>
  <si>
    <t>Ave Home Value $USD</t>
  </si>
  <si>
    <t>Mortgages Written</t>
  </si>
  <si>
    <r>
      <rPr>
        <b/>
        <sz val="10"/>
        <color rgb="FF7030A0"/>
        <rFont val="Arial"/>
        <family val="2"/>
      </rPr>
      <t>Total Mortgages Writte</t>
    </r>
    <r>
      <rPr>
        <b/>
        <sz val="10"/>
        <color indexed="8"/>
        <rFont val="Arial"/>
        <family val="2"/>
      </rPr>
      <t>n</t>
    </r>
  </si>
  <si>
    <r>
      <rPr>
        <b/>
        <sz val="10"/>
        <color rgb="FF7030A0"/>
        <rFont val="Arial"/>
        <family val="2"/>
      </rPr>
      <t>Mortgage Volumes:</t>
    </r>
    <r>
      <rPr>
        <sz val="10"/>
        <color indexed="8"/>
        <rFont val="Arial"/>
        <family val="2"/>
      </rPr>
      <t xml:space="preserve"> Each Licensee will write the following mortgages with increases each years as follows:</t>
    </r>
  </si>
  <si>
    <t>Tax, Dividends and R&amp;D Rebates not Included</t>
  </si>
  <si>
    <t>Group Exec - CGO</t>
  </si>
  <si>
    <t>Executive Share Plan 10%</t>
  </si>
  <si>
    <t>ESOP 10% Total</t>
  </si>
  <si>
    <t>Exec Director &amp; Co Founder</t>
  </si>
  <si>
    <t>PaaS Subscription Fees (Annual  Loan Margin)</t>
  </si>
  <si>
    <t>International Travel &amp; Accom - Bus Development &amp; Partners</t>
  </si>
  <si>
    <t>Travel  &amp; Accom - Sales</t>
  </si>
  <si>
    <t>Platform Completion &amp; IT Development Expenses</t>
  </si>
  <si>
    <t>Platform Build &amp; IT Development/Maintenance</t>
  </si>
  <si>
    <t>IPProtection, Patents &amp; Trademarks</t>
  </si>
  <si>
    <t>IP Protection, Patents &amp; Trademarks</t>
  </si>
  <si>
    <t>Capital Markets Arranger Fee Commission</t>
  </si>
  <si>
    <t>2*100000000*0.0025</t>
  </si>
  <si>
    <t>Interest Income</t>
  </si>
  <si>
    <t>Sales Travel = Bus Development &amp; A/ct Mgt person p.a.</t>
  </si>
  <si>
    <t>Non Sales Travel - HQ &amp; Partner Development person p.a.</t>
  </si>
  <si>
    <t>Conferences &amp; Memberships per person p.a.</t>
  </si>
  <si>
    <t>Conferences &amp; Memberships</t>
  </si>
  <si>
    <t>Capital Markets Arranger Fee (20% Commission)</t>
  </si>
  <si>
    <t>Mortgage Surplus/S&amp;P Index Appreciation (Realised@5 yearly re-sets)</t>
  </si>
  <si>
    <t>Series A</t>
  </si>
  <si>
    <t>Av EPM = $3.6Mn end-of-term surplus over 30 year*50%/6 re-set periods over 30 year term = $300,000 average per mortgage each 5 years*2,100 net number of mortgages first year*number of licensees at yr 1 = $630K realised at yr 5</t>
  </si>
  <si>
    <t>Initially lower margin of 25 bps because of wholesale mortgage funding costs higher (200-300 bps) until seasoned books of loans enables lower cost standardised bank funding (60-120bps)</t>
  </si>
  <si>
    <t>Essentially cost recovery for IT and impementaiton costs + 30% professional services margin</t>
  </si>
  <si>
    <t>COSTS:</t>
  </si>
  <si>
    <t>Personnel/HR</t>
  </si>
  <si>
    <t>Gobal Scaling</t>
  </si>
  <si>
    <r>
      <rPr>
        <b/>
        <sz val="10"/>
        <color rgb="FF7030A0"/>
        <rFont val="Arial"/>
        <family val="2"/>
      </rPr>
      <t>v. Other Income</t>
    </r>
    <r>
      <rPr>
        <b/>
        <sz val="10"/>
        <color rgb="FF000000"/>
        <rFont val="Arial"/>
        <family val="2"/>
      </rPr>
      <t xml:space="preserve"> includes interest earnings, Guernsey captive insurer (mortgage reinsurance exchange commissions)</t>
    </r>
  </si>
  <si>
    <r>
      <rPr>
        <b/>
        <sz val="10"/>
        <color rgb="FF7030A0"/>
        <rFont val="Arial"/>
        <family val="2"/>
      </rPr>
      <t xml:space="preserve">i. Cost reecovery - Product Issuer On-boarding Tech Fee </t>
    </r>
    <r>
      <rPr>
        <b/>
        <sz val="10"/>
        <color indexed="8"/>
        <rFont val="Arial"/>
        <family val="2"/>
      </rPr>
      <t>= $1,500,000 per licensee</t>
    </r>
  </si>
  <si>
    <r>
      <rPr>
        <b/>
        <sz val="10"/>
        <color rgb="FF7030A0"/>
        <rFont val="Arial"/>
        <family val="2"/>
      </rPr>
      <t>iii.Mortgage Surpluses  - Profit derived through Index Appreciation increasing value of index ETFs held for each borrower - (Profits partially realised every 5 years at</t>
    </r>
    <r>
      <rPr>
        <b/>
        <sz val="10"/>
        <color rgb="FF000000"/>
        <rFont val="Arial"/>
        <family val="2"/>
      </rPr>
      <t xml:space="preserve"> each re-set of the S&amp;P hedges - Accumulated S&amp;P500 Index returns@ 10% p.a.long-term  total total return.  Mortgage Profits Shared by Futureproof (50%) and Wholesale Funder (50%).</t>
    </r>
  </si>
  <si>
    <r>
      <rPr>
        <b/>
        <sz val="10"/>
        <color rgb="FF7030A0"/>
        <rFont val="Arial"/>
        <family val="2"/>
      </rPr>
      <t>iv. Capital Markets Arranging Commission - A</t>
    </r>
    <r>
      <rPr>
        <sz val="10"/>
        <rFont val="Arial"/>
        <family val="2"/>
      </rPr>
      <t xml:space="preserve">ssumes new $100Mn funding line each year per licensee.  Gross Arranger Third Part Fee 75bps on each Funding Line.  Futureproof commission = 20% of arranging fee. </t>
    </r>
  </si>
  <si>
    <t xml:space="preserve">FTE </t>
  </si>
  <si>
    <r>
      <rPr>
        <b/>
        <sz val="10"/>
        <color rgb="FF7030A0"/>
        <rFont val="Arial"/>
        <family val="2"/>
      </rPr>
      <t>Salaries</t>
    </r>
    <r>
      <rPr>
        <b/>
        <sz val="10"/>
        <color rgb="FF000000"/>
        <rFont val="Arial"/>
        <family val="2"/>
      </rPr>
      <t xml:space="preserve"> based on $8K monthly retainer + sweat equity until market launch.  Post-launch full salaries are as per HR worksheet. </t>
    </r>
  </si>
  <si>
    <t>Budget based on an average 30 year  Interest-Only Mortgage.  There is also a Principle &amp; Interest EPM. Loan margin is same for both versions of the EPM</t>
  </si>
  <si>
    <t>REVENUES: There are 5 Separate Revenue Streams</t>
  </si>
  <si>
    <t>USA launch</t>
  </si>
  <si>
    <t>Aust/UK launch</t>
  </si>
  <si>
    <r>
      <rPr>
        <b/>
        <sz val="10"/>
        <color rgb="FF7030A0"/>
        <rFont val="Arial"/>
        <family val="2"/>
      </rPr>
      <t>ii.Core SaaS Revenues - Annual Recurring Revenue =</t>
    </r>
    <r>
      <rPr>
        <b/>
        <sz val="10"/>
        <rFont val="Arial"/>
        <family val="2"/>
      </rPr>
      <t xml:space="preserve"> 25bps-50bps loan margin per annum from every mortgage written world-wide over 15-30 years loan durations </t>
    </r>
  </si>
  <si>
    <t>$5Mn (R1) + $5Mn (R2)</t>
  </si>
  <si>
    <t>Convertible Notes</t>
  </si>
  <si>
    <t>Pre A Growth Equity</t>
  </si>
  <si>
    <t>C/N or Venture Debt</t>
  </si>
  <si>
    <t>Qaulifying Priced Round</t>
  </si>
  <si>
    <t>Net New Capital Injection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</si>
</sst>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5">
    <numFmt numFmtId="43" formatCode="_-* #,##0.00_-;\-* #,##0.00_-;_-* &quot;-&quot;??_-;_-@_-"/>
    <numFmt numFmtId="164" formatCode="&quot;$&quot;#,##0;[Red]\-&quot;$&quot;#,##0"/>
    <numFmt numFmtId="165" formatCode="&quot;$&quot;#,##0.00;[Red]\-&quot;$&quot;#,##0.00"/>
    <numFmt numFmtId="166" formatCode="_-&quot;$&quot;* #,##0.00_-;\-&quot;$&quot;* #,##0.00_-;_-&quot;$&quot;* &quot;-&quot;??_-;_-@_-"/>
    <numFmt numFmtId="167" formatCode="_(&quot;$&quot;* #,##0.00_);_(&quot;$&quot;* \(#,##0.00\);_(&quot;$&quot;* &quot;-&quot;??_);_(@_)"/>
    <numFmt numFmtId="168" formatCode="_(* #,##0.00_);_(* \(#,##0.00\);_(* &quot;-&quot;??_);_(@_)"/>
    <numFmt numFmtId="169" formatCode="_(&quot;$&quot;* #,##0_);_(&quot;$&quot;* \(#,##0\);_(&quot;$&quot;* &quot;-&quot;??_);_(@_)"/>
    <numFmt numFmtId="170" formatCode="0.0%"/>
    <numFmt numFmtId="171" formatCode="_-&quot;$&quot;* #,##0_-;\-&quot;$&quot;* #,##0_-;_-&quot;$&quot;* &quot;-&quot;??_-;_-@_-"/>
    <numFmt numFmtId="172" formatCode="_(* #,##0_);_(* \(#,##0\);_(* &quot;-&quot;??_);_(@_)"/>
    <numFmt numFmtId="173" formatCode="mm/dd/yy"/>
    <numFmt numFmtId="174" formatCode="0_);[Red]\(0\)"/>
    <numFmt numFmtId="175" formatCode="_-* #,##0_-;\-* #,##0_-;_-* &quot;-&quot;??_-;_-@_-"/>
    <numFmt numFmtId="176" formatCode="_-* #,##0.0_-;\-* #,##0.0_-;_-* &quot;-&quot;?_-;_-@_-"/>
    <numFmt numFmtId="177" formatCode="#,##0_ ;[Red]\-#,##0\ "/>
    <numFmt numFmtId="178" formatCode="#,##0.00_ ;[Red]\-#,##0.00\ "/>
    <numFmt numFmtId="179" formatCode="_-* #,##0.0_-;\-* #,##0.0_-;_-* &quot;-&quot;??_-;_-@_-"/>
    <numFmt numFmtId="180" formatCode="0.000"/>
    <numFmt numFmtId="181" formatCode="#,##0;\(#,##0\)"/>
    <numFmt numFmtId="182" formatCode="0.00%;\(0.00%\)"/>
    <numFmt numFmtId="183" formatCode="#,##0;[Red]\(#,##0\)"/>
    <numFmt numFmtId="184" formatCode="_(* #,##0.000_);_(* \(#,##0.000\);_(* &quot;-&quot;??_);_(@_)"/>
    <numFmt numFmtId="185" formatCode="_(* #,##0.00000_);_(* \(#,##0.00000\);_(* &quot;-&quot;??_);_(@_)"/>
    <numFmt numFmtId="186" formatCode="_-* #,##0.00000_-;\-* #,##0.00000_-;_-* &quot;-&quot;?????_-;_-@_-"/>
    <numFmt numFmtId="187" formatCode="0.0"/>
  </numFmts>
  <fonts count="72" x14ac:knownFonts="1">
    <font>
      <sz val="10"/>
      <color indexed="8"/>
      <name val="Arial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8"/>
      <color indexed="62"/>
      <name val="Arial"/>
      <family val="2"/>
    </font>
    <font>
      <b/>
      <sz val="14"/>
      <color indexed="62"/>
      <name val="Arial"/>
      <family val="2"/>
    </font>
    <font>
      <sz val="10"/>
      <name val="Arial"/>
      <family val="2"/>
    </font>
    <font>
      <b/>
      <sz val="12"/>
      <color indexed="62"/>
      <name val="Arial"/>
      <family val="2"/>
    </font>
    <font>
      <b/>
      <sz val="18"/>
      <color indexed="9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color indexed="10"/>
      <name val="Arial"/>
      <family val="2"/>
    </font>
    <font>
      <b/>
      <sz val="10"/>
      <color indexed="15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8"/>
      <color indexed="81"/>
      <name val="Tahoma"/>
      <family val="2"/>
    </font>
    <font>
      <b/>
      <sz val="10"/>
      <color indexed="43"/>
      <name val="Arial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b/>
      <sz val="10"/>
      <color indexed="8"/>
      <name val="Arial"/>
      <family val="2"/>
    </font>
    <font>
      <b/>
      <sz val="16"/>
      <color indexed="9"/>
      <name val="Arial"/>
      <family val="2"/>
    </font>
    <font>
      <b/>
      <sz val="10"/>
      <color indexed="14"/>
      <name val="Arial"/>
      <family val="2"/>
    </font>
    <font>
      <sz val="16"/>
      <color indexed="8"/>
      <name val="Arial"/>
      <family val="2"/>
    </font>
    <font>
      <b/>
      <sz val="12"/>
      <color indexed="9"/>
      <name val="Arial"/>
      <family val="2"/>
    </font>
    <font>
      <sz val="12"/>
      <color indexed="9"/>
      <name val="Arial"/>
      <family val="2"/>
    </font>
    <font>
      <sz val="12"/>
      <name val="Arial"/>
      <family val="2"/>
    </font>
    <font>
      <sz val="10"/>
      <color indexed="56"/>
      <name val="Arial"/>
      <family val="2"/>
    </font>
    <font>
      <sz val="10"/>
      <color indexed="20"/>
      <name val="Arial"/>
      <family val="2"/>
    </font>
    <font>
      <sz val="10"/>
      <color indexed="81"/>
      <name val="Tahoma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color indexed="9"/>
      <name val="Arial"/>
      <family val="2"/>
    </font>
    <font>
      <b/>
      <sz val="16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u/>
      <sz val="14"/>
      <color indexed="62"/>
      <name val="Arial"/>
      <family val="2"/>
    </font>
    <font>
      <sz val="14"/>
      <color indexed="8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FF000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6"/>
      <color theme="1"/>
      <name val="Calibri"/>
      <family val="2"/>
      <scheme val="minor"/>
    </font>
    <font>
      <b/>
      <sz val="10"/>
      <color rgb="FF7030A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6"/>
      <color indexed="10"/>
      <name val="Arial"/>
      <family val="2"/>
    </font>
    <font>
      <b/>
      <sz val="10"/>
      <color rgb="FF000000"/>
      <name val="Arial"/>
      <family val="2"/>
    </font>
    <font>
      <i/>
      <sz val="10"/>
      <color rgb="FF000000"/>
      <name val="Arial"/>
      <family val="2"/>
    </font>
    <font>
      <i/>
      <sz val="10"/>
      <name val="Arial"/>
      <family val="2"/>
    </font>
    <font>
      <i/>
      <sz val="10"/>
      <color rgb="FF7030A0"/>
      <name val="Arial"/>
      <family val="2"/>
    </font>
    <font>
      <sz val="11"/>
      <color indexed="8"/>
      <name val="Arial"/>
      <family val="2"/>
    </font>
    <font>
      <b/>
      <sz val="11"/>
      <name val="Arial"/>
      <family val="2"/>
    </font>
    <font>
      <sz val="10"/>
      <color theme="7" tint="-0.249977111117893"/>
      <name val="Arial"/>
      <family val="2"/>
    </font>
    <font>
      <b/>
      <sz val="10"/>
      <color theme="7" tint="-0.249977111117893"/>
      <name val="Arial"/>
      <family val="2"/>
    </font>
    <font>
      <i/>
      <sz val="8"/>
      <color rgb="FF7030A0"/>
      <name val="Arial"/>
      <family val="2"/>
    </font>
    <font>
      <i/>
      <sz val="10"/>
      <color theme="5" tint="-0.24997711111789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7E9E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4659260841701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18">
    <xf numFmtId="0" fontId="0" fillId="0" borderId="0"/>
    <xf numFmtId="168" fontId="1" fillId="0" borderId="0" applyFont="0" applyFill="0" applyBorder="0" applyAlignment="0" applyProtection="0"/>
    <xf numFmtId="43" fontId="34" fillId="0" borderId="0" applyFont="0" applyFill="0" applyBorder="0" applyAlignment="0" applyProtection="0"/>
    <xf numFmtId="43" fontId="6" fillId="0" borderId="0" applyFont="0" applyFill="0" applyBorder="0" applyAlignment="0" applyProtection="0"/>
    <xf numFmtId="167" fontId="1" fillId="0" borderId="0" applyFont="0" applyFill="0" applyBorder="0" applyAlignment="0" applyProtection="0"/>
    <xf numFmtId="166" fontId="34" fillId="0" borderId="0" applyFont="0" applyFill="0" applyBorder="0" applyAlignment="0" applyProtection="0"/>
    <xf numFmtId="166" fontId="6" fillId="0" borderId="0" applyFont="0" applyFill="0" applyBorder="0" applyAlignment="0" applyProtection="0"/>
    <xf numFmtId="173" fontId="10" fillId="0" borderId="0" applyFont="0" applyFill="0" applyBorder="0" applyAlignment="0" applyProtection="0"/>
    <xf numFmtId="174" fontId="10" fillId="0" borderId="0" applyFont="0" applyFill="0" applyBorder="0" applyAlignment="0" applyProtection="0"/>
    <xf numFmtId="0" fontId="34" fillId="0" borderId="0"/>
    <xf numFmtId="0" fontId="1" fillId="0" borderId="0"/>
    <xf numFmtId="0" fontId="6" fillId="0" borderId="0"/>
    <xf numFmtId="0" fontId="6" fillId="0" borderId="0"/>
    <xf numFmtId="0" fontId="6" fillId="0" borderId="0"/>
    <xf numFmtId="0" fontId="6" fillId="0" borderId="0"/>
    <xf numFmtId="9" fontId="1" fillId="0" borderId="0" applyFont="0" applyFill="0" applyBorder="0" applyAlignment="0" applyProtection="0"/>
    <xf numFmtId="9" fontId="34" fillId="0" borderId="0" applyFont="0" applyFill="0" applyBorder="0" applyAlignment="0" applyProtection="0"/>
    <xf numFmtId="49" fontId="10" fillId="0" borderId="0" applyFont="0" applyFill="0" applyBorder="0" applyAlignment="0" applyProtection="0"/>
  </cellStyleXfs>
  <cellXfs count="888">
    <xf numFmtId="0" fontId="0" fillId="0" borderId="0" xfId="0"/>
    <xf numFmtId="0" fontId="2" fillId="0" borderId="1" xfId="0" applyFont="1" applyBorder="1" applyAlignment="1">
      <alignment horizontal="center" vertical="top" wrapText="1"/>
    </xf>
    <xf numFmtId="0" fontId="3" fillId="0" borderId="0" xfId="0" applyFont="1"/>
    <xf numFmtId="0" fontId="6" fillId="0" borderId="0" xfId="0" applyFont="1"/>
    <xf numFmtId="9" fontId="6" fillId="0" borderId="0" xfId="0" applyNumberFormat="1" applyFont="1"/>
    <xf numFmtId="0" fontId="3" fillId="0" borderId="0" xfId="0" applyFont="1" applyAlignment="1">
      <alignment horizontal="left"/>
    </xf>
    <xf numFmtId="0" fontId="2" fillId="0" borderId="0" xfId="0" applyFont="1"/>
    <xf numFmtId="3" fontId="2" fillId="0" borderId="0" xfId="0" applyNumberFormat="1" applyFont="1"/>
    <xf numFmtId="0" fontId="8" fillId="0" borderId="0" xfId="0" applyFont="1"/>
    <xf numFmtId="0" fontId="9" fillId="0" borderId="0" xfId="0" applyFont="1"/>
    <xf numFmtId="0" fontId="11" fillId="0" borderId="0" xfId="0" applyFont="1"/>
    <xf numFmtId="0" fontId="3" fillId="0" borderId="1" xfId="0" applyFont="1" applyBorder="1"/>
    <xf numFmtId="0" fontId="0" fillId="0" borderId="1" xfId="0" applyBorder="1" applyAlignment="1">
      <alignment horizontal="left" indent="1"/>
    </xf>
    <xf numFmtId="0" fontId="3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4" fillId="2" borderId="2" xfId="0" applyFont="1" applyFill="1" applyBorder="1" applyAlignment="1">
      <alignment horizontal="center" vertical="top" wrapText="1"/>
    </xf>
    <xf numFmtId="0" fontId="4" fillId="2" borderId="3" xfId="0" applyFont="1" applyFill="1" applyBorder="1" applyAlignment="1">
      <alignment horizontal="center" vertical="top" wrapText="1"/>
    </xf>
    <xf numFmtId="169" fontId="4" fillId="2" borderId="4" xfId="4" applyNumberFormat="1" applyFont="1" applyFill="1" applyBorder="1" applyAlignment="1">
      <alignment horizontal="center" vertical="top" wrapText="1"/>
    </xf>
    <xf numFmtId="0" fontId="2" fillId="0" borderId="5" xfId="0" applyFont="1" applyBorder="1" applyAlignment="1">
      <alignment vertical="top" wrapText="1"/>
    </xf>
    <xf numFmtId="0" fontId="2" fillId="0" borderId="7" xfId="0" applyFont="1" applyBorder="1" applyAlignment="1">
      <alignment vertical="top" wrapText="1"/>
    </xf>
    <xf numFmtId="0" fontId="3" fillId="0" borderId="9" xfId="0" applyFont="1" applyBorder="1" applyAlignment="1">
      <alignment vertical="top" wrapText="1"/>
    </xf>
    <xf numFmtId="0" fontId="12" fillId="3" borderId="0" xfId="0" applyFont="1" applyFill="1" applyAlignment="1">
      <alignment vertical="top" wrapText="1"/>
    </xf>
    <xf numFmtId="0" fontId="12" fillId="3" borderId="0" xfId="0" applyFont="1" applyFill="1" applyAlignment="1">
      <alignment vertical="top"/>
    </xf>
    <xf numFmtId="0" fontId="12" fillId="3" borderId="0" xfId="0" applyFont="1" applyFill="1" applyAlignment="1">
      <alignment horizontal="center" vertical="top" wrapText="1"/>
    </xf>
    <xf numFmtId="0" fontId="4" fillId="2" borderId="11" xfId="0" applyFont="1" applyFill="1" applyBorder="1" applyAlignment="1">
      <alignment horizontal="center" vertical="top" wrapText="1"/>
    </xf>
    <xf numFmtId="169" fontId="2" fillId="0" borderId="12" xfId="4" applyNumberFormat="1" applyFont="1" applyBorder="1" applyAlignment="1">
      <alignment vertical="top" wrapText="1"/>
    </xf>
    <xf numFmtId="0" fontId="13" fillId="4" borderId="14" xfId="0" applyFont="1" applyFill="1" applyBorder="1" applyAlignment="1">
      <alignment wrapText="1"/>
    </xf>
    <xf numFmtId="0" fontId="6" fillId="5" borderId="0" xfId="0" applyFont="1" applyFill="1"/>
    <xf numFmtId="0" fontId="11" fillId="0" borderId="0" xfId="0" applyFont="1" applyAlignment="1">
      <alignment horizontal="right"/>
    </xf>
    <xf numFmtId="0" fontId="6" fillId="0" borderId="0" xfId="14" applyAlignment="1">
      <alignment horizontal="center"/>
    </xf>
    <xf numFmtId="0" fontId="6" fillId="0" borderId="0" xfId="14"/>
    <xf numFmtId="175" fontId="6" fillId="0" borderId="0" xfId="3" applyNumberFormat="1"/>
    <xf numFmtId="0" fontId="15" fillId="0" borderId="0" xfId="14" applyFont="1"/>
    <xf numFmtId="170" fontId="5" fillId="0" borderId="0" xfId="15" applyNumberFormat="1" applyFont="1" applyAlignment="1">
      <alignment horizontal="center"/>
    </xf>
    <xf numFmtId="0" fontId="4" fillId="3" borderId="15" xfId="14" applyFont="1" applyFill="1" applyBorder="1" applyAlignment="1">
      <alignment horizontal="center"/>
    </xf>
    <xf numFmtId="0" fontId="4" fillId="3" borderId="16" xfId="14" applyFont="1" applyFill="1" applyBorder="1" applyAlignment="1">
      <alignment horizontal="center"/>
    </xf>
    <xf numFmtId="175" fontId="4" fillId="3" borderId="16" xfId="3" applyNumberFormat="1" applyFont="1" applyFill="1" applyBorder="1" applyAlignment="1">
      <alignment horizontal="center"/>
    </xf>
    <xf numFmtId="175" fontId="5" fillId="5" borderId="3" xfId="3" applyNumberFormat="1" applyFont="1" applyFill="1" applyBorder="1"/>
    <xf numFmtId="175" fontId="6" fillId="0" borderId="3" xfId="3" applyNumberFormat="1" applyBorder="1"/>
    <xf numFmtId="0" fontId="6" fillId="6" borderId="18" xfId="14" applyFill="1" applyBorder="1"/>
    <xf numFmtId="0" fontId="5" fillId="5" borderId="1" xfId="14" applyFont="1" applyFill="1" applyBorder="1"/>
    <xf numFmtId="175" fontId="5" fillId="5" borderId="1" xfId="3" applyNumberFormat="1" applyFont="1" applyFill="1" applyBorder="1"/>
    <xf numFmtId="175" fontId="6" fillId="0" borderId="1" xfId="3" applyNumberFormat="1" applyBorder="1"/>
    <xf numFmtId="175" fontId="7" fillId="0" borderId="9" xfId="3" applyNumberFormat="1" applyFont="1" applyBorder="1"/>
    <xf numFmtId="171" fontId="7" fillId="0" borderId="19" xfId="6" applyNumberFormat="1" applyFont="1" applyFill="1" applyBorder="1"/>
    <xf numFmtId="170" fontId="6" fillId="0" borderId="0" xfId="15" applyNumberFormat="1" applyFont="1"/>
    <xf numFmtId="0" fontId="6" fillId="5" borderId="2" xfId="14" applyFill="1" applyBorder="1"/>
    <xf numFmtId="0" fontId="6" fillId="5" borderId="3" xfId="14" applyFill="1" applyBorder="1"/>
    <xf numFmtId="175" fontId="6" fillId="5" borderId="3" xfId="3" applyNumberFormat="1" applyFill="1" applyBorder="1"/>
    <xf numFmtId="175" fontId="6" fillId="5" borderId="1" xfId="3" applyNumberFormat="1" applyFill="1" applyBorder="1"/>
    <xf numFmtId="43" fontId="7" fillId="0" borderId="19" xfId="3" applyFont="1" applyFill="1" applyBorder="1"/>
    <xf numFmtId="0" fontId="6" fillId="6" borderId="21" xfId="14" applyFill="1" applyBorder="1"/>
    <xf numFmtId="43" fontId="6" fillId="0" borderId="2" xfId="3" applyBorder="1"/>
    <xf numFmtId="0" fontId="6" fillId="6" borderId="22" xfId="14" applyFill="1" applyBorder="1"/>
    <xf numFmtId="43" fontId="6" fillId="0" borderId="5" xfId="3" applyBorder="1"/>
    <xf numFmtId="43" fontId="6" fillId="0" borderId="1" xfId="3" applyBorder="1"/>
    <xf numFmtId="0" fontId="6" fillId="6" borderId="23" xfId="14" applyFill="1" applyBorder="1"/>
    <xf numFmtId="0" fontId="6" fillId="6" borderId="24" xfId="14" applyFill="1" applyBorder="1"/>
    <xf numFmtId="175" fontId="7" fillId="0" borderId="0" xfId="3" applyNumberFormat="1" applyFont="1"/>
    <xf numFmtId="43" fontId="7" fillId="0" borderId="0" xfId="3" applyFont="1" applyFill="1" applyBorder="1"/>
    <xf numFmtId="175" fontId="4" fillId="3" borderId="16" xfId="14" applyNumberFormat="1" applyFont="1" applyFill="1" applyBorder="1" applyAlignment="1">
      <alignment horizontal="center"/>
    </xf>
    <xf numFmtId="175" fontId="6" fillId="0" borderId="2" xfId="3" applyNumberFormat="1" applyBorder="1"/>
    <xf numFmtId="175" fontId="6" fillId="0" borderId="5" xfId="3" applyNumberFormat="1" applyBorder="1"/>
    <xf numFmtId="175" fontId="6" fillId="0" borderId="7" xfId="3" applyNumberFormat="1" applyBorder="1"/>
    <xf numFmtId="175" fontId="6" fillId="0" borderId="10" xfId="3" applyNumberFormat="1" applyBorder="1"/>
    <xf numFmtId="175" fontId="7" fillId="0" borderId="0" xfId="3" applyNumberFormat="1" applyFont="1" applyFill="1" applyBorder="1"/>
    <xf numFmtId="0" fontId="16" fillId="0" borderId="0" xfId="14" applyFont="1"/>
    <xf numFmtId="172" fontId="5" fillId="5" borderId="1" xfId="1" applyNumberFormat="1" applyFont="1" applyFill="1" applyBorder="1"/>
    <xf numFmtId="172" fontId="6" fillId="0" borderId="1" xfId="1" applyNumberFormat="1" applyFont="1" applyBorder="1"/>
    <xf numFmtId="0" fontId="2" fillId="0" borderId="1" xfId="0" applyFont="1" applyBorder="1" applyAlignment="1">
      <alignment horizontal="left"/>
    </xf>
    <xf numFmtId="0" fontId="13" fillId="0" borderId="0" xfId="0" applyFont="1" applyAlignment="1">
      <alignment wrapText="1"/>
    </xf>
    <xf numFmtId="0" fontId="4" fillId="3" borderId="25" xfId="14" applyFont="1" applyFill="1" applyBorder="1" applyAlignment="1">
      <alignment horizontal="center"/>
    </xf>
    <xf numFmtId="0" fontId="4" fillId="0" borderId="0" xfId="14" applyFont="1" applyAlignment="1">
      <alignment horizontal="center"/>
    </xf>
    <xf numFmtId="0" fontId="7" fillId="0" borderId="0" xfId="0" applyFont="1" applyAlignment="1">
      <alignment horizontal="center"/>
    </xf>
    <xf numFmtId="172" fontId="3" fillId="0" borderId="1" xfId="1" applyNumberFormat="1" applyFont="1" applyBorder="1"/>
    <xf numFmtId="172" fontId="3" fillId="4" borderId="19" xfId="1" applyNumberFormat="1" applyFont="1" applyFill="1" applyBorder="1"/>
    <xf numFmtId="172" fontId="0" fillId="0" borderId="0" xfId="1" applyNumberFormat="1" applyFont="1"/>
    <xf numFmtId="172" fontId="0" fillId="0" borderId="1" xfId="1" applyNumberFormat="1" applyFont="1" applyBorder="1"/>
    <xf numFmtId="172" fontId="13" fillId="4" borderId="19" xfId="1" applyNumberFormat="1" applyFont="1" applyFill="1" applyBorder="1"/>
    <xf numFmtId="172" fontId="13" fillId="0" borderId="0" xfId="1" applyNumberFormat="1" applyFont="1" applyFill="1" applyBorder="1"/>
    <xf numFmtId="172" fontId="2" fillId="0" borderId="1" xfId="1" applyNumberFormat="1" applyFont="1" applyBorder="1"/>
    <xf numFmtId="9" fontId="2" fillId="0" borderId="27" xfId="15" applyFont="1" applyBorder="1"/>
    <xf numFmtId="170" fontId="2" fillId="0" borderId="1" xfId="15" applyNumberFormat="1" applyFont="1" applyBorder="1"/>
    <xf numFmtId="0" fontId="2" fillId="0" borderId="27" xfId="0" applyFont="1" applyBorder="1"/>
    <xf numFmtId="0" fontId="6" fillId="0" borderId="0" xfId="0" applyFont="1" applyAlignment="1">
      <alignment horizontal="center"/>
    </xf>
    <xf numFmtId="0" fontId="0" fillId="5" borderId="1" xfId="0" applyFill="1" applyBorder="1"/>
    <xf numFmtId="172" fontId="0" fillId="5" borderId="1" xfId="1" applyNumberFormat="1" applyFont="1" applyFill="1" applyBorder="1"/>
    <xf numFmtId="0" fontId="0" fillId="5" borderId="0" xfId="0" applyFill="1"/>
    <xf numFmtId="0" fontId="16" fillId="0" borderId="0" xfId="0" applyFont="1"/>
    <xf numFmtId="172" fontId="5" fillId="0" borderId="1" xfId="1" applyNumberFormat="1" applyFont="1" applyBorder="1"/>
    <xf numFmtId="175" fontId="6" fillId="0" borderId="0" xfId="3" applyNumberFormat="1" applyAlignment="1">
      <alignment horizontal="center"/>
    </xf>
    <xf numFmtId="175" fontId="6" fillId="0" borderId="3" xfId="3" applyNumberFormat="1" applyFont="1" applyBorder="1" applyAlignment="1">
      <alignment horizontal="center"/>
    </xf>
    <xf numFmtId="175" fontId="6" fillId="0" borderId="3" xfId="3" applyNumberFormat="1" applyBorder="1" applyAlignment="1">
      <alignment horizontal="center"/>
    </xf>
    <xf numFmtId="175" fontId="6" fillId="0" borderId="4" xfId="3" applyNumberFormat="1" applyBorder="1" applyAlignment="1">
      <alignment horizontal="center"/>
    </xf>
    <xf numFmtId="175" fontId="6" fillId="0" borderId="1" xfId="3" applyNumberFormat="1" applyBorder="1" applyAlignment="1">
      <alignment horizontal="center"/>
    </xf>
    <xf numFmtId="175" fontId="7" fillId="0" borderId="9" xfId="3" applyNumberFormat="1" applyFont="1" applyBorder="1" applyAlignment="1">
      <alignment horizontal="center"/>
    </xf>
    <xf numFmtId="175" fontId="7" fillId="0" borderId="9" xfId="3" applyNumberFormat="1" applyFont="1" applyBorder="1" applyAlignment="1"/>
    <xf numFmtId="175" fontId="7" fillId="0" borderId="28" xfId="3" applyNumberFormat="1" applyFont="1" applyBorder="1" applyAlignment="1"/>
    <xf numFmtId="175" fontId="6" fillId="0" borderId="0" xfId="14" applyNumberFormat="1" applyAlignment="1">
      <alignment horizontal="center"/>
    </xf>
    <xf numFmtId="175" fontId="6" fillId="0" borderId="0" xfId="1" applyNumberFormat="1" applyFont="1" applyAlignment="1">
      <alignment horizontal="center"/>
    </xf>
    <xf numFmtId="175" fontId="6" fillId="0" borderId="1" xfId="3" applyNumberFormat="1" applyFont="1" applyBorder="1" applyAlignment="1">
      <alignment horizontal="center"/>
    </xf>
    <xf numFmtId="175" fontId="6" fillId="0" borderId="6" xfId="3" applyNumberFormat="1" applyBorder="1" applyAlignment="1">
      <alignment horizontal="center"/>
    </xf>
    <xf numFmtId="175" fontId="6" fillId="0" borderId="1" xfId="1" applyNumberFormat="1" applyFont="1" applyBorder="1" applyAlignment="1">
      <alignment horizontal="center"/>
    </xf>
    <xf numFmtId="175" fontId="5" fillId="5" borderId="3" xfId="3" applyNumberFormat="1" applyFont="1" applyFill="1" applyBorder="1" applyAlignment="1">
      <alignment horizontal="left"/>
    </xf>
    <xf numFmtId="0" fontId="6" fillId="7" borderId="29" xfId="11" applyFill="1" applyBorder="1" applyAlignment="1">
      <alignment horizontal="center"/>
    </xf>
    <xf numFmtId="0" fontId="6" fillId="7" borderId="0" xfId="11" applyFill="1" applyAlignment="1">
      <alignment horizontal="center"/>
    </xf>
    <xf numFmtId="0" fontId="0" fillId="0" borderId="27" xfId="0" applyBorder="1"/>
    <xf numFmtId="0" fontId="0" fillId="0" borderId="30" xfId="0" applyBorder="1"/>
    <xf numFmtId="172" fontId="0" fillId="0" borderId="30" xfId="1" applyNumberFormat="1" applyFont="1" applyBorder="1"/>
    <xf numFmtId="0" fontId="6" fillId="7" borderId="27" xfId="11" applyFill="1" applyBorder="1" applyAlignment="1">
      <alignment horizontal="center"/>
    </xf>
    <xf numFmtId="0" fontId="6" fillId="7" borderId="30" xfId="11" applyFill="1" applyBorder="1" applyAlignment="1">
      <alignment horizontal="center"/>
    </xf>
    <xf numFmtId="0" fontId="21" fillId="7" borderId="31" xfId="0" applyFont="1" applyFill="1" applyBorder="1" applyAlignment="1">
      <alignment horizontal="center"/>
    </xf>
    <xf numFmtId="0" fontId="7" fillId="7" borderId="31" xfId="0" applyFont="1" applyFill="1" applyBorder="1"/>
    <xf numFmtId="172" fontId="7" fillId="7" borderId="32" xfId="0" applyNumberFormat="1" applyFont="1" applyFill="1" applyBorder="1"/>
    <xf numFmtId="0" fontId="0" fillId="0" borderId="33" xfId="0" applyBorder="1"/>
    <xf numFmtId="0" fontId="0" fillId="0" borderId="29" xfId="0" applyBorder="1" applyAlignment="1">
      <alignment horizontal="center"/>
    </xf>
    <xf numFmtId="0" fontId="0" fillId="0" borderId="29" xfId="0" applyBorder="1"/>
    <xf numFmtId="172" fontId="23" fillId="0" borderId="0" xfId="1" applyNumberFormat="1" applyFont="1" applyAlignment="1">
      <alignment horizontal="center"/>
    </xf>
    <xf numFmtId="169" fontId="2" fillId="0" borderId="1" xfId="4" applyNumberFormat="1" applyFont="1" applyBorder="1" applyAlignment="1">
      <alignment vertical="top" wrapText="1"/>
    </xf>
    <xf numFmtId="169" fontId="2" fillId="0" borderId="10" xfId="4" applyNumberFormat="1" applyFont="1" applyBorder="1" applyAlignment="1">
      <alignment vertical="top" wrapText="1"/>
    </xf>
    <xf numFmtId="175" fontId="5" fillId="5" borderId="34" xfId="3" applyNumberFormat="1" applyFont="1" applyFill="1" applyBorder="1" applyAlignment="1">
      <alignment horizontal="left"/>
    </xf>
    <xf numFmtId="175" fontId="19" fillId="5" borderId="1" xfId="3" applyNumberFormat="1" applyFont="1" applyFill="1" applyBorder="1"/>
    <xf numFmtId="0" fontId="4" fillId="2" borderId="35" xfId="0" applyFont="1" applyFill="1" applyBorder="1" applyAlignment="1">
      <alignment horizontal="center" vertical="top" wrapText="1"/>
    </xf>
    <xf numFmtId="169" fontId="5" fillId="0" borderId="30" xfId="4" applyNumberFormat="1" applyFont="1" applyBorder="1"/>
    <xf numFmtId="38" fontId="6" fillId="0" borderId="30" xfId="3" applyNumberFormat="1" applyBorder="1" applyAlignment="1">
      <alignment horizontal="right"/>
    </xf>
    <xf numFmtId="38" fontId="6" fillId="0" borderId="36" xfId="3" applyNumberFormat="1" applyBorder="1" applyAlignment="1">
      <alignment horizontal="right"/>
    </xf>
    <xf numFmtId="0" fontId="15" fillId="0" borderId="0" xfId="14" applyFont="1" applyAlignment="1">
      <alignment horizontal="center"/>
    </xf>
    <xf numFmtId="175" fontId="6" fillId="0" borderId="0" xfId="1" applyNumberFormat="1" applyFont="1" applyFill="1" applyAlignment="1">
      <alignment horizontal="center"/>
    </xf>
    <xf numFmtId="0" fontId="17" fillId="0" borderId="0" xfId="12" applyFont="1" applyAlignment="1">
      <alignment horizontal="center"/>
    </xf>
    <xf numFmtId="172" fontId="17" fillId="0" borderId="0" xfId="1" applyNumberFormat="1" applyFont="1" applyFill="1" applyAlignment="1">
      <alignment horizontal="center"/>
    </xf>
    <xf numFmtId="175" fontId="26" fillId="0" borderId="0" xfId="14" applyNumberFormat="1" applyFont="1"/>
    <xf numFmtId="169" fontId="19" fillId="0" borderId="1" xfId="4" applyNumberFormat="1" applyFont="1" applyBorder="1" applyAlignment="1">
      <alignment vertical="top" wrapText="1"/>
    </xf>
    <xf numFmtId="172" fontId="19" fillId="0" borderId="1" xfId="1" applyNumberFormat="1" applyFont="1" applyBorder="1" applyAlignment="1">
      <alignment vertical="top" wrapText="1"/>
    </xf>
    <xf numFmtId="169" fontId="19" fillId="0" borderId="37" xfId="4" applyNumberFormat="1" applyFont="1" applyBorder="1" applyAlignment="1">
      <alignment vertical="top" wrapText="1"/>
    </xf>
    <xf numFmtId="169" fontId="19" fillId="0" borderId="10" xfId="4" applyNumberFormat="1" applyFont="1" applyBorder="1" applyAlignment="1">
      <alignment vertical="top" wrapText="1"/>
    </xf>
    <xf numFmtId="172" fontId="19" fillId="0" borderId="10" xfId="1" applyNumberFormat="1" applyFont="1" applyBorder="1" applyAlignment="1">
      <alignment vertical="top" wrapText="1"/>
    </xf>
    <xf numFmtId="169" fontId="19" fillId="0" borderId="38" xfId="4" applyNumberFormat="1" applyFont="1" applyBorder="1" applyAlignment="1">
      <alignment vertical="top" wrapText="1"/>
    </xf>
    <xf numFmtId="0" fontId="7" fillId="4" borderId="28" xfId="0" applyFont="1" applyFill="1" applyBorder="1" applyAlignment="1">
      <alignment horizontal="center"/>
    </xf>
    <xf numFmtId="0" fontId="2" fillId="0" borderId="39" xfId="0" applyFont="1" applyBorder="1" applyAlignment="1">
      <alignment vertical="top" wrapText="1"/>
    </xf>
    <xf numFmtId="172" fontId="3" fillId="0" borderId="0" xfId="1" applyNumberFormat="1" applyFont="1" applyBorder="1" applyAlignment="1">
      <alignment horizontal="center" vertical="top" wrapText="1"/>
    </xf>
    <xf numFmtId="0" fontId="25" fillId="3" borderId="0" xfId="0" applyFont="1" applyFill="1" applyAlignment="1">
      <alignment vertical="top"/>
    </xf>
    <xf numFmtId="0" fontId="0" fillId="0" borderId="0" xfId="0" quotePrefix="1"/>
    <xf numFmtId="0" fontId="7" fillId="0" borderId="0" xfId="14" applyFont="1" applyAlignment="1">
      <alignment horizontal="center"/>
    </xf>
    <xf numFmtId="0" fontId="10" fillId="0" borderId="0" xfId="14" applyFont="1"/>
    <xf numFmtId="175" fontId="0" fillId="0" borderId="0" xfId="0" applyNumberFormat="1"/>
    <xf numFmtId="0" fontId="5" fillId="0" borderId="0" xfId="0" applyFont="1"/>
    <xf numFmtId="0" fontId="19" fillId="0" borderId="5" xfId="0" applyFont="1" applyBorder="1" applyAlignment="1">
      <alignment vertical="top" wrapText="1"/>
    </xf>
    <xf numFmtId="0" fontId="19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vertical="top" wrapText="1"/>
    </xf>
    <xf numFmtId="172" fontId="6" fillId="5" borderId="0" xfId="1" applyNumberFormat="1" applyFont="1" applyFill="1"/>
    <xf numFmtId="172" fontId="3" fillId="4" borderId="28" xfId="1" applyNumberFormat="1" applyFont="1" applyFill="1" applyBorder="1" applyAlignment="1">
      <alignment horizontal="left"/>
    </xf>
    <xf numFmtId="172" fontId="13" fillId="4" borderId="28" xfId="1" applyNumberFormat="1" applyFont="1" applyFill="1" applyBorder="1"/>
    <xf numFmtId="49" fontId="4" fillId="9" borderId="16" xfId="14" applyNumberFormat="1" applyFont="1" applyFill="1" applyBorder="1" applyAlignment="1">
      <alignment horizontal="center"/>
    </xf>
    <xf numFmtId="49" fontId="4" fillId="9" borderId="17" xfId="14" applyNumberFormat="1" applyFont="1" applyFill="1" applyBorder="1" applyAlignment="1">
      <alignment horizontal="center"/>
    </xf>
    <xf numFmtId="0" fontId="28" fillId="3" borderId="28" xfId="14" applyFont="1" applyFill="1" applyBorder="1" applyAlignment="1">
      <alignment horizontal="center"/>
    </xf>
    <xf numFmtId="0" fontId="28" fillId="3" borderId="0" xfId="14" applyFont="1" applyFill="1"/>
    <xf numFmtId="175" fontId="29" fillId="3" borderId="0" xfId="3" applyNumberFormat="1" applyFont="1" applyFill="1" applyAlignment="1">
      <alignment horizontal="center"/>
    </xf>
    <xf numFmtId="175" fontId="29" fillId="3" borderId="0" xfId="15" applyNumberFormat="1" applyFont="1" applyFill="1" applyAlignment="1">
      <alignment horizontal="center"/>
    </xf>
    <xf numFmtId="0" fontId="29" fillId="3" borderId="0" xfId="14" applyFont="1" applyFill="1"/>
    <xf numFmtId="0" fontId="30" fillId="0" borderId="0" xfId="14" applyFont="1"/>
    <xf numFmtId="0" fontId="29" fillId="0" borderId="0" xfId="14" applyFont="1"/>
    <xf numFmtId="0" fontId="4" fillId="9" borderId="0" xfId="12" applyFont="1" applyFill="1" applyAlignment="1">
      <alignment horizontal="center"/>
    </xf>
    <xf numFmtId="172" fontId="4" fillId="9" borderId="0" xfId="1" applyNumberFormat="1" applyFont="1" applyFill="1" applyAlignment="1">
      <alignment horizontal="center"/>
    </xf>
    <xf numFmtId="0" fontId="4" fillId="9" borderId="14" xfId="14" applyFont="1" applyFill="1" applyBorder="1" applyAlignment="1">
      <alignment horizontal="center"/>
    </xf>
    <xf numFmtId="0" fontId="4" fillId="9" borderId="19" xfId="14" applyFont="1" applyFill="1" applyBorder="1" applyAlignment="1">
      <alignment horizontal="center"/>
    </xf>
    <xf numFmtId="49" fontId="4" fillId="9" borderId="19" xfId="14" applyNumberFormat="1" applyFont="1" applyFill="1" applyBorder="1" applyAlignment="1">
      <alignment horizontal="center"/>
    </xf>
    <xf numFmtId="49" fontId="4" fillId="9" borderId="20" xfId="14" applyNumberFormat="1" applyFont="1" applyFill="1" applyBorder="1" applyAlignment="1">
      <alignment horizontal="center"/>
    </xf>
    <xf numFmtId="0" fontId="4" fillId="9" borderId="28" xfId="14" applyFont="1" applyFill="1" applyBorder="1" applyAlignment="1">
      <alignment horizontal="left"/>
    </xf>
    <xf numFmtId="0" fontId="4" fillId="9" borderId="9" xfId="14" applyFont="1" applyFill="1" applyBorder="1" applyAlignment="1">
      <alignment horizontal="center"/>
    </xf>
    <xf numFmtId="0" fontId="4" fillId="9" borderId="40" xfId="14" applyFont="1" applyFill="1" applyBorder="1" applyAlignment="1">
      <alignment horizontal="center"/>
    </xf>
    <xf numFmtId="0" fontId="4" fillId="9" borderId="9" xfId="14" applyFont="1" applyFill="1" applyBorder="1" applyAlignment="1">
      <alignment horizontal="left"/>
    </xf>
    <xf numFmtId="0" fontId="4" fillId="9" borderId="14" xfId="12" applyFont="1" applyFill="1" applyBorder="1" applyAlignment="1">
      <alignment horizontal="center"/>
    </xf>
    <xf numFmtId="172" fontId="4" fillId="9" borderId="19" xfId="1" applyNumberFormat="1" applyFont="1" applyFill="1" applyBorder="1" applyAlignment="1">
      <alignment horizontal="center"/>
    </xf>
    <xf numFmtId="0" fontId="13" fillId="4" borderId="28" xfId="0" applyFont="1" applyFill="1" applyBorder="1" applyAlignment="1">
      <alignment wrapText="1"/>
    </xf>
    <xf numFmtId="9" fontId="6" fillId="6" borderId="41" xfId="14" applyNumberFormat="1" applyFill="1" applyBorder="1"/>
    <xf numFmtId="175" fontId="31" fillId="0" borderId="3" xfId="3" applyNumberFormat="1" applyFont="1" applyBorder="1" applyAlignment="1">
      <alignment horizontal="center"/>
    </xf>
    <xf numFmtId="175" fontId="31" fillId="0" borderId="1" xfId="3" applyNumberFormat="1" applyFont="1" applyBorder="1" applyAlignment="1">
      <alignment horizontal="center"/>
    </xf>
    <xf numFmtId="175" fontId="31" fillId="0" borderId="1" xfId="1" applyNumberFormat="1" applyFont="1" applyBorder="1" applyAlignment="1">
      <alignment horizontal="center"/>
    </xf>
    <xf numFmtId="0" fontId="22" fillId="5" borderId="1" xfId="0" applyFont="1" applyFill="1" applyBorder="1"/>
    <xf numFmtId="172" fontId="22" fillId="5" borderId="1" xfId="1" applyNumberFormat="1" applyFont="1" applyFill="1" applyBorder="1"/>
    <xf numFmtId="0" fontId="22" fillId="0" borderId="1" xfId="0" applyFont="1" applyBorder="1" applyAlignment="1">
      <alignment horizontal="left" indent="1"/>
    </xf>
    <xf numFmtId="0" fontId="6" fillId="0" borderId="0" xfId="13"/>
    <xf numFmtId="17" fontId="6" fillId="0" borderId="0" xfId="13" applyNumberFormat="1"/>
    <xf numFmtId="10" fontId="6" fillId="0" borderId="0" xfId="15" applyNumberFormat="1" applyFont="1"/>
    <xf numFmtId="10" fontId="6" fillId="0" borderId="0" xfId="13" applyNumberFormat="1"/>
    <xf numFmtId="43" fontId="6" fillId="0" borderId="0" xfId="3" applyAlignment="1">
      <alignment horizontal="center"/>
    </xf>
    <xf numFmtId="172" fontId="6" fillId="0" borderId="30" xfId="1" applyNumberFormat="1" applyFont="1" applyBorder="1"/>
    <xf numFmtId="170" fontId="18" fillId="0" borderId="1" xfId="15" applyNumberFormat="1" applyFont="1" applyBorder="1"/>
    <xf numFmtId="0" fontId="0" fillId="0" borderId="42" xfId="0" applyBorder="1"/>
    <xf numFmtId="0" fontId="21" fillId="7" borderId="29" xfId="0" applyFont="1" applyFill="1" applyBorder="1" applyAlignment="1">
      <alignment horizontal="center"/>
    </xf>
    <xf numFmtId="0" fontId="7" fillId="7" borderId="29" xfId="0" applyFont="1" applyFill="1" applyBorder="1"/>
    <xf numFmtId="0" fontId="0" fillId="0" borderId="43" xfId="0" applyBorder="1" applyAlignment="1">
      <alignment horizontal="center"/>
    </xf>
    <xf numFmtId="0" fontId="0" fillId="0" borderId="43" xfId="0" applyBorder="1"/>
    <xf numFmtId="0" fontId="0" fillId="0" borderId="44" xfId="0" applyBorder="1" applyAlignment="1">
      <alignment horizontal="center"/>
    </xf>
    <xf numFmtId="0" fontId="4" fillId="3" borderId="43" xfId="0" applyFont="1" applyFill="1" applyBorder="1"/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21" fillId="7" borderId="46" xfId="0" applyFont="1" applyFill="1" applyBorder="1" applyAlignment="1">
      <alignment horizontal="center"/>
    </xf>
    <xf numFmtId="0" fontId="21" fillId="7" borderId="47" xfId="0" applyFont="1" applyFill="1" applyBorder="1" applyAlignment="1">
      <alignment horizontal="center"/>
    </xf>
    <xf numFmtId="172" fontId="7" fillId="0" borderId="27" xfId="1" applyNumberFormat="1" applyFont="1" applyBorder="1"/>
    <xf numFmtId="172" fontId="24" fillId="0" borderId="27" xfId="1" applyNumberFormat="1" applyFont="1" applyBorder="1"/>
    <xf numFmtId="172" fontId="7" fillId="0" borderId="30" xfId="1" applyNumberFormat="1" applyFont="1" applyBorder="1"/>
    <xf numFmtId="172" fontId="24" fillId="0" borderId="30" xfId="1" applyNumberFormat="1" applyFont="1" applyBorder="1"/>
    <xf numFmtId="10" fontId="0" fillId="0" borderId="28" xfId="0" applyNumberFormat="1" applyBorder="1"/>
    <xf numFmtId="2" fontId="0" fillId="0" borderId="0" xfId="0" applyNumberFormat="1" applyAlignment="1">
      <alignment horizontal="center"/>
    </xf>
    <xf numFmtId="3" fontId="0" fillId="0" borderId="0" xfId="0" applyNumberFormat="1"/>
    <xf numFmtId="0" fontId="0" fillId="0" borderId="48" xfId="0" applyBorder="1" applyAlignment="1">
      <alignment horizontal="center"/>
    </xf>
    <xf numFmtId="2" fontId="0" fillId="0" borderId="49" xfId="0" applyNumberFormat="1" applyBorder="1" applyAlignment="1">
      <alignment horizontal="center"/>
    </xf>
    <xf numFmtId="0" fontId="0" fillId="0" borderId="49" xfId="0" applyBorder="1"/>
    <xf numFmtId="3" fontId="0" fillId="0" borderId="49" xfId="0" applyNumberFormat="1" applyBorder="1"/>
    <xf numFmtId="3" fontId="6" fillId="0" borderId="1" xfId="4" applyNumberFormat="1" applyFont="1" applyBorder="1" applyAlignment="1">
      <alignment horizontal="center"/>
    </xf>
    <xf numFmtId="3" fontId="6" fillId="0" borderId="27" xfId="4" applyNumberFormat="1" applyFont="1" applyBorder="1" applyAlignment="1">
      <alignment horizontal="center"/>
    </xf>
    <xf numFmtId="0" fontId="10" fillId="0" borderId="0" xfId="14" applyFont="1" applyAlignment="1">
      <alignment horizontal="center"/>
    </xf>
    <xf numFmtId="175" fontId="6" fillId="5" borderId="1" xfId="3" applyNumberFormat="1" applyFill="1" applyBorder="1" applyAlignment="1">
      <alignment horizontal="center"/>
    </xf>
    <xf numFmtId="175" fontId="6" fillId="5" borderId="1" xfId="1" applyNumberFormat="1" applyFont="1" applyFill="1" applyBorder="1" applyAlignment="1">
      <alignment horizontal="center"/>
    </xf>
    <xf numFmtId="175" fontId="6" fillId="5" borderId="3" xfId="3" applyNumberFormat="1" applyFont="1" applyFill="1" applyBorder="1" applyAlignment="1">
      <alignment horizontal="center"/>
    </xf>
    <xf numFmtId="175" fontId="6" fillId="5" borderId="1" xfId="3" applyNumberFormat="1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7" fillId="0" borderId="0" xfId="0" applyFont="1"/>
    <xf numFmtId="0" fontId="0" fillId="0" borderId="44" xfId="0" applyBorder="1" applyAlignment="1">
      <alignment horizontal="left"/>
    </xf>
    <xf numFmtId="0" fontId="3" fillId="0" borderId="45" xfId="0" applyFont="1" applyBorder="1" applyAlignment="1">
      <alignment horizontal="center"/>
    </xf>
    <xf numFmtId="0" fontId="3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3" fontId="0" fillId="0" borderId="49" xfId="0" applyNumberFormat="1" applyBorder="1" applyAlignment="1">
      <alignment horizontal="center"/>
    </xf>
    <xf numFmtId="175" fontId="6" fillId="0" borderId="0" xfId="3" applyNumberFormat="1" applyBorder="1"/>
    <xf numFmtId="168" fontId="6" fillId="0" borderId="0" xfId="1" applyFont="1" applyBorder="1"/>
    <xf numFmtId="0" fontId="1" fillId="0" borderId="0" xfId="0" applyFont="1"/>
    <xf numFmtId="0" fontId="1" fillId="0" borderId="1" xfId="0" applyFont="1" applyBorder="1" applyAlignment="1">
      <alignment horizontal="left" indent="1"/>
    </xf>
    <xf numFmtId="0" fontId="5" fillId="0" borderId="1" xfId="0" applyFont="1" applyBorder="1" applyAlignment="1">
      <alignment vertical="top" wrapText="1"/>
    </xf>
    <xf numFmtId="0" fontId="32" fillId="0" borderId="0" xfId="0" applyFont="1"/>
    <xf numFmtId="170" fontId="18" fillId="0" borderId="0" xfId="15" applyNumberFormat="1" applyFont="1" applyBorder="1"/>
    <xf numFmtId="175" fontId="5" fillId="0" borderId="3" xfId="3" applyNumberFormat="1" applyFont="1" applyBorder="1" applyAlignment="1">
      <alignment horizontal="center"/>
    </xf>
    <xf numFmtId="175" fontId="5" fillId="0" borderId="1" xfId="3" applyNumberFormat="1" applyFont="1" applyBorder="1" applyAlignment="1">
      <alignment horizontal="center"/>
    </xf>
    <xf numFmtId="175" fontId="5" fillId="0" borderId="1" xfId="1" applyNumberFormat="1" applyFont="1" applyBorder="1" applyAlignment="1">
      <alignment horizontal="center"/>
    </xf>
    <xf numFmtId="175" fontId="7" fillId="0" borderId="9" xfId="3" applyNumberFormat="1" applyFont="1" applyBorder="1" applyAlignment="1">
      <alignment horizontal="left"/>
    </xf>
    <xf numFmtId="0" fontId="6" fillId="0" borderId="33" xfId="14" applyBorder="1"/>
    <xf numFmtId="169" fontId="5" fillId="0" borderId="0" xfId="4" applyNumberFormat="1" applyFont="1" applyBorder="1"/>
    <xf numFmtId="38" fontId="6" fillId="0" borderId="0" xfId="3" applyNumberFormat="1" applyBorder="1" applyAlignment="1">
      <alignment horizontal="right"/>
    </xf>
    <xf numFmtId="0" fontId="7" fillId="0" borderId="0" xfId="14" applyFont="1"/>
    <xf numFmtId="175" fontId="6" fillId="0" borderId="0" xfId="1" applyNumberFormat="1" applyFont="1" applyFill="1" applyBorder="1" applyAlignment="1">
      <alignment horizontal="center"/>
    </xf>
    <xf numFmtId="175" fontId="6" fillId="0" borderId="50" xfId="1" applyNumberFormat="1" applyFont="1" applyFill="1" applyBorder="1" applyAlignment="1">
      <alignment horizontal="center"/>
    </xf>
    <xf numFmtId="172" fontId="4" fillId="9" borderId="0" xfId="1" applyNumberFormat="1" applyFont="1" applyFill="1" applyBorder="1" applyAlignment="1">
      <alignment horizontal="center"/>
    </xf>
    <xf numFmtId="0" fontId="6" fillId="0" borderId="51" xfId="14" applyBorder="1"/>
    <xf numFmtId="175" fontId="6" fillId="0" borderId="0" xfId="3" applyNumberFormat="1" applyBorder="1" applyAlignment="1">
      <alignment horizontal="center"/>
    </xf>
    <xf numFmtId="175" fontId="6" fillId="0" borderId="50" xfId="14" applyNumberFormat="1" applyBorder="1" applyAlignment="1">
      <alignment horizontal="center"/>
    </xf>
    <xf numFmtId="172" fontId="17" fillId="0" borderId="0" xfId="1" applyNumberFormat="1" applyFont="1" applyFill="1" applyBorder="1" applyAlignment="1">
      <alignment horizontal="center"/>
    </xf>
    <xf numFmtId="0" fontId="7" fillId="0" borderId="51" xfId="14" applyFont="1" applyBorder="1"/>
    <xf numFmtId="172" fontId="2" fillId="0" borderId="1" xfId="1" applyNumberFormat="1" applyFont="1" applyFill="1" applyBorder="1"/>
    <xf numFmtId="172" fontId="22" fillId="0" borderId="1" xfId="1" applyNumberFormat="1" applyFont="1" applyFill="1" applyBorder="1"/>
    <xf numFmtId="9" fontId="6" fillId="0" borderId="0" xfId="15" applyFont="1" applyAlignment="1">
      <alignment horizontal="center"/>
    </xf>
    <xf numFmtId="175" fontId="18" fillId="0" borderId="1" xfId="3" applyNumberFormat="1" applyFont="1" applyBorder="1" applyAlignment="1">
      <alignment horizontal="center"/>
    </xf>
    <xf numFmtId="0" fontId="5" fillId="0" borderId="1" xfId="14" applyFont="1" applyBorder="1"/>
    <xf numFmtId="172" fontId="5" fillId="0" borderId="1" xfId="1" applyNumberFormat="1" applyFont="1" applyFill="1" applyBorder="1"/>
    <xf numFmtId="169" fontId="3" fillId="0" borderId="28" xfId="4" applyNumberFormat="1" applyFont="1" applyBorder="1" applyAlignment="1">
      <alignment vertical="top" wrapText="1"/>
    </xf>
    <xf numFmtId="0" fontId="1" fillId="0" borderId="0" xfId="0" applyFont="1" applyAlignment="1">
      <alignment vertical="top" wrapText="1"/>
    </xf>
    <xf numFmtId="172" fontId="1" fillId="0" borderId="0" xfId="1" applyNumberFormat="1" applyFont="1" applyBorder="1" applyAlignment="1">
      <alignment vertical="top" wrapText="1"/>
    </xf>
    <xf numFmtId="0" fontId="1" fillId="0" borderId="0" xfId="0" applyFont="1" applyAlignment="1">
      <alignment horizontal="center" vertical="top" wrapText="1"/>
    </xf>
    <xf numFmtId="169" fontId="1" fillId="0" borderId="0" xfId="4" applyNumberFormat="1" applyFont="1" applyBorder="1" applyAlignment="1">
      <alignment vertical="top" wrapText="1"/>
    </xf>
    <xf numFmtId="0" fontId="1" fillId="0" borderId="5" xfId="0" applyFont="1" applyBorder="1" applyAlignment="1">
      <alignment vertical="top" wrapText="1"/>
    </xf>
    <xf numFmtId="169" fontId="1" fillId="0" borderId="1" xfId="4" applyNumberFormat="1" applyFont="1" applyBorder="1" applyAlignment="1">
      <alignment vertical="top" wrapText="1"/>
    </xf>
    <xf numFmtId="169" fontId="5" fillId="0" borderId="1" xfId="4" applyNumberFormat="1" applyFont="1" applyBorder="1" applyAlignment="1">
      <alignment vertical="top" wrapText="1"/>
    </xf>
    <xf numFmtId="172" fontId="5" fillId="0" borderId="1" xfId="1" applyNumberFormat="1" applyFont="1" applyBorder="1" applyAlignment="1">
      <alignment vertical="top" wrapText="1"/>
    </xf>
    <xf numFmtId="169" fontId="5" fillId="0" borderId="37" xfId="4" applyNumberFormat="1" applyFont="1" applyBorder="1" applyAlignment="1">
      <alignment vertical="top" wrapText="1"/>
    </xf>
    <xf numFmtId="176" fontId="1" fillId="0" borderId="0" xfId="0" applyNumberFormat="1" applyFont="1" applyAlignment="1">
      <alignment vertical="top" wrapText="1"/>
    </xf>
    <xf numFmtId="0" fontId="1" fillId="0" borderId="39" xfId="0" applyFont="1" applyBorder="1" applyAlignment="1">
      <alignment vertical="top" wrapText="1"/>
    </xf>
    <xf numFmtId="169" fontId="1" fillId="0" borderId="0" xfId="0" applyNumberFormat="1" applyFont="1" applyAlignment="1">
      <alignment vertical="top" wrapText="1"/>
    </xf>
    <xf numFmtId="172" fontId="1" fillId="0" borderId="0" xfId="0" applyNumberFormat="1" applyFont="1" applyAlignment="1">
      <alignment horizontal="center" vertical="top" wrapText="1"/>
    </xf>
    <xf numFmtId="172" fontId="1" fillId="0" borderId="0" xfId="0" applyNumberFormat="1" applyFont="1" applyAlignment="1">
      <alignment vertical="top" wrapText="1"/>
    </xf>
    <xf numFmtId="0" fontId="5" fillId="0" borderId="5" xfId="0" applyFont="1" applyBorder="1" applyAlignment="1">
      <alignment vertical="top" wrapText="1"/>
    </xf>
    <xf numFmtId="169" fontId="1" fillId="0" borderId="12" xfId="4" applyNumberFormat="1" applyFont="1" applyBorder="1" applyAlignment="1">
      <alignment vertical="top" wrapText="1"/>
    </xf>
    <xf numFmtId="0" fontId="5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169" fontId="1" fillId="0" borderId="6" xfId="4" applyNumberFormat="1" applyFont="1" applyBorder="1" applyAlignment="1">
      <alignment vertical="top" wrapText="1"/>
    </xf>
    <xf numFmtId="0" fontId="5" fillId="0" borderId="7" xfId="0" applyFont="1" applyBorder="1" applyAlignment="1">
      <alignment vertical="top" wrapText="1"/>
    </xf>
    <xf numFmtId="169" fontId="1" fillId="0" borderId="13" xfId="4" applyNumberFormat="1" applyFont="1" applyBorder="1" applyAlignment="1">
      <alignment vertical="top" wrapText="1"/>
    </xf>
    <xf numFmtId="0" fontId="5" fillId="0" borderId="10" xfId="0" applyFont="1" applyBorder="1" applyAlignment="1">
      <alignment horizontal="center" vertical="top" wrapText="1"/>
    </xf>
    <xf numFmtId="0" fontId="1" fillId="0" borderId="10" xfId="0" applyFont="1" applyBorder="1" applyAlignment="1">
      <alignment horizontal="center" vertical="top" wrapText="1"/>
    </xf>
    <xf numFmtId="0" fontId="5" fillId="0" borderId="10" xfId="0" applyFont="1" applyBorder="1" applyAlignment="1">
      <alignment vertical="top" wrapText="1"/>
    </xf>
    <xf numFmtId="169" fontId="1" fillId="0" borderId="8" xfId="4" applyNumberFormat="1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169" fontId="3" fillId="0" borderId="31" xfId="0" applyNumberFormat="1" applyFont="1" applyBorder="1" applyAlignment="1">
      <alignment vertical="top" wrapText="1"/>
    </xf>
    <xf numFmtId="172" fontId="6" fillId="0" borderId="1" xfId="1" applyNumberFormat="1" applyFont="1" applyFill="1" applyBorder="1"/>
    <xf numFmtId="172" fontId="6" fillId="5" borderId="0" xfId="0" applyNumberFormat="1" applyFont="1" applyFill="1"/>
    <xf numFmtId="171" fontId="7" fillId="0" borderId="52" xfId="6" applyNumberFormat="1" applyFont="1" applyFill="1" applyBorder="1"/>
    <xf numFmtId="0" fontId="6" fillId="6" borderId="53" xfId="14" applyFill="1" applyBorder="1"/>
    <xf numFmtId="49" fontId="6" fillId="0" borderId="0" xfId="14" applyNumberFormat="1"/>
    <xf numFmtId="49" fontId="6" fillId="0" borderId="0" xfId="14" applyNumberFormat="1" applyAlignment="1">
      <alignment horizontal="center"/>
    </xf>
    <xf numFmtId="49" fontId="4" fillId="9" borderId="16" xfId="3" applyNumberFormat="1" applyFont="1" applyFill="1" applyBorder="1" applyAlignment="1">
      <alignment horizontal="center"/>
    </xf>
    <xf numFmtId="49" fontId="6" fillId="6" borderId="54" xfId="14" applyNumberFormat="1" applyFill="1" applyBorder="1"/>
    <xf numFmtId="10" fontId="4" fillId="3" borderId="0" xfId="13" applyNumberFormat="1" applyFont="1" applyFill="1"/>
    <xf numFmtId="180" fontId="6" fillId="0" borderId="0" xfId="13" applyNumberFormat="1"/>
    <xf numFmtId="10" fontId="6" fillId="0" borderId="55" xfId="15" applyNumberFormat="1" applyFont="1" applyBorder="1"/>
    <xf numFmtId="10" fontId="6" fillId="0" borderId="29" xfId="13" applyNumberFormat="1" applyBorder="1"/>
    <xf numFmtId="10" fontId="6" fillId="0" borderId="42" xfId="13" applyNumberFormat="1" applyBorder="1"/>
    <xf numFmtId="10" fontId="6" fillId="0" borderId="36" xfId="15" applyNumberFormat="1" applyFont="1" applyBorder="1"/>
    <xf numFmtId="10" fontId="6" fillId="0" borderId="0" xfId="15" applyNumberFormat="1" applyFont="1" applyBorder="1"/>
    <xf numFmtId="10" fontId="6" fillId="0" borderId="33" xfId="13" applyNumberFormat="1" applyBorder="1"/>
    <xf numFmtId="10" fontId="6" fillId="0" borderId="33" xfId="15" applyNumberFormat="1" applyFont="1" applyBorder="1"/>
    <xf numFmtId="10" fontId="6" fillId="0" borderId="36" xfId="13" applyNumberFormat="1" applyBorder="1"/>
    <xf numFmtId="10" fontId="6" fillId="0" borderId="56" xfId="13" applyNumberFormat="1" applyBorder="1"/>
    <xf numFmtId="10" fontId="6" fillId="0" borderId="57" xfId="13" applyNumberFormat="1" applyBorder="1"/>
    <xf numFmtId="10" fontId="6" fillId="0" borderId="58" xfId="15" applyNumberFormat="1" applyFont="1" applyBorder="1"/>
    <xf numFmtId="0" fontId="6" fillId="0" borderId="1" xfId="13" applyBorder="1" applyAlignment="1">
      <alignment horizontal="center"/>
    </xf>
    <xf numFmtId="17" fontId="6" fillId="0" borderId="1" xfId="13" applyNumberFormat="1" applyBorder="1"/>
    <xf numFmtId="0" fontId="6" fillId="0" borderId="59" xfId="13" applyBorder="1" applyAlignment="1">
      <alignment horizontal="center"/>
    </xf>
    <xf numFmtId="0" fontId="6" fillId="0" borderId="12" xfId="13" applyBorder="1" applyAlignment="1">
      <alignment horizontal="center"/>
    </xf>
    <xf numFmtId="10" fontId="6" fillId="0" borderId="27" xfId="13" applyNumberFormat="1" applyBorder="1"/>
    <xf numFmtId="10" fontId="6" fillId="0" borderId="30" xfId="15" applyNumberFormat="1" applyFont="1" applyBorder="1"/>
    <xf numFmtId="10" fontId="6" fillId="0" borderId="30" xfId="13" applyNumberFormat="1" applyBorder="1"/>
    <xf numFmtId="10" fontId="6" fillId="0" borderId="34" xfId="13" applyNumberFormat="1" applyBorder="1"/>
    <xf numFmtId="0" fontId="6" fillId="0" borderId="60" xfId="13" applyBorder="1" applyAlignment="1">
      <alignment horizontal="center"/>
    </xf>
    <xf numFmtId="10" fontId="6" fillId="10" borderId="60" xfId="13" applyNumberFormat="1" applyFill="1" applyBorder="1"/>
    <xf numFmtId="0" fontId="6" fillId="0" borderId="60" xfId="13" applyBorder="1"/>
    <xf numFmtId="0" fontId="6" fillId="6" borderId="27" xfId="13" applyFill="1" applyBorder="1"/>
    <xf numFmtId="0" fontId="6" fillId="6" borderId="30" xfId="13" applyFill="1" applyBorder="1"/>
    <xf numFmtId="10" fontId="6" fillId="6" borderId="30" xfId="15" applyNumberFormat="1" applyFont="1" applyFill="1" applyBorder="1"/>
    <xf numFmtId="10" fontId="6" fillId="6" borderId="1" xfId="13" applyNumberFormat="1" applyFill="1" applyBorder="1"/>
    <xf numFmtId="10" fontId="6" fillId="6" borderId="34" xfId="13" applyNumberFormat="1" applyFill="1" applyBorder="1"/>
    <xf numFmtId="0" fontId="5" fillId="0" borderId="5" xfId="14" applyFont="1" applyBorder="1"/>
    <xf numFmtId="175" fontId="5" fillId="0" borderId="1" xfId="3" applyNumberFormat="1" applyFont="1" applyBorder="1"/>
    <xf numFmtId="0" fontId="0" fillId="0" borderId="61" xfId="0" applyBorder="1"/>
    <xf numFmtId="43" fontId="0" fillId="0" borderId="61" xfId="0" applyNumberFormat="1" applyBorder="1"/>
    <xf numFmtId="172" fontId="7" fillId="0" borderId="61" xfId="0" applyNumberFormat="1" applyFont="1" applyBorder="1"/>
    <xf numFmtId="43" fontId="0" fillId="0" borderId="0" xfId="0" applyNumberFormat="1"/>
    <xf numFmtId="175" fontId="6" fillId="5" borderId="34" xfId="3" applyNumberFormat="1" applyFill="1" applyBorder="1"/>
    <xf numFmtId="0" fontId="1" fillId="0" borderId="0" xfId="10"/>
    <xf numFmtId="0" fontId="6" fillId="0" borderId="0" xfId="10" applyFont="1"/>
    <xf numFmtId="172" fontId="1" fillId="0" borderId="1" xfId="1" applyNumberFormat="1" applyFont="1" applyBorder="1"/>
    <xf numFmtId="0" fontId="7" fillId="4" borderId="28" xfId="10" applyFont="1" applyFill="1" applyBorder="1" applyAlignment="1">
      <alignment wrapText="1"/>
    </xf>
    <xf numFmtId="0" fontId="1" fillId="8" borderId="0" xfId="10" applyFill="1"/>
    <xf numFmtId="0" fontId="6" fillId="8" borderId="0" xfId="10" applyFont="1" applyFill="1"/>
    <xf numFmtId="0" fontId="1" fillId="0" borderId="0" xfId="10" applyAlignment="1">
      <alignment horizontal="left" indent="1"/>
    </xf>
    <xf numFmtId="9" fontId="6" fillId="0" borderId="0" xfId="10" applyNumberFormat="1" applyFont="1"/>
    <xf numFmtId="0" fontId="3" fillId="4" borderId="14" xfId="10" applyFont="1" applyFill="1" applyBorder="1" applyAlignment="1">
      <alignment horizontal="left"/>
    </xf>
    <xf numFmtId="172" fontId="1" fillId="0" borderId="0" xfId="1" applyNumberFormat="1" applyFont="1"/>
    <xf numFmtId="0" fontId="3" fillId="0" borderId="0" xfId="10" applyFont="1" applyAlignment="1">
      <alignment horizontal="left"/>
    </xf>
    <xf numFmtId="172" fontId="7" fillId="0" borderId="0" xfId="1" applyNumberFormat="1" applyFont="1"/>
    <xf numFmtId="0" fontId="7" fillId="0" borderId="0" xfId="10" applyFont="1" applyAlignment="1">
      <alignment wrapText="1"/>
    </xf>
    <xf numFmtId="0" fontId="1" fillId="0" borderId="27" xfId="10" applyBorder="1"/>
    <xf numFmtId="0" fontId="1" fillId="5" borderId="0" xfId="10" applyFill="1"/>
    <xf numFmtId="0" fontId="6" fillId="5" borderId="0" xfId="10" applyFont="1" applyFill="1"/>
    <xf numFmtId="172" fontId="1" fillId="5" borderId="1" xfId="1" applyNumberFormat="1" applyFont="1" applyFill="1" applyBorder="1"/>
    <xf numFmtId="0" fontId="1" fillId="5" borderId="1" xfId="10" applyFill="1" applyBorder="1"/>
    <xf numFmtId="0" fontId="3" fillId="0" borderId="1" xfId="10" applyFont="1" applyBorder="1"/>
    <xf numFmtId="0" fontId="1" fillId="0" borderId="1" xfId="10" applyBorder="1" applyAlignment="1">
      <alignment horizontal="left" indent="1"/>
    </xf>
    <xf numFmtId="0" fontId="11" fillId="0" borderId="0" xfId="10" applyFont="1"/>
    <xf numFmtId="172" fontId="1" fillId="0" borderId="1" xfId="1" applyNumberFormat="1" applyBorder="1"/>
    <xf numFmtId="0" fontId="1" fillId="0" borderId="1" xfId="10" applyBorder="1" applyAlignment="1">
      <alignment horizontal="left"/>
    </xf>
    <xf numFmtId="172" fontId="1" fillId="0" borderId="0" xfId="1" applyNumberFormat="1"/>
    <xf numFmtId="0" fontId="11" fillId="0" borderId="0" xfId="10" applyFont="1" applyAlignment="1">
      <alignment horizontal="right"/>
    </xf>
    <xf numFmtId="172" fontId="1" fillId="5" borderId="59" xfId="1" applyNumberFormat="1" applyFont="1" applyFill="1" applyBorder="1"/>
    <xf numFmtId="172" fontId="3" fillId="4" borderId="28" xfId="1" applyNumberFormat="1" applyFont="1" applyFill="1" applyBorder="1"/>
    <xf numFmtId="172" fontId="3" fillId="4" borderId="9" xfId="1" applyNumberFormat="1" applyFont="1" applyFill="1" applyBorder="1"/>
    <xf numFmtId="172" fontId="1" fillId="5" borderId="34" xfId="1" applyNumberFormat="1" applyFont="1" applyFill="1" applyBorder="1"/>
    <xf numFmtId="172" fontId="7" fillId="4" borderId="28" xfId="1" applyNumberFormat="1" applyFont="1" applyFill="1" applyBorder="1"/>
    <xf numFmtId="0" fontId="3" fillId="4" borderId="9" xfId="0" applyFont="1" applyFill="1" applyBorder="1" applyAlignment="1">
      <alignment horizontal="left"/>
    </xf>
    <xf numFmtId="172" fontId="13" fillId="4" borderId="28" xfId="1" applyNumberFormat="1" applyFont="1" applyFill="1" applyBorder="1" applyAlignment="1">
      <alignment wrapText="1"/>
    </xf>
    <xf numFmtId="0" fontId="13" fillId="4" borderId="9" xfId="0" applyFont="1" applyFill="1" applyBorder="1" applyAlignment="1">
      <alignment wrapText="1"/>
    </xf>
    <xf numFmtId="172" fontId="13" fillId="4" borderId="9" xfId="1" applyNumberFormat="1" applyFont="1" applyFill="1" applyBorder="1"/>
    <xf numFmtId="172" fontId="3" fillId="0" borderId="1" xfId="1" applyNumberFormat="1" applyFont="1" applyFill="1" applyBorder="1"/>
    <xf numFmtId="175" fontId="7" fillId="4" borderId="28" xfId="1" applyNumberFormat="1" applyFont="1" applyFill="1" applyBorder="1"/>
    <xf numFmtId="0" fontId="2" fillId="0" borderId="27" xfId="0" applyFont="1" applyBorder="1" applyAlignment="1">
      <alignment wrapText="1"/>
    </xf>
    <xf numFmtId="170" fontId="7" fillId="0" borderId="0" xfId="15" applyNumberFormat="1" applyFont="1" applyBorder="1"/>
    <xf numFmtId="0" fontId="6" fillId="8" borderId="27" xfId="10" applyFont="1" applyFill="1" applyBorder="1" applyAlignment="1">
      <alignment wrapText="1"/>
    </xf>
    <xf numFmtId="9" fontId="6" fillId="8" borderId="27" xfId="15" applyFont="1" applyFill="1" applyBorder="1"/>
    <xf numFmtId="172" fontId="7" fillId="0" borderId="0" xfId="1" applyNumberFormat="1" applyFont="1" applyFill="1" applyBorder="1"/>
    <xf numFmtId="0" fontId="0" fillId="0" borderId="0" xfId="0" applyAlignment="1">
      <alignment horizontal="left" vertical="top"/>
    </xf>
    <xf numFmtId="0" fontId="0" fillId="0" borderId="36" xfId="0" applyBorder="1"/>
    <xf numFmtId="3" fontId="7" fillId="0" borderId="0" xfId="0" applyNumberFormat="1" applyFont="1"/>
    <xf numFmtId="9" fontId="35" fillId="0" borderId="0" xfId="15" applyFont="1" applyFill="1" applyBorder="1"/>
    <xf numFmtId="172" fontId="6" fillId="0" borderId="0" xfId="1" applyNumberFormat="1" applyFont="1" applyBorder="1"/>
    <xf numFmtId="172" fontId="6" fillId="0" borderId="0" xfId="1" applyNumberFormat="1" applyFont="1" applyFill="1"/>
    <xf numFmtId="172" fontId="6" fillId="0" borderId="0" xfId="1" applyNumberFormat="1" applyFont="1"/>
    <xf numFmtId="179" fontId="6" fillId="0" borderId="1" xfId="1" applyNumberFormat="1" applyFont="1" applyFill="1" applyBorder="1"/>
    <xf numFmtId="0" fontId="5" fillId="0" borderId="27" xfId="14" applyFont="1" applyBorder="1"/>
    <xf numFmtId="172" fontId="5" fillId="0" borderId="27" xfId="1" applyNumberFormat="1" applyFont="1" applyFill="1" applyBorder="1"/>
    <xf numFmtId="172" fontId="6" fillId="5" borderId="27" xfId="1" applyNumberFormat="1" applyFont="1" applyFill="1" applyBorder="1"/>
    <xf numFmtId="9" fontId="5" fillId="0" borderId="1" xfId="15" applyFont="1" applyBorder="1"/>
    <xf numFmtId="9" fontId="5" fillId="0" borderId="27" xfId="15" applyFont="1" applyBorder="1"/>
    <xf numFmtId="175" fontId="5" fillId="0" borderId="59" xfId="3" applyNumberFormat="1" applyFont="1" applyBorder="1"/>
    <xf numFmtId="172" fontId="35" fillId="0" borderId="1" xfId="1" applyNumberFormat="1" applyFont="1" applyFill="1" applyBorder="1"/>
    <xf numFmtId="172" fontId="13" fillId="4" borderId="28" xfId="1" applyNumberFormat="1" applyFont="1" applyFill="1" applyBorder="1" applyAlignment="1">
      <alignment horizontal="right"/>
    </xf>
    <xf numFmtId="0" fontId="18" fillId="0" borderId="5" xfId="14" applyFont="1" applyBorder="1"/>
    <xf numFmtId="0" fontId="18" fillId="0" borderId="1" xfId="14" applyFont="1" applyBorder="1"/>
    <xf numFmtId="0" fontId="46" fillId="0" borderId="0" xfId="0" applyFont="1"/>
    <xf numFmtId="2" fontId="46" fillId="0" borderId="0" xfId="0" applyNumberFormat="1" applyFont="1"/>
    <xf numFmtId="0" fontId="45" fillId="0" borderId="0" xfId="0" applyFont="1"/>
    <xf numFmtId="2" fontId="0" fillId="0" borderId="0" xfId="0" applyNumberFormat="1"/>
    <xf numFmtId="0" fontId="47" fillId="0" borderId="0" xfId="0" applyFont="1" applyAlignment="1">
      <alignment horizontal="center"/>
    </xf>
    <xf numFmtId="2" fontId="47" fillId="0" borderId="0" xfId="0" applyNumberFormat="1" applyFont="1" applyAlignment="1">
      <alignment horizontal="center"/>
    </xf>
    <xf numFmtId="0" fontId="47" fillId="11" borderId="65" xfId="0" applyFont="1" applyFill="1" applyBorder="1" applyAlignment="1">
      <alignment horizontal="center" wrapText="1"/>
    </xf>
    <xf numFmtId="0" fontId="47" fillId="11" borderId="66" xfId="0" applyFont="1" applyFill="1" applyBorder="1" applyAlignment="1">
      <alignment horizontal="center" wrapText="1"/>
    </xf>
    <xf numFmtId="0" fontId="45" fillId="0" borderId="0" xfId="0" applyFont="1" applyAlignment="1">
      <alignment horizontal="left" vertical="top"/>
    </xf>
    <xf numFmtId="0" fontId="45" fillId="0" borderId="0" xfId="0" applyFont="1" applyAlignment="1">
      <alignment horizontal="center"/>
    </xf>
    <xf numFmtId="175" fontId="44" fillId="0" borderId="0" xfId="1" applyNumberFormat="1" applyFont="1" applyFill="1" applyAlignment="1">
      <alignment horizontal="center"/>
    </xf>
    <xf numFmtId="0" fontId="45" fillId="0" borderId="33" xfId="0" applyFont="1" applyBorder="1" applyAlignment="1">
      <alignment horizontal="center"/>
    </xf>
    <xf numFmtId="170" fontId="45" fillId="0" borderId="36" xfId="0" applyNumberFormat="1" applyFont="1" applyBorder="1" applyAlignment="1">
      <alignment horizontal="right"/>
    </xf>
    <xf numFmtId="0" fontId="0" fillId="0" borderId="36" xfId="1" applyNumberFormat="1" applyFont="1" applyBorder="1" applyAlignment="1">
      <alignment horizontal="left"/>
    </xf>
    <xf numFmtId="10" fontId="0" fillId="0" borderId="33" xfId="15" applyNumberFormat="1" applyFont="1" applyFill="1" applyBorder="1"/>
    <xf numFmtId="0" fontId="45" fillId="11" borderId="51" xfId="1" applyNumberFormat="1" applyFont="1" applyFill="1" applyBorder="1" applyAlignment="1">
      <alignment horizontal="left"/>
    </xf>
    <xf numFmtId="175" fontId="45" fillId="11" borderId="50" xfId="1" applyNumberFormat="1" applyFont="1" applyFill="1" applyBorder="1"/>
    <xf numFmtId="2" fontId="45" fillId="0" borderId="0" xfId="0" applyNumberFormat="1" applyFont="1" applyAlignment="1">
      <alignment horizontal="center"/>
    </xf>
    <xf numFmtId="175" fontId="0" fillId="0" borderId="0" xfId="1" applyNumberFormat="1" applyFont="1"/>
    <xf numFmtId="9" fontId="44" fillId="0" borderId="0" xfId="15" applyFont="1" applyFill="1"/>
    <xf numFmtId="175" fontId="0" fillId="0" borderId="36" xfId="1" applyNumberFormat="1" applyFont="1" applyBorder="1"/>
    <xf numFmtId="175" fontId="0" fillId="0" borderId="33" xfId="1" applyNumberFormat="1" applyFont="1" applyBorder="1"/>
    <xf numFmtId="175" fontId="0" fillId="0" borderId="0" xfId="1" applyNumberFormat="1" applyFont="1" applyBorder="1"/>
    <xf numFmtId="0" fontId="0" fillId="0" borderId="36" xfId="1" quotePrefix="1" applyNumberFormat="1" applyFont="1" applyBorder="1" applyAlignment="1">
      <alignment horizontal="left"/>
    </xf>
    <xf numFmtId="0" fontId="47" fillId="0" borderId="30" xfId="0" applyFont="1" applyBorder="1"/>
    <xf numFmtId="181" fontId="45" fillId="11" borderId="50" xfId="1" applyNumberFormat="1" applyFont="1" applyFill="1" applyBorder="1"/>
    <xf numFmtId="2" fontId="0" fillId="0" borderId="0" xfId="1" applyNumberFormat="1" applyFont="1"/>
    <xf numFmtId="164" fontId="48" fillId="0" borderId="19" xfId="0" applyNumberFormat="1" applyFont="1" applyBorder="1"/>
    <xf numFmtId="10" fontId="0" fillId="0" borderId="36" xfId="0" applyNumberFormat="1" applyBorder="1"/>
    <xf numFmtId="10" fontId="48" fillId="0" borderId="14" xfId="15" applyNumberFormat="1" applyFont="1" applyFill="1" applyBorder="1"/>
    <xf numFmtId="175" fontId="45" fillId="11" borderId="28" xfId="1" applyNumberFormat="1" applyFont="1" applyFill="1" applyBorder="1"/>
    <xf numFmtId="165" fontId="49" fillId="0" borderId="30" xfId="0" applyNumberFormat="1" applyFont="1" applyBorder="1" applyAlignment="1">
      <alignment horizontal="center"/>
    </xf>
    <xf numFmtId="9" fontId="50" fillId="11" borderId="50" xfId="15" applyFont="1" applyFill="1" applyBorder="1"/>
    <xf numFmtId="0" fontId="0" fillId="0" borderId="36" xfId="0" applyBorder="1" applyAlignment="1">
      <alignment horizontal="left"/>
    </xf>
    <xf numFmtId="10" fontId="45" fillId="0" borderId="20" xfId="15" applyNumberFormat="1" applyFont="1" applyBorder="1"/>
    <xf numFmtId="170" fontId="0" fillId="0" borderId="33" xfId="0" applyNumberFormat="1" applyBorder="1" applyAlignment="1">
      <alignment horizontal="center"/>
    </xf>
    <xf numFmtId="10" fontId="45" fillId="0" borderId="33" xfId="0" applyNumberFormat="1" applyFont="1" applyBorder="1"/>
    <xf numFmtId="164" fontId="48" fillId="0" borderId="30" xfId="0" applyNumberFormat="1" applyFont="1" applyBorder="1" applyAlignment="1">
      <alignment horizontal="right"/>
    </xf>
    <xf numFmtId="9" fontId="0" fillId="0" borderId="36" xfId="15" applyFont="1" applyBorder="1"/>
    <xf numFmtId="170" fontId="0" fillId="0" borderId="33" xfId="15" applyNumberFormat="1" applyFont="1" applyFill="1" applyBorder="1" applyAlignment="1">
      <alignment horizontal="center"/>
    </xf>
    <xf numFmtId="9" fontId="50" fillId="0" borderId="30" xfId="15" applyFont="1" applyBorder="1"/>
    <xf numFmtId="0" fontId="45" fillId="11" borderId="67" xfId="0" applyFont="1" applyFill="1" applyBorder="1"/>
    <xf numFmtId="183" fontId="45" fillId="11" borderId="68" xfId="1" applyNumberFormat="1" applyFont="1" applyFill="1" applyBorder="1"/>
    <xf numFmtId="183" fontId="45" fillId="0" borderId="0" xfId="0" applyNumberFormat="1" applyFont="1"/>
    <xf numFmtId="164" fontId="48" fillId="0" borderId="28" xfId="0" applyNumberFormat="1" applyFont="1" applyBorder="1" applyAlignment="1">
      <alignment horizontal="center"/>
    </xf>
    <xf numFmtId="0" fontId="51" fillId="0" borderId="0" xfId="0" applyFont="1" applyAlignment="1">
      <alignment horizontal="center" vertical="center"/>
    </xf>
    <xf numFmtId="0" fontId="51" fillId="0" borderId="0" xfId="0" applyFont="1"/>
    <xf numFmtId="2" fontId="51" fillId="0" borderId="0" xfId="0" applyNumberFormat="1" applyFont="1"/>
    <xf numFmtId="0" fontId="47" fillId="0" borderId="0" xfId="0" applyFont="1" applyAlignment="1">
      <alignment horizontal="center" vertical="center"/>
    </xf>
    <xf numFmtId="9" fontId="47" fillId="0" borderId="65" xfId="15" applyFont="1" applyBorder="1" applyAlignment="1">
      <alignment horizontal="center" vertical="center" wrapText="1"/>
    </xf>
    <xf numFmtId="9" fontId="47" fillId="0" borderId="66" xfId="15" applyFont="1" applyBorder="1" applyAlignment="1">
      <alignment horizontal="center" vertical="center" wrapText="1"/>
    </xf>
    <xf numFmtId="0" fontId="47" fillId="0" borderId="9" xfId="0" applyFont="1" applyBorder="1" applyAlignment="1">
      <alignment horizontal="center" vertical="center" wrapText="1"/>
    </xf>
    <xf numFmtId="9" fontId="47" fillId="0" borderId="0" xfId="15" applyFont="1" applyFill="1" applyBorder="1" applyAlignment="1">
      <alignment horizontal="center" vertical="center" wrapText="1"/>
    </xf>
    <xf numFmtId="0" fontId="47" fillId="0" borderId="69" xfId="0" applyFont="1" applyBorder="1" applyAlignment="1">
      <alignment horizontal="center" vertical="center" wrapText="1"/>
    </xf>
    <xf numFmtId="0" fontId="47" fillId="0" borderId="65" xfId="0" applyFont="1" applyBorder="1" applyAlignment="1">
      <alignment horizontal="center" vertical="center" wrapText="1"/>
    </xf>
    <xf numFmtId="0" fontId="47" fillId="0" borderId="66" xfId="0" applyFont="1" applyBorder="1" applyAlignment="1">
      <alignment horizontal="center" vertical="center" wrapText="1"/>
    </xf>
    <xf numFmtId="164" fontId="47" fillId="0" borderId="28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45" fillId="0" borderId="25" xfId="0" applyFont="1" applyBorder="1"/>
    <xf numFmtId="175" fontId="45" fillId="0" borderId="62" xfId="15" applyNumberFormat="1" applyFont="1" applyBorder="1"/>
    <xf numFmtId="175" fontId="45" fillId="0" borderId="0" xfId="0" applyNumberFormat="1" applyFont="1"/>
    <xf numFmtId="1" fontId="45" fillId="0" borderId="70" xfId="15" applyNumberFormat="1" applyFont="1" applyBorder="1"/>
    <xf numFmtId="0" fontId="45" fillId="0" borderId="62" xfId="0" applyFont="1" applyBorder="1"/>
    <xf numFmtId="175" fontId="45" fillId="0" borderId="55" xfId="0" applyNumberFormat="1" applyFont="1" applyBorder="1"/>
    <xf numFmtId="0" fontId="45" fillId="0" borderId="42" xfId="0" applyFont="1" applyBorder="1"/>
    <xf numFmtId="0" fontId="45" fillId="0" borderId="16" xfId="0" applyFont="1" applyBorder="1"/>
    <xf numFmtId="0" fontId="45" fillId="11" borderId="66" xfId="0" applyFont="1" applyFill="1" applyBorder="1" applyAlignment="1">
      <alignment horizontal="center" vertical="center" wrapText="1"/>
    </xf>
    <xf numFmtId="0" fontId="45" fillId="11" borderId="71" xfId="0" applyFont="1" applyFill="1" applyBorder="1" applyAlignment="1">
      <alignment horizontal="center" vertical="center"/>
    </xf>
    <xf numFmtId="0" fontId="45" fillId="11" borderId="0" xfId="0" applyFont="1" applyFill="1"/>
    <xf numFmtId="43" fontId="45" fillId="0" borderId="0" xfId="0" applyNumberFormat="1" applyFont="1"/>
    <xf numFmtId="2" fontId="45" fillId="0" borderId="0" xfId="0" applyNumberFormat="1" applyFont="1"/>
    <xf numFmtId="175" fontId="45" fillId="0" borderId="36" xfId="15" applyNumberFormat="1" applyFont="1" applyBorder="1"/>
    <xf numFmtId="175" fontId="45" fillId="0" borderId="33" xfId="15" applyNumberFormat="1" applyFont="1" applyBorder="1"/>
    <xf numFmtId="1" fontId="45" fillId="0" borderId="36" xfId="0" applyNumberFormat="1" applyFont="1" applyBorder="1"/>
    <xf numFmtId="175" fontId="45" fillId="0" borderId="0" xfId="15" applyNumberFormat="1" applyFont="1" applyBorder="1"/>
    <xf numFmtId="175" fontId="45" fillId="0" borderId="33" xfId="0" applyNumberFormat="1" applyFont="1" applyBorder="1"/>
    <xf numFmtId="175" fontId="45" fillId="0" borderId="36" xfId="0" applyNumberFormat="1" applyFont="1" applyBorder="1"/>
    <xf numFmtId="183" fontId="45" fillId="0" borderId="30" xfId="0" applyNumberFormat="1" applyFont="1" applyBorder="1"/>
    <xf numFmtId="0" fontId="45" fillId="11" borderId="51" xfId="0" applyFont="1" applyFill="1" applyBorder="1" applyAlignment="1">
      <alignment vertical="center" wrapText="1"/>
    </xf>
    <xf numFmtId="0" fontId="45" fillId="11" borderId="50" xfId="0" applyFont="1" applyFill="1" applyBorder="1" applyAlignment="1">
      <alignment vertical="center" wrapText="1"/>
    </xf>
    <xf numFmtId="0" fontId="45" fillId="11" borderId="65" xfId="0" applyFont="1" applyFill="1" applyBorder="1" applyAlignment="1">
      <alignment wrapText="1"/>
    </xf>
    <xf numFmtId="0" fontId="45" fillId="11" borderId="70" xfId="0" applyFont="1" applyFill="1" applyBorder="1" applyAlignment="1">
      <alignment wrapText="1"/>
    </xf>
    <xf numFmtId="0" fontId="45" fillId="11" borderId="66" xfId="0" applyFont="1" applyFill="1" applyBorder="1" applyAlignment="1">
      <alignment wrapText="1"/>
    </xf>
    <xf numFmtId="181" fontId="0" fillId="0" borderId="0" xfId="0" applyNumberFormat="1" applyAlignment="1">
      <alignment horizontal="left"/>
    </xf>
    <xf numFmtId="182" fontId="0" fillId="11" borderId="64" xfId="0" applyNumberFormat="1" applyFill="1" applyBorder="1" applyAlignment="1">
      <alignment horizontal="center" vertical="center" wrapText="1"/>
    </xf>
    <xf numFmtId="10" fontId="0" fillId="11" borderId="67" xfId="0" applyNumberFormat="1" applyFill="1" applyBorder="1" applyAlignment="1">
      <alignment horizontal="center" vertical="center" wrapText="1"/>
    </xf>
    <xf numFmtId="10" fontId="0" fillId="11" borderId="68" xfId="0" applyNumberFormat="1" applyFill="1" applyBorder="1" applyAlignment="1">
      <alignment horizontal="center" vertical="center" wrapText="1"/>
    </xf>
    <xf numFmtId="10" fontId="0" fillId="11" borderId="67" xfId="0" applyNumberFormat="1" applyFill="1" applyBorder="1" applyAlignment="1">
      <alignment horizontal="center" wrapText="1"/>
    </xf>
    <xf numFmtId="10" fontId="0" fillId="11" borderId="72" xfId="0" applyNumberFormat="1" applyFill="1" applyBorder="1" applyAlignment="1">
      <alignment horizontal="center" wrapText="1"/>
    </xf>
    <xf numFmtId="10" fontId="0" fillId="11" borderId="68" xfId="0" applyNumberFormat="1" applyFill="1" applyBorder="1" applyAlignment="1">
      <alignment horizontal="center" wrapText="1"/>
    </xf>
    <xf numFmtId="175" fontId="0" fillId="0" borderId="36" xfId="0" applyNumberFormat="1" applyBorder="1"/>
    <xf numFmtId="0" fontId="0" fillId="11" borderId="51" xfId="0" applyFill="1" applyBorder="1"/>
    <xf numFmtId="175" fontId="0" fillId="11" borderId="51" xfId="0" applyNumberFormat="1" applyFill="1" applyBorder="1"/>
    <xf numFmtId="175" fontId="0" fillId="11" borderId="0" xfId="0" applyNumberFormat="1" applyFill="1"/>
    <xf numFmtId="175" fontId="0" fillId="11" borderId="71" xfId="0" applyNumberFormat="1" applyFill="1" applyBorder="1"/>
    <xf numFmtId="175" fontId="0" fillId="11" borderId="50" xfId="0" applyNumberFormat="1" applyFill="1" applyBorder="1"/>
    <xf numFmtId="183" fontId="0" fillId="11" borderId="50" xfId="0" applyNumberFormat="1" applyFill="1" applyBorder="1"/>
    <xf numFmtId="0" fontId="0" fillId="11" borderId="0" xfId="0" applyFill="1"/>
    <xf numFmtId="175" fontId="0" fillId="11" borderId="73" xfId="0" applyNumberFormat="1" applyFill="1" applyBorder="1"/>
    <xf numFmtId="175" fontId="0" fillId="0" borderId="33" xfId="0" applyNumberFormat="1" applyBorder="1"/>
    <xf numFmtId="1" fontId="0" fillId="0" borderId="36" xfId="0" applyNumberFormat="1" applyBorder="1"/>
    <xf numFmtId="1" fontId="0" fillId="0" borderId="33" xfId="0" applyNumberFormat="1" applyBorder="1"/>
    <xf numFmtId="183" fontId="0" fillId="0" borderId="30" xfId="0" applyNumberFormat="1" applyBorder="1"/>
    <xf numFmtId="175" fontId="0" fillId="0" borderId="0" xfId="0" applyNumberFormat="1" applyAlignment="1">
      <alignment horizontal="left" vertical="center"/>
    </xf>
    <xf numFmtId="0" fontId="0" fillId="0" borderId="0" xfId="0" applyAlignment="1">
      <alignment vertical="top"/>
    </xf>
    <xf numFmtId="175" fontId="0" fillId="11" borderId="67" xfId="0" applyNumberFormat="1" applyFill="1" applyBorder="1"/>
    <xf numFmtId="175" fontId="0" fillId="11" borderId="72" xfId="0" applyNumberFormat="1" applyFill="1" applyBorder="1"/>
    <xf numFmtId="175" fontId="0" fillId="11" borderId="64" xfId="0" applyNumberFormat="1" applyFill="1" applyBorder="1"/>
    <xf numFmtId="183" fontId="0" fillId="11" borderId="68" xfId="0" applyNumberFormat="1" applyFill="1" applyBorder="1"/>
    <xf numFmtId="0" fontId="45" fillId="11" borderId="28" xfId="0" applyFont="1" applyFill="1" applyBorder="1"/>
    <xf numFmtId="0" fontId="45" fillId="11" borderId="9" xfId="0" applyFont="1" applyFill="1" applyBorder="1"/>
    <xf numFmtId="175" fontId="0" fillId="11" borderId="9" xfId="0" applyNumberFormat="1" applyFill="1" applyBorder="1"/>
    <xf numFmtId="175" fontId="0" fillId="11" borderId="40" xfId="0" applyNumberFormat="1" applyFill="1" applyBorder="1"/>
    <xf numFmtId="175" fontId="0" fillId="11" borderId="28" xfId="0" applyNumberFormat="1" applyFill="1" applyBorder="1"/>
    <xf numFmtId="175" fontId="0" fillId="11" borderId="69" xfId="0" applyNumberFormat="1" applyFill="1" applyBorder="1"/>
    <xf numFmtId="183" fontId="0" fillId="11" borderId="69" xfId="0" applyNumberFormat="1" applyFill="1" applyBorder="1"/>
    <xf numFmtId="0" fontId="0" fillId="11" borderId="9" xfId="0" applyFill="1" applyBorder="1"/>
    <xf numFmtId="1" fontId="0" fillId="0" borderId="0" xfId="0" applyNumberFormat="1"/>
    <xf numFmtId="181" fontId="0" fillId="0" borderId="0" xfId="0" applyNumberFormat="1"/>
    <xf numFmtId="0" fontId="47" fillId="12" borderId="65" xfId="0" applyFont="1" applyFill="1" applyBorder="1" applyAlignment="1">
      <alignment horizontal="center" wrapText="1"/>
    </xf>
    <xf numFmtId="0" fontId="47" fillId="12" borderId="66" xfId="0" applyFont="1" applyFill="1" applyBorder="1" applyAlignment="1">
      <alignment horizontal="center" wrapText="1"/>
    </xf>
    <xf numFmtId="0" fontId="45" fillId="12" borderId="51" xfId="1" applyNumberFormat="1" applyFont="1" applyFill="1" applyBorder="1" applyAlignment="1">
      <alignment horizontal="left"/>
    </xf>
    <xf numFmtId="175" fontId="45" fillId="12" borderId="50" xfId="1" applyNumberFormat="1" applyFont="1" applyFill="1" applyBorder="1"/>
    <xf numFmtId="181" fontId="45" fillId="12" borderId="50" xfId="1" applyNumberFormat="1" applyFont="1" applyFill="1" applyBorder="1"/>
    <xf numFmtId="175" fontId="45" fillId="12" borderId="28" xfId="1" applyNumberFormat="1" applyFont="1" applyFill="1" applyBorder="1"/>
    <xf numFmtId="9" fontId="50" fillId="12" borderId="50" xfId="0" applyNumberFormat="1" applyFont="1" applyFill="1" applyBorder="1"/>
    <xf numFmtId="0" fontId="45" fillId="12" borderId="51" xfId="1" applyNumberFormat="1" applyFont="1" applyFill="1" applyBorder="1" applyAlignment="1">
      <alignment horizontal="left" vertical="top" wrapText="1"/>
    </xf>
    <xf numFmtId="0" fontId="0" fillId="12" borderId="0" xfId="0" applyFill="1"/>
    <xf numFmtId="175" fontId="0" fillId="12" borderId="36" xfId="0" applyNumberFormat="1" applyFill="1" applyBorder="1"/>
    <xf numFmtId="175" fontId="0" fillId="12" borderId="33" xfId="0" applyNumberFormat="1" applyFill="1" applyBorder="1"/>
    <xf numFmtId="175" fontId="0" fillId="12" borderId="0" xfId="0" applyNumberFormat="1" applyFill="1"/>
    <xf numFmtId="1" fontId="0" fillId="12" borderId="36" xfId="0" applyNumberFormat="1" applyFill="1" applyBorder="1"/>
    <xf numFmtId="1" fontId="0" fillId="12" borderId="33" xfId="0" applyNumberFormat="1" applyFill="1" applyBorder="1"/>
    <xf numFmtId="183" fontId="0" fillId="12" borderId="30" xfId="0" applyNumberFormat="1" applyFill="1" applyBorder="1"/>
    <xf numFmtId="0" fontId="45" fillId="12" borderId="67" xfId="0" applyFont="1" applyFill="1" applyBorder="1"/>
    <xf numFmtId="183" fontId="45" fillId="12" borderId="68" xfId="1" applyNumberFormat="1" applyFont="1" applyFill="1" applyBorder="1"/>
    <xf numFmtId="175" fontId="0" fillId="0" borderId="56" xfId="0" applyNumberFormat="1" applyBorder="1"/>
    <xf numFmtId="175" fontId="0" fillId="0" borderId="58" xfId="0" applyNumberFormat="1" applyBorder="1"/>
    <xf numFmtId="1" fontId="0" fillId="0" borderId="56" xfId="0" applyNumberFormat="1" applyBorder="1"/>
    <xf numFmtId="175" fontId="0" fillId="0" borderId="57" xfId="0" applyNumberFormat="1" applyBorder="1"/>
    <xf numFmtId="1" fontId="0" fillId="0" borderId="58" xfId="0" applyNumberFormat="1" applyBorder="1"/>
    <xf numFmtId="183" fontId="0" fillId="0" borderId="34" xfId="0" applyNumberFormat="1" applyBorder="1"/>
    <xf numFmtId="0" fontId="1" fillId="0" borderId="45" xfId="0" applyFont="1" applyBorder="1" applyAlignment="1">
      <alignment horizontal="center"/>
    </xf>
    <xf numFmtId="175" fontId="5" fillId="0" borderId="3" xfId="3" applyNumberFormat="1" applyFont="1" applyFill="1" applyBorder="1" applyAlignment="1">
      <alignment horizontal="left"/>
    </xf>
    <xf numFmtId="175" fontId="5" fillId="0" borderId="3" xfId="3" applyNumberFormat="1" applyFont="1" applyFill="1" applyBorder="1"/>
    <xf numFmtId="175" fontId="5" fillId="0" borderId="34" xfId="3" applyNumberFormat="1" applyFont="1" applyFill="1" applyBorder="1" applyAlignment="1">
      <alignment horizontal="left"/>
    </xf>
    <xf numFmtId="175" fontId="5" fillId="0" borderId="1" xfId="3" applyNumberFormat="1" applyFont="1" applyFill="1" applyBorder="1"/>
    <xf numFmtId="175" fontId="19" fillId="0" borderId="1" xfId="3" applyNumberFormat="1" applyFont="1" applyFill="1" applyBorder="1"/>
    <xf numFmtId="175" fontId="7" fillId="0" borderId="9" xfId="3" applyNumberFormat="1" applyFont="1" applyFill="1" applyBorder="1" applyAlignment="1"/>
    <xf numFmtId="0" fontId="2" fillId="0" borderId="0" xfId="0" applyFont="1" applyAlignment="1">
      <alignment horizontal="left"/>
    </xf>
    <xf numFmtId="172" fontId="2" fillId="0" borderId="0" xfId="1" applyNumberFormat="1" applyFont="1" applyFill="1" applyBorder="1"/>
    <xf numFmtId="172" fontId="7" fillId="0" borderId="0" xfId="0" applyNumberFormat="1" applyFont="1"/>
    <xf numFmtId="3" fontId="7" fillId="0" borderId="9" xfId="0" applyNumberFormat="1" applyFont="1" applyBorder="1"/>
    <xf numFmtId="172" fontId="35" fillId="0" borderId="30" xfId="1" applyNumberFormat="1" applyFont="1" applyFill="1" applyBorder="1"/>
    <xf numFmtId="171" fontId="6" fillId="0" borderId="1" xfId="11" applyNumberFormat="1" applyBorder="1"/>
    <xf numFmtId="9" fontId="35" fillId="0" borderId="28" xfId="15" applyFont="1" applyFill="1" applyBorder="1"/>
    <xf numFmtId="9" fontId="35" fillId="13" borderId="28" xfId="15" applyFont="1" applyFill="1" applyBorder="1"/>
    <xf numFmtId="170" fontId="35" fillId="13" borderId="0" xfId="15" applyNumberFormat="1" applyFont="1" applyFill="1"/>
    <xf numFmtId="10" fontId="35" fillId="13" borderId="36" xfId="15" applyNumberFormat="1" applyFont="1" applyFill="1" applyBorder="1"/>
    <xf numFmtId="182" fontId="35" fillId="13" borderId="36" xfId="15" applyNumberFormat="1" applyFont="1" applyFill="1" applyBorder="1"/>
    <xf numFmtId="10" fontId="35" fillId="13" borderId="33" xfId="15" applyNumberFormat="1" applyFont="1" applyFill="1" applyBorder="1"/>
    <xf numFmtId="1" fontId="35" fillId="13" borderId="33" xfId="15" applyNumberFormat="1" applyFont="1" applyFill="1" applyBorder="1" applyProtection="1">
      <protection locked="0"/>
    </xf>
    <xf numFmtId="0" fontId="7" fillId="0" borderId="44" xfId="0" applyFont="1" applyBorder="1"/>
    <xf numFmtId="0" fontId="7" fillId="0" borderId="43" xfId="0" applyFont="1" applyBorder="1"/>
    <xf numFmtId="0" fontId="7" fillId="0" borderId="45" xfId="0" applyFont="1" applyBorder="1"/>
    <xf numFmtId="0" fontId="0" fillId="0" borderId="45" xfId="0" applyBorder="1"/>
    <xf numFmtId="0" fontId="1" fillId="0" borderId="45" xfId="0" applyFont="1" applyBorder="1"/>
    <xf numFmtId="0" fontId="0" fillId="0" borderId="49" xfId="0" applyBorder="1" applyAlignment="1">
      <alignment horizontal="center"/>
    </xf>
    <xf numFmtId="0" fontId="7" fillId="4" borderId="28" xfId="0" applyFont="1" applyFill="1" applyBorder="1" applyAlignment="1">
      <alignment wrapText="1"/>
    </xf>
    <xf numFmtId="0" fontId="0" fillId="0" borderId="57" xfId="0" applyBorder="1" applyAlignment="1">
      <alignment horizontal="center"/>
    </xf>
    <xf numFmtId="3" fontId="7" fillId="13" borderId="9" xfId="0" applyNumberFormat="1" applyFont="1" applyFill="1" applyBorder="1"/>
    <xf numFmtId="0" fontId="0" fillId="0" borderId="74" xfId="0" applyBorder="1" applyAlignment="1">
      <alignment horizontal="center"/>
    </xf>
    <xf numFmtId="0" fontId="1" fillId="0" borderId="57" xfId="0" applyFont="1" applyBorder="1"/>
    <xf numFmtId="0" fontId="0" fillId="0" borderId="57" xfId="0" applyBorder="1"/>
    <xf numFmtId="0" fontId="0" fillId="0" borderId="34" xfId="0" applyBorder="1"/>
    <xf numFmtId="172" fontId="35" fillId="0" borderId="34" xfId="1" applyNumberFormat="1" applyFont="1" applyFill="1" applyBorder="1"/>
    <xf numFmtId="0" fontId="1" fillId="0" borderId="44" xfId="0" applyFont="1" applyBorder="1" applyAlignment="1">
      <alignment horizontal="left"/>
    </xf>
    <xf numFmtId="3" fontId="6" fillId="0" borderId="0" xfId="14" applyNumberFormat="1"/>
    <xf numFmtId="0" fontId="6" fillId="0" borderId="65" xfId="14" applyBorder="1"/>
    <xf numFmtId="0" fontId="6" fillId="0" borderId="70" xfId="14" applyBorder="1"/>
    <xf numFmtId="175" fontId="6" fillId="0" borderId="70" xfId="3" applyNumberFormat="1" applyBorder="1" applyAlignment="1">
      <alignment horizontal="center"/>
    </xf>
    <xf numFmtId="175" fontId="6" fillId="0" borderId="70" xfId="14" applyNumberFormat="1" applyBorder="1" applyAlignment="1">
      <alignment horizontal="center"/>
    </xf>
    <xf numFmtId="0" fontId="6" fillId="0" borderId="67" xfId="14" applyBorder="1"/>
    <xf numFmtId="0" fontId="4" fillId="9" borderId="72" xfId="12" applyFont="1" applyFill="1" applyBorder="1" applyAlignment="1">
      <alignment horizontal="center"/>
    </xf>
    <xf numFmtId="172" fontId="4" fillId="9" borderId="72" xfId="1" applyNumberFormat="1" applyFont="1" applyFill="1" applyBorder="1" applyAlignment="1">
      <alignment horizontal="center"/>
    </xf>
    <xf numFmtId="172" fontId="4" fillId="9" borderId="68" xfId="1" applyNumberFormat="1" applyFont="1" applyFill="1" applyBorder="1" applyAlignment="1">
      <alignment horizontal="center"/>
    </xf>
    <xf numFmtId="175" fontId="4" fillId="9" borderId="72" xfId="1" applyNumberFormat="1" applyFont="1" applyFill="1" applyBorder="1" applyAlignment="1">
      <alignment horizontal="center"/>
    </xf>
    <xf numFmtId="175" fontId="6" fillId="0" borderId="0" xfId="3" applyNumberFormat="1" applyFill="1" applyBorder="1" applyAlignment="1">
      <alignment horizontal="center"/>
    </xf>
    <xf numFmtId="3" fontId="6" fillId="0" borderId="0" xfId="4" applyNumberFormat="1" applyFont="1" applyFill="1" applyBorder="1" applyAlignment="1">
      <alignment horizontal="center"/>
    </xf>
    <xf numFmtId="0" fontId="4" fillId="0" borderId="0" xfId="12" applyFont="1" applyAlignment="1">
      <alignment horizontal="center"/>
    </xf>
    <xf numFmtId="172" fontId="4" fillId="0" borderId="0" xfId="1" applyNumberFormat="1" applyFont="1" applyFill="1" applyBorder="1" applyAlignment="1">
      <alignment horizontal="center"/>
    </xf>
    <xf numFmtId="10" fontId="0" fillId="0" borderId="0" xfId="0" applyNumberFormat="1"/>
    <xf numFmtId="49" fontId="4" fillId="9" borderId="63" xfId="14" applyNumberFormat="1" applyFont="1" applyFill="1" applyBorder="1" applyAlignment="1">
      <alignment horizontal="center"/>
    </xf>
    <xf numFmtId="0" fontId="17" fillId="0" borderId="72" xfId="12" applyFont="1" applyBorder="1" applyAlignment="1">
      <alignment horizontal="center"/>
    </xf>
    <xf numFmtId="172" fontId="17" fillId="0" borderId="72" xfId="1" applyNumberFormat="1" applyFont="1" applyFill="1" applyBorder="1" applyAlignment="1">
      <alignment horizontal="center"/>
    </xf>
    <xf numFmtId="0" fontId="4" fillId="9" borderId="51" xfId="14" applyFont="1" applyFill="1" applyBorder="1" applyAlignment="1">
      <alignment horizontal="left"/>
    </xf>
    <xf numFmtId="3" fontId="6" fillId="0" borderId="0" xfId="4" applyNumberFormat="1" applyFont="1" applyBorder="1" applyAlignment="1">
      <alignment horizontal="center"/>
    </xf>
    <xf numFmtId="0" fontId="4" fillId="9" borderId="65" xfId="14" applyFont="1" applyFill="1" applyBorder="1" applyAlignment="1">
      <alignment horizontal="center"/>
    </xf>
    <xf numFmtId="0" fontId="4" fillId="9" borderId="70" xfId="14" applyFont="1" applyFill="1" applyBorder="1" applyAlignment="1">
      <alignment horizontal="center"/>
    </xf>
    <xf numFmtId="49" fontId="4" fillId="9" borderId="70" xfId="14" applyNumberFormat="1" applyFont="1" applyFill="1" applyBorder="1" applyAlignment="1">
      <alignment horizontal="center"/>
    </xf>
    <xf numFmtId="49" fontId="4" fillId="9" borderId="66" xfId="14" applyNumberFormat="1" applyFont="1" applyFill="1" applyBorder="1" applyAlignment="1">
      <alignment horizontal="center"/>
    </xf>
    <xf numFmtId="0" fontId="17" fillId="0" borderId="70" xfId="12" applyFont="1" applyBorder="1" applyAlignment="1">
      <alignment horizontal="center"/>
    </xf>
    <xf numFmtId="172" fontId="17" fillId="0" borderId="70" xfId="1" applyNumberFormat="1" applyFont="1" applyFill="1" applyBorder="1" applyAlignment="1">
      <alignment horizontal="center"/>
    </xf>
    <xf numFmtId="172" fontId="17" fillId="0" borderId="66" xfId="1" applyNumberFormat="1" applyFont="1" applyFill="1" applyBorder="1" applyAlignment="1">
      <alignment horizontal="center"/>
    </xf>
    <xf numFmtId="0" fontId="4" fillId="9" borderId="67" xfId="14" applyFont="1" applyFill="1" applyBorder="1" applyAlignment="1">
      <alignment horizontal="left"/>
    </xf>
    <xf numFmtId="49" fontId="4" fillId="9" borderId="40" xfId="14" applyNumberFormat="1" applyFont="1" applyFill="1" applyBorder="1" applyAlignment="1">
      <alignment horizontal="center"/>
    </xf>
    <xf numFmtId="49" fontId="4" fillId="9" borderId="69" xfId="14" applyNumberFormat="1" applyFont="1" applyFill="1" applyBorder="1" applyAlignment="1">
      <alignment horizontal="center"/>
    </xf>
    <xf numFmtId="0" fontId="37" fillId="0" borderId="0" xfId="0" applyFont="1" applyAlignment="1">
      <alignment horizontal="right"/>
    </xf>
    <xf numFmtId="0" fontId="36" fillId="5" borderId="0" xfId="0" applyFont="1" applyFill="1"/>
    <xf numFmtId="0" fontId="36" fillId="0" borderId="0" xfId="0" applyFont="1"/>
    <xf numFmtId="0" fontId="38" fillId="3" borderId="16" xfId="14" applyFont="1" applyFill="1" applyBorder="1" applyAlignment="1">
      <alignment horizontal="center"/>
    </xf>
    <xf numFmtId="9" fontId="52" fillId="0" borderId="0" xfId="0" applyNumberFormat="1" applyFont="1" applyAlignment="1">
      <alignment horizontal="right"/>
    </xf>
    <xf numFmtId="0" fontId="36" fillId="0" borderId="0" xfId="0" applyFont="1" applyAlignment="1">
      <alignment horizontal="right"/>
    </xf>
    <xf numFmtId="0" fontId="36" fillId="5" borderId="0" xfId="0" applyFont="1" applyFill="1" applyAlignment="1">
      <alignment horizontal="right"/>
    </xf>
    <xf numFmtId="168" fontId="6" fillId="0" borderId="0" xfId="0" applyNumberFormat="1" applyFont="1"/>
    <xf numFmtId="175" fontId="45" fillId="0" borderId="0" xfId="1" applyNumberFormat="1" applyFont="1" applyFill="1" applyAlignment="1" applyProtection="1">
      <alignment horizontal="center"/>
    </xf>
    <xf numFmtId="170" fontId="6" fillId="0" borderId="0" xfId="15" applyNumberFormat="1" applyFont="1" applyAlignment="1">
      <alignment horizontal="center"/>
    </xf>
    <xf numFmtId="178" fontId="6" fillId="0" borderId="0" xfId="1" applyNumberFormat="1" applyFont="1" applyAlignment="1">
      <alignment horizontal="center"/>
    </xf>
    <xf numFmtId="168" fontId="6" fillId="0" borderId="0" xfId="1" applyFont="1" applyAlignment="1">
      <alignment horizontal="center"/>
    </xf>
    <xf numFmtId="172" fontId="6" fillId="0" borderId="0" xfId="1" applyNumberFormat="1" applyFont="1" applyBorder="1" applyAlignment="1">
      <alignment horizontal="center"/>
    </xf>
    <xf numFmtId="177" fontId="6" fillId="0" borderId="0" xfId="1" applyNumberFormat="1" applyFont="1" applyFill="1" applyAlignment="1">
      <alignment horizontal="center"/>
    </xf>
    <xf numFmtId="0" fontId="53" fillId="0" borderId="0" xfId="0" applyFont="1"/>
    <xf numFmtId="0" fontId="4" fillId="0" borderId="0" xfId="0" applyFont="1"/>
    <xf numFmtId="0" fontId="6" fillId="0" borderId="28" xfId="10" applyFont="1" applyBorder="1"/>
    <xf numFmtId="175" fontId="6" fillId="0" borderId="0" xfId="3" applyNumberFormat="1" applyFill="1"/>
    <xf numFmtId="172" fontId="53" fillId="0" borderId="0" xfId="1" applyNumberFormat="1" applyFont="1"/>
    <xf numFmtId="9" fontId="14" fillId="0" borderId="0" xfId="15" applyFont="1"/>
    <xf numFmtId="0" fontId="41" fillId="0" borderId="0" xfId="0" applyFont="1" applyAlignment="1">
      <alignment horizontal="right"/>
    </xf>
    <xf numFmtId="172" fontId="0" fillId="0" borderId="28" xfId="0" quotePrefix="1" applyNumberFormat="1" applyBorder="1"/>
    <xf numFmtId="170" fontId="6" fillId="13" borderId="28" xfId="0" applyNumberFormat="1" applyFont="1" applyFill="1" applyBorder="1" applyAlignment="1">
      <alignment horizontal="center"/>
    </xf>
    <xf numFmtId="170" fontId="6" fillId="13" borderId="28" xfId="15" applyNumberFormat="1" applyFont="1" applyFill="1" applyBorder="1" applyAlignment="1">
      <alignment horizontal="center"/>
    </xf>
    <xf numFmtId="177" fontId="6" fillId="13" borderId="28" xfId="1" applyNumberFormat="1" applyFont="1" applyFill="1" applyBorder="1" applyAlignment="1">
      <alignment horizontal="center"/>
    </xf>
    <xf numFmtId="177" fontId="6" fillId="13" borderId="71" xfId="1" applyNumberFormat="1" applyFont="1" applyFill="1" applyBorder="1" applyAlignment="1">
      <alignment horizontal="center"/>
    </xf>
    <xf numFmtId="177" fontId="6" fillId="13" borderId="64" xfId="1" applyNumberFormat="1" applyFont="1" applyFill="1" applyBorder="1" applyAlignment="1">
      <alignment horizontal="center"/>
    </xf>
    <xf numFmtId="175" fontId="54" fillId="0" borderId="0" xfId="3" applyNumberFormat="1" applyFont="1" applyAlignment="1">
      <alignment horizontal="center"/>
    </xf>
    <xf numFmtId="172" fontId="36" fillId="0" borderId="0" xfId="0" applyNumberFormat="1" applyFont="1"/>
    <xf numFmtId="0" fontId="54" fillId="0" borderId="1" xfId="10" applyFont="1" applyBorder="1" applyAlignment="1">
      <alignment horizontal="left" indent="1"/>
    </xf>
    <xf numFmtId="9" fontId="6" fillId="0" borderId="0" xfId="15" applyFont="1" applyFill="1" applyAlignment="1">
      <alignment horizontal="right"/>
    </xf>
    <xf numFmtId="9" fontId="1" fillId="13" borderId="28" xfId="15" applyFont="1" applyFill="1" applyBorder="1" applyAlignment="1">
      <alignment horizontal="right"/>
    </xf>
    <xf numFmtId="0" fontId="0" fillId="0" borderId="71" xfId="0" applyBorder="1" applyAlignment="1">
      <alignment horizontal="center"/>
    </xf>
    <xf numFmtId="172" fontId="0" fillId="0" borderId="71" xfId="1" applyNumberFormat="1" applyFont="1" applyBorder="1"/>
    <xf numFmtId="0" fontId="42" fillId="0" borderId="0" xfId="0" applyFont="1"/>
    <xf numFmtId="0" fontId="43" fillId="0" borderId="0" xfId="0" applyFont="1"/>
    <xf numFmtId="9" fontId="35" fillId="0" borderId="28" xfId="15" applyFont="1" applyFill="1" applyBorder="1" applyAlignment="1">
      <alignment horizontal="right"/>
    </xf>
    <xf numFmtId="9" fontId="6" fillId="0" borderId="0" xfId="15" applyFont="1"/>
    <xf numFmtId="0" fontId="1" fillId="0" borderId="27" xfId="0" applyFont="1" applyBorder="1" applyAlignment="1">
      <alignment wrapText="1"/>
    </xf>
    <xf numFmtId="9" fontId="7" fillId="0" borderId="0" xfId="15" applyFont="1" applyFill="1" applyAlignment="1">
      <alignment horizontal="right"/>
    </xf>
    <xf numFmtId="9" fontId="7" fillId="0" borderId="0" xfId="15" applyFont="1"/>
    <xf numFmtId="9" fontId="7" fillId="0" borderId="0" xfId="14" applyNumberFormat="1" applyFont="1" applyAlignment="1">
      <alignment horizontal="right"/>
    </xf>
    <xf numFmtId="9" fontId="7" fillId="0" borderId="0" xfId="14" applyNumberFormat="1" applyFont="1" applyAlignment="1">
      <alignment horizontal="center"/>
    </xf>
    <xf numFmtId="0" fontId="1" fillId="0" borderId="1" xfId="0" applyFont="1" applyBorder="1" applyAlignment="1">
      <alignment horizontal="left"/>
    </xf>
    <xf numFmtId="177" fontId="6" fillId="0" borderId="0" xfId="1" applyNumberFormat="1" applyFont="1" applyFill="1" applyBorder="1" applyAlignment="1">
      <alignment horizontal="center"/>
    </xf>
    <xf numFmtId="0" fontId="56" fillId="0" borderId="0" xfId="0" applyFont="1"/>
    <xf numFmtId="0" fontId="7" fillId="0" borderId="0" xfId="0" applyFont="1" applyAlignment="1">
      <alignment horizontal="center" wrapText="1"/>
    </xf>
    <xf numFmtId="172" fontId="0" fillId="0" borderId="0" xfId="1" applyNumberFormat="1" applyFont="1" applyFill="1" applyBorder="1"/>
    <xf numFmtId="168" fontId="13" fillId="0" borderId="0" xfId="1" applyFont="1" applyFill="1" applyBorder="1"/>
    <xf numFmtId="172" fontId="22" fillId="5" borderId="59" xfId="1" applyNumberFormat="1" applyFont="1" applyFill="1" applyBorder="1"/>
    <xf numFmtId="172" fontId="0" fillId="5" borderId="59" xfId="1" applyNumberFormat="1" applyFont="1" applyFill="1" applyBorder="1"/>
    <xf numFmtId="172" fontId="13" fillId="4" borderId="40" xfId="1" applyNumberFormat="1" applyFont="1" applyFill="1" applyBorder="1"/>
    <xf numFmtId="172" fontId="35" fillId="0" borderId="0" xfId="1" applyNumberFormat="1" applyFont="1" applyFill="1" applyBorder="1"/>
    <xf numFmtId="172" fontId="3" fillId="0" borderId="0" xfId="1" applyNumberFormat="1" applyFont="1" applyFill="1" applyBorder="1"/>
    <xf numFmtId="172" fontId="22" fillId="0" borderId="0" xfId="1" applyNumberFormat="1" applyFont="1" applyFill="1" applyBorder="1"/>
    <xf numFmtId="172" fontId="23" fillId="0" borderId="0" xfId="1" applyNumberFormat="1" applyFont="1" applyFill="1" applyBorder="1" applyAlignment="1">
      <alignment horizontal="center"/>
    </xf>
    <xf numFmtId="172" fontId="3" fillId="0" borderId="0" xfId="1" applyNumberFormat="1" applyFont="1" applyFill="1" applyBorder="1" applyAlignment="1">
      <alignment horizontal="left"/>
    </xf>
    <xf numFmtId="9" fontId="14" fillId="0" borderId="0" xfId="15" applyFont="1" applyFill="1" applyBorder="1"/>
    <xf numFmtId="172" fontId="13" fillId="0" borderId="0" xfId="1" applyNumberFormat="1" applyFont="1" applyFill="1" applyBorder="1" applyAlignment="1">
      <alignment wrapText="1"/>
    </xf>
    <xf numFmtId="9" fontId="2" fillId="0" borderId="0" xfId="15" applyFont="1" applyFill="1" applyBorder="1"/>
    <xf numFmtId="9" fontId="6" fillId="0" borderId="0" xfId="15" applyFont="1" applyFill="1" applyBorder="1"/>
    <xf numFmtId="172" fontId="22" fillId="5" borderId="60" xfId="1" applyNumberFormat="1" applyFont="1" applyFill="1" applyBorder="1"/>
    <xf numFmtId="172" fontId="0" fillId="5" borderId="60" xfId="1" applyNumberFormat="1" applyFont="1" applyFill="1" applyBorder="1"/>
    <xf numFmtId="0" fontId="4" fillId="3" borderId="28" xfId="14" applyFont="1" applyFill="1" applyBorder="1" applyAlignment="1">
      <alignment horizontal="center"/>
    </xf>
    <xf numFmtId="9" fontId="6" fillId="8" borderId="10" xfId="15" applyFont="1" applyFill="1" applyBorder="1"/>
    <xf numFmtId="172" fontId="3" fillId="4" borderId="79" xfId="1" applyNumberFormat="1" applyFont="1" applyFill="1" applyBorder="1"/>
    <xf numFmtId="172" fontId="1" fillId="0" borderId="59" xfId="1" applyNumberFormat="1" applyBorder="1"/>
    <xf numFmtId="172" fontId="1" fillId="0" borderId="59" xfId="1" applyNumberFormat="1" applyFont="1" applyBorder="1"/>
    <xf numFmtId="172" fontId="3" fillId="0" borderId="59" xfId="1" applyNumberFormat="1" applyFont="1" applyBorder="1"/>
    <xf numFmtId="172" fontId="7" fillId="4" borderId="9" xfId="1" applyNumberFormat="1" applyFont="1" applyFill="1" applyBorder="1"/>
    <xf numFmtId="175" fontId="7" fillId="4" borderId="9" xfId="1" applyNumberFormat="1" applyFont="1" applyFill="1" applyBorder="1"/>
    <xf numFmtId="9" fontId="6" fillId="8" borderId="55" xfId="15" applyFont="1" applyFill="1" applyBorder="1"/>
    <xf numFmtId="172" fontId="1" fillId="0" borderId="0" xfId="1" applyNumberFormat="1" applyFill="1" applyBorder="1"/>
    <xf numFmtId="172" fontId="1" fillId="0" borderId="0" xfId="1" applyNumberFormat="1" applyFont="1" applyFill="1" applyBorder="1"/>
    <xf numFmtId="9" fontId="1" fillId="0" borderId="0" xfId="15" applyFill="1" applyBorder="1"/>
    <xf numFmtId="175" fontId="7" fillId="0" borderId="0" xfId="1" applyNumberFormat="1" applyFont="1" applyFill="1" applyBorder="1"/>
    <xf numFmtId="170" fontId="6" fillId="8" borderId="27" xfId="15" applyNumberFormat="1" applyFont="1" applyFill="1" applyBorder="1" applyAlignment="1">
      <alignment horizontal="center"/>
    </xf>
    <xf numFmtId="9" fontId="6" fillId="8" borderId="10" xfId="15" applyFont="1" applyFill="1" applyBorder="1" applyAlignment="1">
      <alignment horizontal="center"/>
    </xf>
    <xf numFmtId="0" fontId="4" fillId="3" borderId="70" xfId="14" applyFont="1" applyFill="1" applyBorder="1" applyAlignment="1">
      <alignment horizontal="center"/>
    </xf>
    <xf numFmtId="172" fontId="1" fillId="5" borderId="60" xfId="1" applyNumberFormat="1" applyFont="1" applyFill="1" applyBorder="1"/>
    <xf numFmtId="9" fontId="6" fillId="0" borderId="0" xfId="15" applyFont="1" applyFill="1" applyBorder="1" applyAlignment="1">
      <alignment horizontal="center"/>
    </xf>
    <xf numFmtId="172" fontId="1" fillId="5" borderId="10" xfId="1" applyNumberFormat="1" applyFont="1" applyFill="1" applyBorder="1"/>
    <xf numFmtId="172" fontId="7" fillId="0" borderId="33" xfId="1" applyNumberFormat="1" applyFont="1" applyBorder="1"/>
    <xf numFmtId="184" fontId="6" fillId="0" borderId="0" xfId="0" applyNumberFormat="1" applyFont="1"/>
    <xf numFmtId="168" fontId="6" fillId="0" borderId="0" xfId="1" applyFont="1"/>
    <xf numFmtId="185" fontId="6" fillId="5" borderId="0" xfId="0" applyNumberFormat="1" applyFont="1" applyFill="1"/>
    <xf numFmtId="185" fontId="6" fillId="5" borderId="0" xfId="1" applyNumberFormat="1" applyFont="1" applyFill="1"/>
    <xf numFmtId="186" fontId="6" fillId="5" borderId="0" xfId="0" applyNumberFormat="1" applyFont="1" applyFill="1"/>
    <xf numFmtId="172" fontId="37" fillId="0" borderId="0" xfId="0" applyNumberFormat="1" applyFont="1" applyAlignment="1">
      <alignment horizontal="right"/>
    </xf>
    <xf numFmtId="168" fontId="6" fillId="5" borderId="0" xfId="1" applyFont="1" applyFill="1"/>
    <xf numFmtId="168" fontId="6" fillId="5" borderId="0" xfId="0" applyNumberFormat="1" applyFont="1" applyFill="1"/>
    <xf numFmtId="175" fontId="4" fillId="0" borderId="0" xfId="1" applyNumberFormat="1" applyFont="1" applyFill="1" applyBorder="1" applyAlignment="1">
      <alignment horizontal="center"/>
    </xf>
    <xf numFmtId="172" fontId="4" fillId="0" borderId="50" xfId="1" applyNumberFormat="1" applyFont="1" applyFill="1" applyBorder="1" applyAlignment="1">
      <alignment horizontal="center"/>
    </xf>
    <xf numFmtId="172" fontId="4" fillId="0" borderId="0" xfId="1" applyNumberFormat="1" applyFont="1" applyFill="1" applyAlignment="1">
      <alignment horizontal="center"/>
    </xf>
    <xf numFmtId="172" fontId="2" fillId="0" borderId="26" xfId="1" applyNumberFormat="1" applyFont="1" applyFill="1" applyBorder="1"/>
    <xf numFmtId="172" fontId="40" fillId="13" borderId="28" xfId="1" applyNumberFormat="1" applyFont="1" applyFill="1" applyBorder="1"/>
    <xf numFmtId="0" fontId="57" fillId="0" borderId="0" xfId="10" applyFont="1" applyAlignment="1">
      <alignment horizontal="left" indent="1"/>
    </xf>
    <xf numFmtId="0" fontId="36" fillId="5" borderId="0" xfId="0" applyFont="1" applyFill="1" applyAlignment="1">
      <alignment vertical="center"/>
    </xf>
    <xf numFmtId="0" fontId="52" fillId="5" borderId="0" xfId="0" applyFont="1" applyFill="1" applyAlignment="1">
      <alignment horizontal="right" vertical="center"/>
    </xf>
    <xf numFmtId="168" fontId="37" fillId="14" borderId="0" xfId="0" applyNumberFormat="1" applyFont="1" applyFill="1" applyAlignment="1">
      <alignment horizontal="right" vertical="center"/>
    </xf>
    <xf numFmtId="0" fontId="37" fillId="14" borderId="0" xfId="0" applyFont="1" applyFill="1" applyAlignment="1">
      <alignment horizontal="right" vertical="center"/>
    </xf>
    <xf numFmtId="172" fontId="6" fillId="15" borderId="1" xfId="1" applyNumberFormat="1" applyFont="1" applyFill="1" applyBorder="1"/>
    <xf numFmtId="172" fontId="5" fillId="15" borderId="1" xfId="1" applyNumberFormat="1" applyFont="1" applyFill="1" applyBorder="1"/>
    <xf numFmtId="0" fontId="0" fillId="0" borderId="28" xfId="0" applyBorder="1" applyAlignment="1">
      <alignment horizontal="center"/>
    </xf>
    <xf numFmtId="172" fontId="0" fillId="0" borderId="28" xfId="1" applyNumberFormat="1" applyFont="1" applyBorder="1"/>
    <xf numFmtId="172" fontId="6" fillId="0" borderId="0" xfId="10" applyNumberFormat="1" applyFont="1"/>
    <xf numFmtId="0" fontId="3" fillId="4" borderId="28" xfId="10" applyFont="1" applyFill="1" applyBorder="1" applyAlignment="1">
      <alignment horizontal="left"/>
    </xf>
    <xf numFmtId="175" fontId="5" fillId="0" borderId="34" xfId="3" applyNumberFormat="1" applyFont="1" applyFill="1" applyBorder="1"/>
    <xf numFmtId="0" fontId="4" fillId="9" borderId="63" xfId="12" applyFont="1" applyFill="1" applyBorder="1" applyAlignment="1">
      <alignment horizontal="center"/>
    </xf>
    <xf numFmtId="175" fontId="5" fillId="0" borderId="56" xfId="3" applyNumberFormat="1" applyFont="1" applyFill="1" applyBorder="1"/>
    <xf numFmtId="175" fontId="5" fillId="0" borderId="59" xfId="3" applyNumberFormat="1" applyFont="1" applyFill="1" applyBorder="1"/>
    <xf numFmtId="175" fontId="19" fillId="0" borderId="59" xfId="3" applyNumberFormat="1" applyFont="1" applyFill="1" applyBorder="1"/>
    <xf numFmtId="172" fontId="5" fillId="0" borderId="59" xfId="1" applyNumberFormat="1" applyFont="1" applyFill="1" applyBorder="1"/>
    <xf numFmtId="175" fontId="5" fillId="0" borderId="4" xfId="3" applyNumberFormat="1" applyFont="1" applyBorder="1" applyAlignment="1">
      <alignment horizontal="center"/>
    </xf>
    <xf numFmtId="175" fontId="5" fillId="0" borderId="5" xfId="3" applyNumberFormat="1" applyFont="1" applyFill="1" applyBorder="1" applyAlignment="1">
      <alignment horizontal="center"/>
    </xf>
    <xf numFmtId="175" fontId="5" fillId="0" borderId="6" xfId="3" applyNumberFormat="1" applyFont="1" applyBorder="1" applyAlignment="1">
      <alignment horizontal="center"/>
    </xf>
    <xf numFmtId="175" fontId="5" fillId="0" borderId="5" xfId="1" applyNumberFormat="1" applyFont="1" applyFill="1" applyBorder="1" applyAlignment="1">
      <alignment horizontal="center"/>
    </xf>
    <xf numFmtId="175" fontId="7" fillId="0" borderId="28" xfId="3" applyNumberFormat="1" applyFont="1" applyBorder="1" applyAlignment="1">
      <alignment horizontal="center"/>
    </xf>
    <xf numFmtId="175" fontId="6" fillId="0" borderId="65" xfId="1" applyNumberFormat="1" applyFont="1" applyFill="1" applyBorder="1" applyAlignment="1">
      <alignment horizontal="center"/>
    </xf>
    <xf numFmtId="175" fontId="6" fillId="0" borderId="70" xfId="1" applyNumberFormat="1" applyFont="1" applyFill="1" applyBorder="1" applyAlignment="1">
      <alignment horizontal="center"/>
    </xf>
    <xf numFmtId="175" fontId="6" fillId="0" borderId="66" xfId="1" applyNumberFormat="1" applyFont="1" applyFill="1" applyBorder="1" applyAlignment="1">
      <alignment horizontal="center"/>
    </xf>
    <xf numFmtId="175" fontId="6" fillId="0" borderId="51" xfId="14" applyNumberFormat="1" applyBorder="1" applyAlignment="1">
      <alignment horizontal="center"/>
    </xf>
    <xf numFmtId="175" fontId="6" fillId="0" borderId="51" xfId="3" applyNumberFormat="1" applyBorder="1" applyAlignment="1">
      <alignment horizontal="center"/>
    </xf>
    <xf numFmtId="172" fontId="6" fillId="0" borderId="51" xfId="1" applyNumberFormat="1" applyFont="1" applyBorder="1" applyAlignment="1">
      <alignment horizontal="center"/>
    </xf>
    <xf numFmtId="172" fontId="6" fillId="0" borderId="50" xfId="1" applyNumberFormat="1" applyFont="1" applyBorder="1" applyAlignment="1">
      <alignment horizontal="center"/>
    </xf>
    <xf numFmtId="172" fontId="4" fillId="9" borderId="67" xfId="1" applyNumberFormat="1" applyFont="1" applyFill="1" applyBorder="1" applyAlignment="1">
      <alignment horizontal="center"/>
    </xf>
    <xf numFmtId="175" fontId="5" fillId="0" borderId="80" xfId="3" applyNumberFormat="1" applyFont="1" applyFill="1" applyBorder="1"/>
    <xf numFmtId="175" fontId="31" fillId="0" borderId="2" xfId="3" applyNumberFormat="1" applyFont="1" applyFill="1" applyBorder="1" applyAlignment="1">
      <alignment horizontal="center"/>
    </xf>
    <xf numFmtId="175" fontId="31" fillId="0" borderId="4" xfId="3" applyNumberFormat="1" applyFont="1" applyBorder="1" applyAlignment="1">
      <alignment horizontal="center"/>
    </xf>
    <xf numFmtId="175" fontId="31" fillId="0" borderId="5" xfId="3" applyNumberFormat="1" applyFont="1" applyFill="1" applyBorder="1" applyAlignment="1">
      <alignment horizontal="center"/>
    </xf>
    <xf numFmtId="175" fontId="31" fillId="0" borderId="6" xfId="3" applyNumberFormat="1" applyFont="1" applyBorder="1" applyAlignment="1">
      <alignment horizontal="center"/>
    </xf>
    <xf numFmtId="175" fontId="31" fillId="0" borderId="5" xfId="1" applyNumberFormat="1" applyFont="1" applyFill="1" applyBorder="1" applyAlignment="1">
      <alignment horizontal="center"/>
    </xf>
    <xf numFmtId="175" fontId="4" fillId="9" borderId="67" xfId="1" applyNumberFormat="1" applyFont="1" applyFill="1" applyBorder="1" applyAlignment="1">
      <alignment horizontal="center"/>
    </xf>
    <xf numFmtId="175" fontId="4" fillId="9" borderId="68" xfId="1" applyNumberFormat="1" applyFont="1" applyFill="1" applyBorder="1" applyAlignment="1">
      <alignment horizontal="center"/>
    </xf>
    <xf numFmtId="49" fontId="4" fillId="9" borderId="15" xfId="14" applyNumberFormat="1" applyFont="1" applyFill="1" applyBorder="1" applyAlignment="1">
      <alignment horizontal="center"/>
    </xf>
    <xf numFmtId="49" fontId="4" fillId="9" borderId="25" xfId="14" applyNumberFormat="1" applyFont="1" applyFill="1" applyBorder="1" applyAlignment="1">
      <alignment horizontal="center"/>
    </xf>
    <xf numFmtId="175" fontId="6" fillId="0" borderId="5" xfId="3" applyNumberFormat="1" applyFill="1" applyBorder="1" applyAlignment="1">
      <alignment horizontal="center"/>
    </xf>
    <xf numFmtId="175" fontId="6" fillId="0" borderId="5" xfId="1" applyNumberFormat="1" applyFont="1" applyFill="1" applyBorder="1" applyAlignment="1">
      <alignment horizontal="center"/>
    </xf>
    <xf numFmtId="10" fontId="6" fillId="13" borderId="28" xfId="0" applyNumberFormat="1" applyFont="1" applyFill="1" applyBorder="1" applyAlignment="1">
      <alignment horizontal="center"/>
    </xf>
    <xf numFmtId="0" fontId="6" fillId="0" borderId="2" xfId="14" applyBorder="1" applyAlignment="1">
      <alignment horizontal="center"/>
    </xf>
    <xf numFmtId="172" fontId="23" fillId="9" borderId="0" xfId="1" applyNumberFormat="1" applyFont="1" applyFill="1" applyBorder="1" applyAlignment="1">
      <alignment horizontal="center"/>
    </xf>
    <xf numFmtId="175" fontId="7" fillId="0" borderId="0" xfId="14" applyNumberFormat="1" applyFont="1"/>
    <xf numFmtId="175" fontId="5" fillId="0" borderId="3" xfId="3" applyNumberFormat="1" applyFont="1" applyFill="1" applyBorder="1" applyAlignment="1">
      <alignment horizontal="center"/>
    </xf>
    <xf numFmtId="9" fontId="0" fillId="13" borderId="28" xfId="0" applyNumberFormat="1" applyFill="1" applyBorder="1" applyAlignment="1">
      <alignment horizontal="center"/>
    </xf>
    <xf numFmtId="43" fontId="6" fillId="0" borderId="0" xfId="0" applyNumberFormat="1" applyFont="1"/>
    <xf numFmtId="175" fontId="6" fillId="0" borderId="0" xfId="0" applyNumberFormat="1" applyFont="1"/>
    <xf numFmtId="175" fontId="6" fillId="0" borderId="66" xfId="14" applyNumberFormat="1" applyBorder="1" applyAlignment="1">
      <alignment horizontal="center"/>
    </xf>
    <xf numFmtId="43" fontId="6" fillId="0" borderId="0" xfId="14" applyNumberFormat="1" applyAlignment="1">
      <alignment horizontal="center"/>
    </xf>
    <xf numFmtId="43" fontId="6" fillId="0" borderId="50" xfId="14" applyNumberFormat="1" applyBorder="1" applyAlignment="1">
      <alignment horizontal="center"/>
    </xf>
    <xf numFmtId="0" fontId="18" fillId="0" borderId="39" xfId="14" applyFont="1" applyBorder="1"/>
    <xf numFmtId="1" fontId="7" fillId="0" borderId="0" xfId="3" applyNumberFormat="1" applyFont="1" applyAlignment="1">
      <alignment horizontal="right"/>
    </xf>
    <xf numFmtId="175" fontId="7" fillId="0" borderId="0" xfId="3" applyNumberFormat="1" applyFont="1" applyAlignment="1">
      <alignment horizontal="center"/>
    </xf>
    <xf numFmtId="1" fontId="7" fillId="0" borderId="28" xfId="3" applyNumberFormat="1" applyFont="1" applyBorder="1" applyAlignment="1">
      <alignment horizontal="center"/>
    </xf>
    <xf numFmtId="172" fontId="0" fillId="0" borderId="1" xfId="1" applyNumberFormat="1" applyFont="1" applyFill="1" applyBorder="1"/>
    <xf numFmtId="177" fontId="6" fillId="13" borderId="71" xfId="1" applyNumberFormat="1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10" fontId="0" fillId="0" borderId="27" xfId="0" applyNumberFormat="1" applyBorder="1"/>
    <xf numFmtId="10" fontId="58" fillId="0" borderId="30" xfId="15" applyNumberFormat="1" applyFont="1" applyFill="1" applyBorder="1" applyProtection="1"/>
    <xf numFmtId="182" fontId="58" fillId="0" borderId="34" xfId="15" applyNumberFormat="1" applyFont="1" applyFill="1" applyBorder="1" applyProtection="1"/>
    <xf numFmtId="0" fontId="59" fillId="0" borderId="0" xfId="0" applyFont="1" applyAlignment="1">
      <alignment horizontal="center" vertical="center"/>
    </xf>
    <xf numFmtId="49" fontId="28" fillId="3" borderId="0" xfId="14" applyNumberFormat="1" applyFont="1" applyFill="1"/>
    <xf numFmtId="9" fontId="35" fillId="13" borderId="64" xfId="15" applyFont="1" applyFill="1" applyBorder="1"/>
    <xf numFmtId="3" fontId="7" fillId="13" borderId="1" xfId="0" applyNumberFormat="1" applyFont="1" applyFill="1" applyBorder="1"/>
    <xf numFmtId="172" fontId="0" fillId="0" borderId="9" xfId="1" applyNumberFormat="1" applyFont="1" applyBorder="1"/>
    <xf numFmtId="0" fontId="0" fillId="0" borderId="28" xfId="0" applyBorder="1"/>
    <xf numFmtId="0" fontId="7" fillId="5" borderId="2" xfId="14" applyFont="1" applyFill="1" applyBorder="1"/>
    <xf numFmtId="0" fontId="61" fillId="0" borderId="0" xfId="14" applyFont="1"/>
    <xf numFmtId="168" fontId="53" fillId="0" borderId="0" xfId="0" applyNumberFormat="1" applyFont="1"/>
    <xf numFmtId="168" fontId="52" fillId="0" borderId="0" xfId="0" applyNumberFormat="1" applyFont="1" applyAlignment="1">
      <alignment horizontal="right"/>
    </xf>
    <xf numFmtId="172" fontId="2" fillId="0" borderId="30" xfId="1" applyNumberFormat="1" applyFont="1" applyBorder="1"/>
    <xf numFmtId="172" fontId="2" fillId="0" borderId="36" xfId="1" applyNumberFormat="1" applyFont="1" applyBorder="1"/>
    <xf numFmtId="0" fontId="1" fillId="0" borderId="27" xfId="0" applyFont="1" applyBorder="1" applyAlignment="1">
      <alignment horizontal="left"/>
    </xf>
    <xf numFmtId="172" fontId="2" fillId="0" borderId="27" xfId="1" applyNumberFormat="1" applyFont="1" applyBorder="1"/>
    <xf numFmtId="0" fontId="3" fillId="4" borderId="81" xfId="0" applyFont="1" applyFill="1" applyBorder="1" applyAlignment="1">
      <alignment horizontal="left"/>
    </xf>
    <xf numFmtId="172" fontId="3" fillId="4" borderId="26" xfId="1" applyNumberFormat="1" applyFont="1" applyFill="1" applyBorder="1"/>
    <xf numFmtId="175" fontId="6" fillId="0" borderId="0" xfId="14" applyNumberFormat="1"/>
    <xf numFmtId="0" fontId="36" fillId="0" borderId="0" xfId="10" applyFont="1" applyAlignment="1">
      <alignment horizontal="right"/>
    </xf>
    <xf numFmtId="0" fontId="52" fillId="0" borderId="0" xfId="10" applyFont="1" applyAlignment="1">
      <alignment horizontal="right"/>
    </xf>
    <xf numFmtId="172" fontId="52" fillId="0" borderId="0" xfId="10" applyNumberFormat="1" applyFont="1" applyAlignment="1">
      <alignment horizontal="right"/>
    </xf>
    <xf numFmtId="168" fontId="6" fillId="0" borderId="0" xfId="10" applyNumberFormat="1" applyFont="1"/>
    <xf numFmtId="0" fontId="62" fillId="0" borderId="0" xfId="0" applyFont="1"/>
    <xf numFmtId="0" fontId="3" fillId="0" borderId="71" xfId="0" applyFont="1" applyBorder="1" applyAlignment="1">
      <alignment horizontal="center"/>
    </xf>
    <xf numFmtId="0" fontId="3" fillId="0" borderId="28" xfId="0" applyFont="1" applyBorder="1" applyAlignment="1">
      <alignment horizontal="center"/>
    </xf>
    <xf numFmtId="172" fontId="3" fillId="0" borderId="71" xfId="1" applyNumberFormat="1" applyFont="1" applyBorder="1"/>
    <xf numFmtId="172" fontId="3" fillId="0" borderId="28" xfId="1" applyNumberFormat="1" applyFont="1" applyBorder="1"/>
    <xf numFmtId="0" fontId="6" fillId="15" borderId="0" xfId="14" applyFill="1"/>
    <xf numFmtId="0" fontId="6" fillId="0" borderId="0" xfId="14" applyAlignment="1">
      <alignment horizontal="center" vertical="center" wrapText="1"/>
    </xf>
    <xf numFmtId="175" fontId="56" fillId="0" borderId="9" xfId="3" applyNumberFormat="1" applyFont="1" applyBorder="1"/>
    <xf numFmtId="0" fontId="6" fillId="0" borderId="56" xfId="14" applyBorder="1" applyAlignment="1">
      <alignment horizontal="center"/>
    </xf>
    <xf numFmtId="172" fontId="4" fillId="16" borderId="0" xfId="1" applyNumberFormat="1" applyFont="1" applyFill="1" applyBorder="1" applyAlignment="1">
      <alignment horizontal="center"/>
    </xf>
    <xf numFmtId="170" fontId="2" fillId="0" borderId="27" xfId="15" applyNumberFormat="1" applyFont="1" applyBorder="1"/>
    <xf numFmtId="170" fontId="1" fillId="0" borderId="27" xfId="15" applyNumberFormat="1" applyBorder="1"/>
    <xf numFmtId="170" fontId="1" fillId="0" borderId="55" xfId="15" applyNumberFormat="1" applyBorder="1"/>
    <xf numFmtId="170" fontId="1" fillId="0" borderId="10" xfId="15" applyNumberFormat="1" applyBorder="1"/>
    <xf numFmtId="170" fontId="1" fillId="0" borderId="0" xfId="15" applyNumberFormat="1" applyFill="1" applyBorder="1"/>
    <xf numFmtId="170" fontId="2" fillId="0" borderId="0" xfId="15" applyNumberFormat="1" applyFont="1" applyFill="1" applyBorder="1"/>
    <xf numFmtId="172" fontId="2" fillId="0" borderId="34" xfId="1" applyNumberFormat="1" applyFont="1" applyBorder="1"/>
    <xf numFmtId="172" fontId="2" fillId="0" borderId="59" xfId="1" applyNumberFormat="1" applyFont="1" applyBorder="1"/>
    <xf numFmtId="1" fontId="1" fillId="0" borderId="33" xfId="0" applyNumberFormat="1" applyFont="1" applyBorder="1" applyAlignment="1">
      <alignment horizontal="left"/>
    </xf>
    <xf numFmtId="1" fontId="6" fillId="0" borderId="0" xfId="0" applyNumberFormat="1" applyFont="1"/>
    <xf numFmtId="1" fontId="37" fillId="0" borderId="0" xfId="0" applyNumberFormat="1" applyFont="1" applyAlignment="1">
      <alignment horizontal="right"/>
    </xf>
    <xf numFmtId="38" fontId="53" fillId="0" borderId="0" xfId="3" applyNumberFormat="1" applyFont="1" applyBorder="1" applyAlignment="1">
      <alignment horizontal="right"/>
    </xf>
    <xf numFmtId="172" fontId="1" fillId="0" borderId="30" xfId="1" applyNumberFormat="1" applyFont="1" applyFill="1" applyBorder="1"/>
    <xf numFmtId="3" fontId="1" fillId="0" borderId="1" xfId="0" applyNumberFormat="1" applyFont="1" applyBorder="1" applyAlignment="1">
      <alignment horizontal="right"/>
    </xf>
    <xf numFmtId="172" fontId="1" fillId="0" borderId="34" xfId="1" applyNumberFormat="1" applyFont="1" applyBorder="1"/>
    <xf numFmtId="187" fontId="0" fillId="0" borderId="0" xfId="1" applyNumberFormat="1" applyFont="1"/>
    <xf numFmtId="187" fontId="6" fillId="0" borderId="0" xfId="0" applyNumberFormat="1" applyFont="1"/>
    <xf numFmtId="3" fontId="1" fillId="0" borderId="59" xfId="0" applyNumberFormat="1" applyFont="1" applyBorder="1" applyAlignment="1">
      <alignment horizontal="right"/>
    </xf>
    <xf numFmtId="0" fontId="1" fillId="0" borderId="12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1" xfId="10" applyBorder="1"/>
    <xf numFmtId="3" fontId="2" fillId="0" borderId="27" xfId="1" applyNumberFormat="1" applyFont="1" applyBorder="1"/>
    <xf numFmtId="0" fontId="64" fillId="0" borderId="0" xfId="10" applyFont="1"/>
    <xf numFmtId="9" fontId="65" fillId="0" borderId="0" xfId="10" applyNumberFormat="1" applyFont="1" applyAlignment="1">
      <alignment horizontal="center"/>
    </xf>
    <xf numFmtId="0" fontId="65" fillId="0" borderId="0" xfId="10" applyFont="1" applyAlignment="1">
      <alignment horizontal="right"/>
    </xf>
    <xf numFmtId="3" fontId="0" fillId="0" borderId="0" xfId="0" applyNumberFormat="1" applyAlignment="1">
      <alignment horizontal="left" vertical="top"/>
    </xf>
    <xf numFmtId="0" fontId="0" fillId="15" borderId="0" xfId="0" applyFill="1" applyAlignment="1">
      <alignment horizontal="left" vertical="top"/>
    </xf>
    <xf numFmtId="0" fontId="62" fillId="15" borderId="0" xfId="0" applyFont="1" applyFill="1"/>
    <xf numFmtId="0" fontId="0" fillId="15" borderId="0" xfId="0" applyFill="1"/>
    <xf numFmtId="0" fontId="3" fillId="15" borderId="0" xfId="0" applyFont="1" applyFill="1"/>
    <xf numFmtId="0" fontId="1" fillId="15" borderId="0" xfId="0" applyFont="1" applyFill="1" applyAlignment="1">
      <alignment horizontal="left" vertical="top"/>
    </xf>
    <xf numFmtId="0" fontId="3" fillId="15" borderId="0" xfId="0" applyFont="1" applyFill="1" applyAlignment="1">
      <alignment horizontal="left" vertical="top"/>
    </xf>
    <xf numFmtId="0" fontId="60" fillId="15" borderId="0" xfId="0" applyFont="1" applyFill="1"/>
    <xf numFmtId="0" fontId="63" fillId="15" borderId="0" xfId="0" applyFont="1" applyFill="1"/>
    <xf numFmtId="0" fontId="66" fillId="0" borderId="0" xfId="0" applyFont="1"/>
    <xf numFmtId="0" fontId="67" fillId="0" borderId="0" xfId="0" applyFont="1"/>
    <xf numFmtId="0" fontId="39" fillId="0" borderId="0" xfId="0" applyFont="1" applyAlignment="1">
      <alignment vertical="top"/>
    </xf>
    <xf numFmtId="0" fontId="39" fillId="0" borderId="0" xfId="0" applyFont="1" applyAlignment="1">
      <alignment horizontal="center" vertical="top" wrapText="1"/>
    </xf>
    <xf numFmtId="0" fontId="39" fillId="0" borderId="0" xfId="0" applyFont="1" applyAlignment="1">
      <alignment vertical="top" wrapText="1"/>
    </xf>
    <xf numFmtId="0" fontId="27" fillId="0" borderId="0" xfId="0" applyFont="1"/>
    <xf numFmtId="0" fontId="68" fillId="0" borderId="0" xfId="10" applyFont="1"/>
    <xf numFmtId="172" fontId="68" fillId="0" borderId="0" xfId="1" applyNumberFormat="1" applyFont="1"/>
    <xf numFmtId="168" fontId="68" fillId="0" borderId="0" xfId="1" applyFont="1" applyFill="1" applyBorder="1"/>
    <xf numFmtId="172" fontId="68" fillId="0" borderId="0" xfId="1" applyNumberFormat="1" applyFont="1" applyFill="1" applyBorder="1"/>
    <xf numFmtId="0" fontId="69" fillId="0" borderId="33" xfId="10" applyFont="1" applyBorder="1" applyAlignment="1">
      <alignment horizontal="left"/>
    </xf>
    <xf numFmtId="0" fontId="3" fillId="0" borderId="0" xfId="0" applyFont="1" applyAlignment="1">
      <alignment horizontal="left" wrapText="1"/>
    </xf>
    <xf numFmtId="0" fontId="3" fillId="0" borderId="50" xfId="0" applyFont="1" applyBorder="1" applyAlignment="1">
      <alignment horizontal="left" wrapText="1"/>
    </xf>
    <xf numFmtId="0" fontId="6" fillId="0" borderId="0" xfId="13" applyAlignment="1">
      <alignment horizontal="center"/>
    </xf>
    <xf numFmtId="0" fontId="6" fillId="0" borderId="36" xfId="14" applyBorder="1" applyAlignment="1">
      <alignment horizontal="center" vertical="center" wrapText="1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5" xfId="0" applyBorder="1" applyAlignment="1">
      <alignment horizontal="center"/>
    </xf>
    <xf numFmtId="0" fontId="1" fillId="0" borderId="76" xfId="0" applyFont="1" applyBorder="1" applyAlignment="1">
      <alignment horizontal="center"/>
    </xf>
    <xf numFmtId="0" fontId="1" fillId="0" borderId="77" xfId="0" applyFont="1" applyBorder="1" applyAlignment="1">
      <alignment horizontal="center"/>
    </xf>
    <xf numFmtId="0" fontId="1" fillId="0" borderId="78" xfId="0" applyFont="1" applyBorder="1" applyAlignment="1">
      <alignment horizontal="center"/>
    </xf>
    <xf numFmtId="0" fontId="47" fillId="11" borderId="65" xfId="0" applyFont="1" applyFill="1" applyBorder="1" applyAlignment="1">
      <alignment horizontal="center" wrapText="1"/>
    </xf>
    <xf numFmtId="0" fontId="47" fillId="11" borderId="66" xfId="0" applyFont="1" applyFill="1" applyBorder="1" applyAlignment="1">
      <alignment horizontal="center" wrapText="1"/>
    </xf>
    <xf numFmtId="0" fontId="47" fillId="12" borderId="9" xfId="0" applyFont="1" applyFill="1" applyBorder="1" applyAlignment="1">
      <alignment horizontal="center"/>
    </xf>
    <xf numFmtId="0" fontId="47" fillId="12" borderId="69" xfId="0" applyFont="1" applyFill="1" applyBorder="1" applyAlignment="1">
      <alignment horizontal="center"/>
    </xf>
    <xf numFmtId="0" fontId="55" fillId="11" borderId="65" xfId="0" applyFont="1" applyFill="1" applyBorder="1" applyAlignment="1">
      <alignment horizontal="center" vertical="center"/>
    </xf>
    <xf numFmtId="0" fontId="55" fillId="11" borderId="70" xfId="0" applyFont="1" applyFill="1" applyBorder="1" applyAlignment="1">
      <alignment horizontal="center" vertical="center"/>
    </xf>
    <xf numFmtId="0" fontId="55" fillId="11" borderId="66" xfId="0" applyFont="1" applyFill="1" applyBorder="1" applyAlignment="1">
      <alignment horizontal="center" vertical="center"/>
    </xf>
    <xf numFmtId="0" fontId="45" fillId="11" borderId="71" xfId="0" applyFont="1" applyFill="1" applyBorder="1" applyAlignment="1">
      <alignment horizontal="center" vertical="center"/>
    </xf>
    <xf numFmtId="0" fontId="45" fillId="11" borderId="73" xfId="0" applyFont="1" applyFill="1" applyBorder="1" applyAlignment="1">
      <alignment horizontal="center" vertical="center"/>
    </xf>
    <xf numFmtId="0" fontId="45" fillId="11" borderId="64" xfId="0" applyFont="1" applyFill="1" applyBorder="1" applyAlignment="1">
      <alignment horizontal="center" vertical="center"/>
    </xf>
    <xf numFmtId="0" fontId="45" fillId="11" borderId="71" xfId="0" applyFont="1" applyFill="1" applyBorder="1" applyAlignment="1">
      <alignment horizontal="center" vertical="center" wrapText="1"/>
    </xf>
    <xf numFmtId="0" fontId="45" fillId="11" borderId="73" xfId="0" applyFont="1" applyFill="1" applyBorder="1" applyAlignment="1">
      <alignment horizontal="center" vertical="center" wrapText="1"/>
    </xf>
    <xf numFmtId="0" fontId="45" fillId="11" borderId="64" xfId="0" applyFont="1" applyFill="1" applyBorder="1" applyAlignment="1">
      <alignment horizontal="center" vertical="center" wrapText="1"/>
    </xf>
    <xf numFmtId="0" fontId="45" fillId="11" borderId="9" xfId="0" applyFont="1" applyFill="1" applyBorder="1" applyAlignment="1">
      <alignment horizontal="center" wrapText="1"/>
    </xf>
    <xf numFmtId="0" fontId="45" fillId="11" borderId="40" xfId="0" applyFont="1" applyFill="1" applyBorder="1" applyAlignment="1">
      <alignment horizontal="center" wrapText="1"/>
    </xf>
    <xf numFmtId="0" fontId="45" fillId="11" borderId="69" xfId="0" applyFont="1" applyFill="1" applyBorder="1" applyAlignment="1">
      <alignment horizontal="center" wrapText="1"/>
    </xf>
    <xf numFmtId="0" fontId="45" fillId="11" borderId="9" xfId="0" applyFont="1" applyFill="1" applyBorder="1" applyAlignment="1">
      <alignment horizontal="center" vertical="center" wrapText="1"/>
    </xf>
    <xf numFmtId="0" fontId="45" fillId="11" borderId="40" xfId="0" applyFont="1" applyFill="1" applyBorder="1" applyAlignment="1">
      <alignment horizontal="center" vertical="center" wrapText="1"/>
    </xf>
    <xf numFmtId="0" fontId="45" fillId="11" borderId="69" xfId="0" applyFont="1" applyFill="1" applyBorder="1" applyAlignment="1">
      <alignment horizontal="center" vertical="center" wrapText="1"/>
    </xf>
    <xf numFmtId="0" fontId="45" fillId="11" borderId="71" xfId="0" applyFont="1" applyFill="1" applyBorder="1" applyAlignment="1">
      <alignment horizontal="center" wrapText="1"/>
    </xf>
    <xf numFmtId="0" fontId="45" fillId="11" borderId="73" xfId="0" applyFont="1" applyFill="1" applyBorder="1" applyAlignment="1">
      <alignment horizontal="center" wrapText="1"/>
    </xf>
    <xf numFmtId="0" fontId="45" fillId="11" borderId="64" xfId="0" applyFont="1" applyFill="1" applyBorder="1" applyAlignment="1">
      <alignment horizontal="center" wrapText="1"/>
    </xf>
    <xf numFmtId="0" fontId="45" fillId="11" borderId="51" xfId="1" applyNumberFormat="1" applyFont="1" applyFill="1" applyBorder="1" applyAlignment="1">
      <alignment horizontal="left" vertical="top" wrapText="1"/>
    </xf>
    <xf numFmtId="170" fontId="0" fillId="0" borderId="0" xfId="0" applyNumberFormat="1" applyAlignment="1">
      <alignment horizontal="center"/>
    </xf>
    <xf numFmtId="170" fontId="0" fillId="0" borderId="33" xfId="0" applyNumberFormat="1" applyBorder="1" applyAlignment="1">
      <alignment horizontal="center"/>
    </xf>
    <xf numFmtId="170" fontId="0" fillId="0" borderId="0" xfId="15" applyNumberFormat="1" applyFont="1" applyFill="1" applyBorder="1" applyAlignment="1">
      <alignment horizontal="center"/>
    </xf>
    <xf numFmtId="170" fontId="0" fillId="0" borderId="33" xfId="15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3" xfId="0" applyBorder="1" applyAlignment="1">
      <alignment horizontal="center"/>
    </xf>
    <xf numFmtId="9" fontId="45" fillId="0" borderId="9" xfId="15" applyFont="1" applyBorder="1" applyAlignment="1">
      <alignment horizontal="center"/>
    </xf>
    <xf numFmtId="9" fontId="45" fillId="0" borderId="40" xfId="15" applyFont="1" applyBorder="1" applyAlignment="1">
      <alignment horizontal="center"/>
    </xf>
    <xf numFmtId="9" fontId="45" fillId="0" borderId="69" xfId="15" applyFont="1" applyBorder="1" applyAlignment="1">
      <alignment horizontal="center"/>
    </xf>
    <xf numFmtId="0" fontId="45" fillId="0" borderId="9" xfId="0" applyFont="1" applyBorder="1" applyAlignment="1">
      <alignment horizontal="center"/>
    </xf>
    <xf numFmtId="0" fontId="45" fillId="0" borderId="69" xfId="0" applyFont="1" applyBorder="1" applyAlignment="1">
      <alignment horizontal="center"/>
    </xf>
    <xf numFmtId="0" fontId="47" fillId="0" borderId="0" xfId="0" applyFont="1" applyAlignment="1">
      <alignment horizontal="center" vertical="center"/>
    </xf>
    <xf numFmtId="0" fontId="47" fillId="0" borderId="55" xfId="0" applyFont="1" applyBorder="1" applyAlignment="1">
      <alignment horizontal="center" vertical="center" wrapText="1"/>
    </xf>
    <xf numFmtId="0" fontId="47" fillId="0" borderId="42" xfId="0" applyFont="1" applyBorder="1" applyAlignment="1">
      <alignment horizontal="center" vertical="center" wrapText="1"/>
    </xf>
    <xf numFmtId="0" fontId="47" fillId="0" borderId="36" xfId="0" applyFont="1" applyBorder="1" applyAlignment="1">
      <alignment horizontal="center" vertical="center" wrapText="1"/>
    </xf>
    <xf numFmtId="0" fontId="47" fillId="0" borderId="33" xfId="0" applyFont="1" applyBorder="1" applyAlignment="1">
      <alignment horizontal="center" vertical="center" wrapText="1"/>
    </xf>
    <xf numFmtId="0" fontId="47" fillId="0" borderId="55" xfId="0" applyFont="1" applyBorder="1" applyAlignment="1">
      <alignment horizontal="center" vertical="center"/>
    </xf>
    <xf numFmtId="0" fontId="47" fillId="0" borderId="29" xfId="0" applyFont="1" applyBorder="1" applyAlignment="1">
      <alignment horizontal="center" vertical="center"/>
    </xf>
    <xf numFmtId="0" fontId="47" fillId="0" borderId="42" xfId="0" applyFont="1" applyBorder="1" applyAlignment="1">
      <alignment horizontal="center" vertical="center"/>
    </xf>
    <xf numFmtId="0" fontId="47" fillId="0" borderId="36" xfId="0" applyFont="1" applyBorder="1" applyAlignment="1">
      <alignment horizontal="center" vertical="center"/>
    </xf>
    <xf numFmtId="0" fontId="47" fillId="0" borderId="33" xfId="0" applyFont="1" applyBorder="1" applyAlignment="1">
      <alignment horizontal="center" vertical="center"/>
    </xf>
    <xf numFmtId="0" fontId="47" fillId="0" borderId="27" xfId="0" applyFont="1" applyBorder="1" applyAlignment="1">
      <alignment horizontal="center" wrapText="1"/>
    </xf>
    <xf numFmtId="0" fontId="47" fillId="0" borderId="30" xfId="0" applyFont="1" applyBorder="1" applyAlignment="1">
      <alignment horizontal="center" wrapText="1"/>
    </xf>
    <xf numFmtId="0" fontId="65" fillId="0" borderId="0" xfId="10" applyFont="1" applyAlignment="1">
      <alignment horizontal="center"/>
    </xf>
    <xf numFmtId="0" fontId="70" fillId="0" borderId="0" xfId="10" applyFont="1" applyAlignment="1">
      <alignment horizontal="center"/>
    </xf>
    <xf numFmtId="0" fontId="71" fillId="0" borderId="0" xfId="10" applyFont="1" applyAlignment="1">
      <alignment horizontal="center"/>
    </xf>
  </cellXfs>
  <cellStyles count="18">
    <cellStyle name="Comma" xfId="1" builtinId="3"/>
    <cellStyle name="Comma 2" xfId="2" xr:uid="{00000000-0005-0000-0000-000001000000}"/>
    <cellStyle name="Comma_Templates" xfId="3" xr:uid="{00000000-0005-0000-0000-000002000000}"/>
    <cellStyle name="Currency" xfId="4" builtinId="4"/>
    <cellStyle name="Currency 2" xfId="5" xr:uid="{00000000-0005-0000-0000-000004000000}"/>
    <cellStyle name="Currency_Templates" xfId="6" xr:uid="{00000000-0005-0000-0000-000005000000}"/>
    <cellStyle name="Date" xfId="7" xr:uid="{00000000-0005-0000-0000-000006000000}"/>
    <cellStyle name="Fixed" xfId="8" xr:uid="{00000000-0005-0000-0000-000007000000}"/>
    <cellStyle name="Normal" xfId="0" builtinId="0"/>
    <cellStyle name="Normal 2" xfId="9" xr:uid="{00000000-0005-0000-0000-000009000000}"/>
    <cellStyle name="Normal 3" xfId="10" xr:uid="{00000000-0005-0000-0000-00000A000000}"/>
    <cellStyle name="Normal_061117 SPE Home Retire loans PWC Version 17B-PH" xfId="11" xr:uid="{00000000-0005-0000-0000-00000B000000}"/>
    <cellStyle name="Normal_2006 09 23 SPE Home Retire 15 year loans - PH" xfId="12" xr:uid="{00000000-0005-0000-0000-00000C000000}"/>
    <cellStyle name="Normal_Book2" xfId="13" xr:uid="{00000000-0005-0000-0000-00000D000000}"/>
    <cellStyle name="Normal_Templates" xfId="14" xr:uid="{00000000-0005-0000-0000-00000E000000}"/>
    <cellStyle name="Percent" xfId="15" builtinId="5"/>
    <cellStyle name="Percent 2" xfId="16" xr:uid="{00000000-0005-0000-0000-000010000000}"/>
    <cellStyle name="Text" xfId="17" xr:uid="{00000000-0005-0000-0000-000011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391884</xdr:colOff>
      <xdr:row>14</xdr:row>
      <xdr:rowOff>114300</xdr:rowOff>
    </xdr:from>
    <xdr:to>
      <xdr:col>12</xdr:col>
      <xdr:colOff>647699</xdr:colOff>
      <xdr:row>18</xdr:row>
      <xdr:rowOff>54428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256813" y="3205843"/>
          <a:ext cx="2394857" cy="740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200"/>
            </a:lnSpc>
          </a:pPr>
          <a:r>
            <a:rPr lang="en-AU" sz="1100">
              <a:solidFill>
                <a:srgbClr val="FF0000"/>
              </a:solidFill>
            </a:rPr>
            <a:t>Any Changes made need</a:t>
          </a:r>
          <a:r>
            <a:rPr lang="en-AU" sz="1100" baseline="0">
              <a:solidFill>
                <a:srgbClr val="FF0000"/>
              </a:solidFill>
            </a:rPr>
            <a:t> to click </a:t>
          </a:r>
          <a:r>
            <a:rPr lang="en-AU" sz="1100">
              <a:solidFill>
                <a:srgbClr val="FF0000"/>
              </a:solidFill>
            </a:rPr>
            <a:t>refresh button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452438</xdr:colOff>
          <xdr:row>15</xdr:row>
          <xdr:rowOff>80963</xdr:rowOff>
        </xdr:from>
        <xdr:to>
          <xdr:col>7</xdr:col>
          <xdr:colOff>190500</xdr:colOff>
          <xdr:row>16</xdr:row>
          <xdr:rowOff>176213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Button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AK91"/>
  <sheetViews>
    <sheetView topLeftCell="A10" zoomScale="102" zoomScaleNormal="100" workbookViewId="0">
      <selection activeCell="C45" sqref="C45"/>
    </sheetView>
  </sheetViews>
  <sheetFormatPr defaultRowHeight="12.75" x14ac:dyDescent="0.35"/>
  <cols>
    <col min="1" max="1" width="3.1328125" style="366" customWidth="1"/>
    <col min="2" max="2" width="4.9296875" customWidth="1"/>
    <col min="3" max="3" width="37.53125" customWidth="1"/>
    <col min="4" max="4" width="15.53125" customWidth="1"/>
    <col min="5" max="5" width="12.46484375" bestFit="1" customWidth="1"/>
    <col min="6" max="8" width="11" bestFit="1" customWidth="1"/>
    <col min="9" max="9" width="13.53125" customWidth="1"/>
    <col min="10" max="10" width="11.6640625" customWidth="1"/>
    <col min="11" max="11" width="9.19921875" customWidth="1"/>
  </cols>
  <sheetData>
    <row r="1" spans="1:37" ht="22.5" x14ac:dyDescent="0.6">
      <c r="A1" s="8" t="s">
        <v>269</v>
      </c>
      <c r="D1" s="84"/>
    </row>
    <row r="2" spans="1:37" ht="8.1999999999999993" customHeight="1" x14ac:dyDescent="0.6">
      <c r="A2" s="8"/>
      <c r="D2" s="84"/>
    </row>
    <row r="3" spans="1:37" s="627" customFormat="1" ht="20.75" customHeight="1" x14ac:dyDescent="0.5">
      <c r="A3" s="626" t="s">
        <v>278</v>
      </c>
    </row>
    <row r="5" spans="1:37" x14ac:dyDescent="0.35">
      <c r="A5" s="366">
        <v>1</v>
      </c>
      <c r="B5" s="226" t="s">
        <v>344</v>
      </c>
    </row>
    <row r="6" spans="1:37" x14ac:dyDescent="0.35">
      <c r="B6" s="226"/>
    </row>
    <row r="8" spans="1:37" ht="13.15" x14ac:dyDescent="0.4">
      <c r="A8" s="366">
        <v>2</v>
      </c>
      <c r="B8" s="226" t="s">
        <v>309</v>
      </c>
    </row>
    <row r="10" spans="1:37" ht="13.5" thickBot="1" x14ac:dyDescent="0.45">
      <c r="C10" s="221"/>
      <c r="D10" s="221"/>
      <c r="E10" s="221" t="s">
        <v>41</v>
      </c>
      <c r="F10" s="221" t="s">
        <v>127</v>
      </c>
      <c r="G10" s="221" t="s">
        <v>128</v>
      </c>
      <c r="H10" s="221" t="s">
        <v>129</v>
      </c>
      <c r="I10" s="221" t="s">
        <v>130</v>
      </c>
      <c r="J10" s="221"/>
      <c r="AK10">
        <v>0</v>
      </c>
    </row>
    <row r="11" spans="1:37" ht="13.5" thickBot="1" x14ac:dyDescent="0.45">
      <c r="C11" s="368" t="s">
        <v>307</v>
      </c>
      <c r="D11" s="368"/>
      <c r="E11" s="555">
        <v>3500</v>
      </c>
      <c r="F11" s="555">
        <f t="shared" ref="F11:I11" si="0">E11+(E11*F12)</f>
        <v>3850</v>
      </c>
      <c r="G11" s="555">
        <f t="shared" si="0"/>
        <v>4235</v>
      </c>
      <c r="H11" s="555">
        <f t="shared" si="0"/>
        <v>4658.5</v>
      </c>
      <c r="I11" s="754">
        <f t="shared" si="0"/>
        <v>5124.3500000000004</v>
      </c>
      <c r="J11" s="368"/>
    </row>
    <row r="12" spans="1:37" ht="13.15" thickBot="1" x14ac:dyDescent="0.4">
      <c r="C12" s="226" t="s">
        <v>242</v>
      </c>
      <c r="D12" s="369"/>
      <c r="E12" s="623" t="s">
        <v>266</v>
      </c>
      <c r="F12" s="541">
        <v>0.1</v>
      </c>
      <c r="G12" s="541">
        <v>0.1</v>
      </c>
      <c r="H12" s="541">
        <v>0.1</v>
      </c>
      <c r="I12" s="753">
        <v>0.1</v>
      </c>
    </row>
    <row r="13" spans="1:37" x14ac:dyDescent="0.35">
      <c r="D13" s="369"/>
      <c r="E13" s="369"/>
      <c r="F13" s="369"/>
      <c r="G13" s="369"/>
      <c r="H13" s="369"/>
      <c r="I13" s="369"/>
    </row>
    <row r="14" spans="1:37" x14ac:dyDescent="0.35">
      <c r="J14" s="576"/>
    </row>
    <row r="15" spans="1:37" ht="13.5" thickBot="1" x14ac:dyDescent="0.45">
      <c r="C15" s="2" t="s">
        <v>306</v>
      </c>
      <c r="J15" s="576"/>
    </row>
    <row r="16" spans="1:37" ht="14.65" customHeight="1" thickBot="1" x14ac:dyDescent="0.4">
      <c r="C16" s="226" t="s">
        <v>233</v>
      </c>
      <c r="E16" s="687">
        <v>750000</v>
      </c>
      <c r="F16" s="639"/>
      <c r="G16" s="639"/>
      <c r="H16" s="639"/>
      <c r="I16" s="639"/>
      <c r="J16" s="576"/>
    </row>
    <row r="17" spans="1:10" ht="14.65" customHeight="1" thickBot="1" x14ac:dyDescent="0.4">
      <c r="C17" s="226" t="s">
        <v>295</v>
      </c>
      <c r="E17" s="687">
        <v>1200000</v>
      </c>
      <c r="J17" s="576"/>
    </row>
    <row r="18" spans="1:10" ht="14.25" x14ac:dyDescent="0.35">
      <c r="F18" s="751"/>
    </row>
    <row r="19" spans="1:10" ht="13.15" x14ac:dyDescent="0.4">
      <c r="A19" s="366">
        <v>3</v>
      </c>
      <c r="B19" s="637" t="s">
        <v>274</v>
      </c>
    </row>
    <row r="21" spans="1:10" ht="13.15" x14ac:dyDescent="0.4">
      <c r="C21" s="2" t="s">
        <v>69</v>
      </c>
      <c r="E21" s="221" t="s">
        <v>41</v>
      </c>
      <c r="F21" s="221" t="s">
        <v>127</v>
      </c>
      <c r="G21" s="221" t="s">
        <v>128</v>
      </c>
      <c r="H21" s="221" t="s">
        <v>129</v>
      </c>
      <c r="I21" s="221" t="s">
        <v>130</v>
      </c>
      <c r="J21" s="221" t="s">
        <v>45</v>
      </c>
    </row>
    <row r="22" spans="1:10" ht="13.15" thickBot="1" x14ac:dyDescent="0.4"/>
    <row r="23" spans="1:10" ht="13.5" thickBot="1" x14ac:dyDescent="0.45">
      <c r="C23" s="226" t="s">
        <v>296</v>
      </c>
      <c r="E23" s="624">
        <f>'FeeLic&amp;Roy'!F45</f>
        <v>1</v>
      </c>
      <c r="F23" s="624">
        <f>'FeeLic&amp;Roy'!G45</f>
        <v>2</v>
      </c>
      <c r="G23" s="624">
        <f>'FeeLic&amp;Roy'!H45</f>
        <v>2</v>
      </c>
      <c r="H23" s="624">
        <f>'FeeLic&amp;Roy'!I45</f>
        <v>2</v>
      </c>
      <c r="I23" s="624">
        <f>'FeeLic&amp;Roy'!J45</f>
        <v>2</v>
      </c>
      <c r="J23" s="773">
        <f>SUM(E23:I23)</f>
        <v>9</v>
      </c>
    </row>
    <row r="24" spans="1:10" ht="13.5" thickBot="1" x14ac:dyDescent="0.45">
      <c r="C24" s="226" t="s">
        <v>233</v>
      </c>
      <c r="E24" s="695">
        <f>'FeeLic&amp;Roy'!Z45</f>
        <v>0</v>
      </c>
      <c r="F24" s="695">
        <f>'FeeLic&amp;Roy'!AA45</f>
        <v>1</v>
      </c>
      <c r="G24" s="695">
        <f>'FeeLic&amp;Roy'!AB45</f>
        <v>2</v>
      </c>
      <c r="H24" s="695">
        <f>'FeeLic&amp;Roy'!AC45</f>
        <v>4</v>
      </c>
      <c r="I24" s="695">
        <f>'FeeLic&amp;Roy'!AD45</f>
        <v>4</v>
      </c>
      <c r="J24" s="774">
        <f>SUM(E24:I24)</f>
        <v>11</v>
      </c>
    </row>
    <row r="25" spans="1:10" x14ac:dyDescent="0.35">
      <c r="C25" s="226"/>
    </row>
    <row r="26" spans="1:10" x14ac:dyDescent="0.35">
      <c r="B26" s="226"/>
    </row>
    <row r="27" spans="1:10" ht="13.15" x14ac:dyDescent="0.4">
      <c r="A27" s="366">
        <v>4</v>
      </c>
      <c r="B27" s="2" t="s">
        <v>308</v>
      </c>
    </row>
    <row r="28" spans="1:10" ht="13.15" thickBot="1" x14ac:dyDescent="0.4">
      <c r="C28" s="226"/>
    </row>
    <row r="29" spans="1:10" ht="13.5" thickBot="1" x14ac:dyDescent="0.45">
      <c r="C29" s="226" t="s">
        <v>296</v>
      </c>
      <c r="E29" s="696">
        <f>'FeeLic&amp;Roy'!F57</f>
        <v>2100</v>
      </c>
      <c r="F29" s="625">
        <f>'FeeLic&amp;Roy'!G57</f>
        <v>9905</v>
      </c>
      <c r="G29" s="625">
        <f>'FeeLic&amp;Roy'!H57</f>
        <v>25110.75</v>
      </c>
      <c r="H29" s="625">
        <f>'FeeLic&amp;Roy'!I57</f>
        <v>48126.3125</v>
      </c>
      <c r="I29" s="625">
        <f>'FeeLic&amp;Roy'!J57</f>
        <v>79418.206875000003</v>
      </c>
      <c r="J29" s="775">
        <f>SUM(E29:I29)</f>
        <v>164660.269375</v>
      </c>
    </row>
    <row r="30" spans="1:10" ht="13.5" thickBot="1" x14ac:dyDescent="0.45">
      <c r="C30" s="226" t="s">
        <v>233</v>
      </c>
      <c r="E30" s="755">
        <f>'FeeLic&amp;Roy'!Z57</f>
        <v>0</v>
      </c>
      <c r="F30" s="696">
        <f>'FeeLic&amp;Roy'!AA57</f>
        <v>2100</v>
      </c>
      <c r="G30" s="696">
        <f>'FeeLic&amp;Roy'!AB57</f>
        <v>9905</v>
      </c>
      <c r="H30" s="696">
        <f>'FeeLic&amp;Roy'!AC57</f>
        <v>29310.75</v>
      </c>
      <c r="I30" s="696">
        <f>'FeeLic&amp;Roy'!AD57</f>
        <v>63736.3125</v>
      </c>
      <c r="J30" s="776">
        <f>SUM(E30:I30)</f>
        <v>105052.0625</v>
      </c>
    </row>
    <row r="31" spans="1:10" ht="13.15" thickBot="1" x14ac:dyDescent="0.4">
      <c r="C31" s="756"/>
    </row>
    <row r="33" spans="1:18" x14ac:dyDescent="0.35">
      <c r="A33" s="366">
        <v>5</v>
      </c>
      <c r="B33" s="226" t="s">
        <v>275</v>
      </c>
      <c r="J33" s="576"/>
    </row>
    <row r="34" spans="1:18" ht="13.15" thickBot="1" x14ac:dyDescent="0.4">
      <c r="B34" s="226"/>
    </row>
    <row r="35" spans="1:18" ht="13.5" thickBot="1" x14ac:dyDescent="0.45">
      <c r="A35" s="807">
        <v>6</v>
      </c>
      <c r="B35" s="637" t="s">
        <v>336</v>
      </c>
      <c r="C35" s="779"/>
      <c r="D35" s="221" t="s">
        <v>342</v>
      </c>
      <c r="E35" s="50">
        <v>9.5</v>
      </c>
      <c r="F35" s="50">
        <v>16</v>
      </c>
      <c r="G35" s="50">
        <v>25</v>
      </c>
      <c r="H35" s="50">
        <v>33</v>
      </c>
      <c r="I35" s="50">
        <v>38</v>
      </c>
      <c r="J35" s="50">
        <v>38</v>
      </c>
    </row>
    <row r="37" spans="1:18" ht="13.15" x14ac:dyDescent="0.4">
      <c r="A37" s="366">
        <v>7</v>
      </c>
      <c r="B37" s="772" t="s">
        <v>343</v>
      </c>
    </row>
    <row r="38" spans="1:18" ht="13.15" x14ac:dyDescent="0.4">
      <c r="B38" s="772"/>
    </row>
    <row r="39" spans="1:18" ht="13.15" x14ac:dyDescent="0.4">
      <c r="A39" s="808">
        <v>8</v>
      </c>
      <c r="B39" s="809" t="s">
        <v>345</v>
      </c>
      <c r="C39" s="810"/>
      <c r="D39" s="810"/>
      <c r="E39" s="810"/>
      <c r="F39" s="810"/>
      <c r="G39" s="810"/>
      <c r="H39" s="810"/>
      <c r="I39" s="810"/>
      <c r="J39" s="810"/>
      <c r="K39" s="810"/>
      <c r="L39" s="810"/>
      <c r="M39" s="810"/>
      <c r="N39" s="810"/>
      <c r="O39" s="810"/>
      <c r="P39" s="810"/>
      <c r="Q39" s="810"/>
      <c r="R39" s="810"/>
    </row>
    <row r="40" spans="1:18" ht="13.15" x14ac:dyDescent="0.4">
      <c r="A40" s="808"/>
      <c r="B40" s="809"/>
      <c r="C40" s="810"/>
      <c r="D40" s="810"/>
      <c r="E40" s="810"/>
      <c r="F40" s="810"/>
      <c r="G40" s="810"/>
      <c r="H40" s="810"/>
      <c r="I40" s="810"/>
      <c r="J40" s="810"/>
      <c r="K40" s="810"/>
      <c r="L40" s="810"/>
      <c r="M40" s="810"/>
      <c r="N40" s="810"/>
      <c r="O40" s="810"/>
      <c r="P40" s="810"/>
      <c r="Q40" s="810"/>
      <c r="R40" s="810"/>
    </row>
    <row r="41" spans="1:18" ht="13.15" x14ac:dyDescent="0.4">
      <c r="A41" s="808"/>
      <c r="B41" s="811" t="s">
        <v>339</v>
      </c>
      <c r="C41" s="811"/>
      <c r="D41" s="811"/>
      <c r="E41" s="810"/>
      <c r="F41" s="810"/>
      <c r="G41" s="810"/>
      <c r="H41" s="810"/>
      <c r="I41" s="810"/>
      <c r="J41" s="810"/>
      <c r="K41" s="810"/>
      <c r="L41" s="810"/>
      <c r="M41" s="810"/>
      <c r="N41" s="810"/>
      <c r="O41" s="810"/>
      <c r="P41" s="810"/>
      <c r="Q41" s="810"/>
      <c r="R41" s="810"/>
    </row>
    <row r="42" spans="1:18" ht="13.15" x14ac:dyDescent="0.4">
      <c r="A42" s="808"/>
      <c r="B42" s="812" t="s">
        <v>334</v>
      </c>
      <c r="C42" s="811"/>
      <c r="D42" s="811"/>
      <c r="E42" s="810"/>
      <c r="F42" s="810"/>
      <c r="G42" s="810"/>
      <c r="H42" s="810"/>
      <c r="I42" s="810"/>
      <c r="J42" s="810"/>
      <c r="K42" s="810"/>
      <c r="L42" s="810"/>
      <c r="M42" s="810"/>
      <c r="N42" s="810"/>
      <c r="O42" s="810"/>
      <c r="P42" s="810"/>
      <c r="Q42" s="810"/>
      <c r="R42" s="810"/>
    </row>
    <row r="43" spans="1:18" ht="13.15" x14ac:dyDescent="0.4">
      <c r="A43" s="808"/>
      <c r="B43" s="809"/>
      <c r="C43" s="810"/>
      <c r="D43" s="810"/>
      <c r="E43" s="810"/>
      <c r="F43" s="810"/>
      <c r="G43" s="810"/>
      <c r="H43" s="810"/>
      <c r="I43" s="810"/>
      <c r="J43" s="810"/>
      <c r="K43" s="810"/>
      <c r="L43" s="810"/>
      <c r="M43" s="810"/>
      <c r="N43" s="810"/>
      <c r="O43" s="810"/>
      <c r="P43" s="810"/>
      <c r="Q43" s="810"/>
      <c r="R43" s="810"/>
    </row>
    <row r="44" spans="1:18" s="2" customFormat="1" ht="13.15" x14ac:dyDescent="0.4">
      <c r="A44" s="813"/>
      <c r="B44" s="809" t="s">
        <v>348</v>
      </c>
      <c r="C44" s="811"/>
      <c r="D44" s="811"/>
      <c r="E44" s="811"/>
      <c r="F44" s="811"/>
      <c r="G44" s="811"/>
      <c r="H44" s="811"/>
      <c r="I44" s="811"/>
      <c r="J44" s="811"/>
      <c r="K44" s="811"/>
      <c r="L44" s="811"/>
      <c r="M44" s="811"/>
      <c r="N44" s="811"/>
      <c r="O44" s="811"/>
      <c r="P44" s="811"/>
      <c r="Q44" s="811"/>
      <c r="R44" s="811"/>
    </row>
    <row r="45" spans="1:18" s="2" customFormat="1" ht="13.15" x14ac:dyDescent="0.4">
      <c r="A45" s="813"/>
      <c r="B45" s="814" t="s">
        <v>333</v>
      </c>
      <c r="C45" s="811"/>
      <c r="D45" s="811"/>
      <c r="E45" s="811"/>
      <c r="F45" s="811"/>
      <c r="G45" s="811"/>
      <c r="H45" s="811"/>
      <c r="I45" s="811"/>
      <c r="J45" s="811"/>
      <c r="K45" s="811"/>
      <c r="L45" s="811"/>
      <c r="M45" s="811"/>
      <c r="N45" s="811"/>
      <c r="O45" s="811"/>
      <c r="P45" s="811"/>
      <c r="Q45" s="811"/>
      <c r="R45" s="811"/>
    </row>
    <row r="46" spans="1:18" ht="13.15" x14ac:dyDescent="0.4">
      <c r="A46" s="808"/>
      <c r="B46" s="809"/>
      <c r="C46" s="810"/>
      <c r="D46" s="810"/>
      <c r="E46" s="810"/>
      <c r="F46" s="810"/>
      <c r="G46" s="810"/>
      <c r="H46" s="810"/>
      <c r="I46" s="810"/>
      <c r="J46" s="810"/>
      <c r="K46" s="810"/>
      <c r="L46" s="810"/>
      <c r="M46" s="810"/>
      <c r="N46" s="810"/>
      <c r="O46" s="810"/>
      <c r="P46" s="810"/>
      <c r="Q46" s="810"/>
      <c r="R46" s="810"/>
    </row>
    <row r="47" spans="1:18" ht="13.15" x14ac:dyDescent="0.4">
      <c r="A47" s="808"/>
      <c r="B47" s="809" t="s">
        <v>340</v>
      </c>
      <c r="C47" s="810"/>
      <c r="D47" s="810"/>
      <c r="E47" s="810"/>
      <c r="F47" s="810"/>
      <c r="G47" s="810"/>
      <c r="H47" s="810"/>
      <c r="I47" s="810"/>
      <c r="J47" s="810"/>
      <c r="K47" s="810"/>
      <c r="L47" s="810"/>
      <c r="M47" s="810"/>
      <c r="N47" s="810"/>
      <c r="O47" s="810"/>
      <c r="P47" s="810"/>
      <c r="Q47" s="810"/>
      <c r="R47" s="810"/>
    </row>
    <row r="48" spans="1:18" ht="13.15" x14ac:dyDescent="0.4">
      <c r="A48" s="808"/>
      <c r="B48" s="809"/>
      <c r="C48" s="815" t="s">
        <v>332</v>
      </c>
      <c r="D48" s="810"/>
      <c r="E48" s="810"/>
      <c r="F48" s="810"/>
      <c r="G48" s="810"/>
      <c r="H48" s="810"/>
      <c r="I48" s="810"/>
      <c r="J48" s="810"/>
      <c r="K48" s="810"/>
      <c r="L48" s="810"/>
      <c r="M48" s="810"/>
      <c r="N48" s="810"/>
      <c r="O48" s="810"/>
      <c r="P48" s="810"/>
      <c r="Q48" s="810"/>
      <c r="R48" s="810"/>
    </row>
    <row r="49" spans="1:18" ht="13.15" x14ac:dyDescent="0.4">
      <c r="A49" s="808"/>
      <c r="B49" s="809"/>
      <c r="C49" s="815"/>
      <c r="D49" s="810"/>
      <c r="E49" s="810"/>
      <c r="F49" s="810"/>
      <c r="G49" s="810"/>
      <c r="H49" s="810"/>
      <c r="I49" s="810"/>
      <c r="J49" s="810"/>
      <c r="K49" s="810"/>
      <c r="L49" s="810"/>
      <c r="M49" s="810"/>
      <c r="N49" s="810"/>
      <c r="O49" s="810"/>
      <c r="P49" s="810"/>
      <c r="Q49" s="810"/>
      <c r="R49" s="810"/>
    </row>
    <row r="50" spans="1:18" ht="13.15" x14ac:dyDescent="0.4">
      <c r="A50" s="808"/>
      <c r="B50" s="809" t="s">
        <v>341</v>
      </c>
      <c r="C50" s="815"/>
      <c r="D50" s="810"/>
      <c r="E50" s="810"/>
      <c r="F50" s="810"/>
      <c r="G50" s="810"/>
      <c r="H50" s="810"/>
      <c r="I50" s="810"/>
      <c r="J50" s="810"/>
      <c r="K50" s="810"/>
      <c r="L50" s="810"/>
      <c r="M50" s="810"/>
      <c r="N50" s="810"/>
      <c r="O50" s="810"/>
      <c r="P50" s="810"/>
      <c r="Q50" s="810"/>
      <c r="R50" s="810"/>
    </row>
    <row r="51" spans="1:18" ht="13.15" x14ac:dyDescent="0.4">
      <c r="A51" s="808"/>
      <c r="B51" s="809"/>
      <c r="C51" s="815"/>
      <c r="D51" s="810"/>
      <c r="E51" s="810"/>
      <c r="F51" s="810"/>
      <c r="G51" s="810"/>
      <c r="H51" s="810"/>
      <c r="I51" s="810"/>
      <c r="J51" s="810"/>
      <c r="K51" s="810"/>
      <c r="L51" s="810"/>
      <c r="M51" s="810"/>
      <c r="N51" s="810"/>
      <c r="O51" s="810"/>
      <c r="P51" s="810"/>
      <c r="Q51" s="810"/>
      <c r="R51" s="810"/>
    </row>
    <row r="52" spans="1:18" ht="13.15" x14ac:dyDescent="0.4">
      <c r="A52" s="808"/>
      <c r="B52" s="809" t="s">
        <v>338</v>
      </c>
      <c r="C52" s="810"/>
      <c r="D52" s="810"/>
      <c r="E52" s="810"/>
      <c r="F52" s="810"/>
      <c r="G52" s="810"/>
      <c r="H52" s="810"/>
      <c r="I52" s="810"/>
      <c r="J52" s="810"/>
      <c r="K52" s="810"/>
      <c r="L52" s="810"/>
      <c r="M52" s="810"/>
      <c r="N52" s="810"/>
      <c r="O52" s="810"/>
      <c r="P52" s="810"/>
      <c r="Q52" s="810"/>
      <c r="R52" s="810"/>
    </row>
    <row r="53" spans="1:18" ht="16.5" customHeight="1" x14ac:dyDescent="0.35"/>
    <row r="54" spans="1:18" s="821" customFormat="1" ht="20.65" x14ac:dyDescent="0.55000000000000004">
      <c r="A54" s="816">
        <v>9</v>
      </c>
      <c r="B54" s="817" t="s">
        <v>335</v>
      </c>
      <c r="C54" s="818"/>
      <c r="D54" s="819"/>
      <c r="E54" s="819"/>
      <c r="F54" s="820"/>
      <c r="G54" s="820"/>
    </row>
    <row r="55" spans="1:18" ht="13.15" thickBot="1" x14ac:dyDescent="0.4">
      <c r="A55"/>
      <c r="D55" s="84"/>
    </row>
    <row r="56" spans="1:18" ht="13.5" thickBot="1" x14ac:dyDescent="0.45">
      <c r="A56"/>
      <c r="B56" s="2" t="s">
        <v>72</v>
      </c>
      <c r="D56" s="615">
        <v>0.04</v>
      </c>
      <c r="E56" s="226" t="s">
        <v>268</v>
      </c>
    </row>
    <row r="57" spans="1:18" ht="13.5" thickBot="1" x14ac:dyDescent="0.45">
      <c r="A57"/>
      <c r="B57" s="2"/>
      <c r="D57" s="601"/>
    </row>
    <row r="58" spans="1:18" ht="13.5" thickBot="1" x14ac:dyDescent="0.45">
      <c r="A58"/>
      <c r="B58" s="2" t="s">
        <v>67</v>
      </c>
      <c r="D58" s="616">
        <v>4000</v>
      </c>
      <c r="E58" s="226" t="s">
        <v>254</v>
      </c>
    </row>
    <row r="59" spans="1:18" ht="13.5" thickBot="1" x14ac:dyDescent="0.45">
      <c r="A59"/>
      <c r="B59" s="2"/>
      <c r="D59" s="605"/>
      <c r="E59" s="226"/>
    </row>
    <row r="60" spans="1:18" ht="13.5" thickBot="1" x14ac:dyDescent="0.45">
      <c r="A60"/>
      <c r="B60" s="2" t="s">
        <v>247</v>
      </c>
      <c r="D60" s="616">
        <v>2000</v>
      </c>
      <c r="E60" s="3" t="s">
        <v>255</v>
      </c>
    </row>
    <row r="61" spans="1:18" ht="13.15" thickBot="1" x14ac:dyDescent="0.4">
      <c r="A61"/>
      <c r="B61" s="6"/>
      <c r="D61" s="602"/>
      <c r="E61" s="141"/>
    </row>
    <row r="62" spans="1:18" ht="13.5" thickBot="1" x14ac:dyDescent="0.45">
      <c r="A62"/>
      <c r="B62" s="2" t="s">
        <v>257</v>
      </c>
      <c r="D62" s="616">
        <v>500</v>
      </c>
      <c r="E62" s="226" t="s">
        <v>254</v>
      </c>
    </row>
    <row r="63" spans="1:18" ht="13.5" thickBot="1" x14ac:dyDescent="0.45">
      <c r="A63"/>
      <c r="B63" s="2"/>
      <c r="D63" s="605"/>
      <c r="E63" s="226"/>
    </row>
    <row r="64" spans="1:18" ht="13.5" thickBot="1" x14ac:dyDescent="0.45">
      <c r="A64"/>
      <c r="B64" s="2" t="s">
        <v>68</v>
      </c>
      <c r="D64" s="616">
        <v>2000</v>
      </c>
      <c r="E64" s="226" t="s">
        <v>254</v>
      </c>
    </row>
    <row r="65" spans="1:5" ht="13.15" thickBot="1" x14ac:dyDescent="0.4">
      <c r="A65"/>
      <c r="B65" s="6"/>
      <c r="D65" s="602"/>
      <c r="E65" s="141"/>
    </row>
    <row r="66" spans="1:5" ht="13.5" thickBot="1" x14ac:dyDescent="0.45">
      <c r="A66"/>
      <c r="B66" s="2" t="s">
        <v>258</v>
      </c>
      <c r="D66" s="616">
        <v>1000</v>
      </c>
      <c r="E66" s="226" t="s">
        <v>254</v>
      </c>
    </row>
    <row r="67" spans="1:5" ht="13.15" thickBot="1" x14ac:dyDescent="0.4">
      <c r="A67"/>
      <c r="D67" s="603"/>
    </row>
    <row r="68" spans="1:5" ht="13.5" thickBot="1" x14ac:dyDescent="0.45">
      <c r="A68"/>
      <c r="B68" s="2" t="s">
        <v>259</v>
      </c>
      <c r="D68" s="616">
        <v>750</v>
      </c>
      <c r="E68" s="226" t="s">
        <v>254</v>
      </c>
    </row>
    <row r="69" spans="1:5" ht="13.15" thickBot="1" x14ac:dyDescent="0.4">
      <c r="A69"/>
      <c r="D69" s="603"/>
    </row>
    <row r="70" spans="1:5" ht="13.5" thickBot="1" x14ac:dyDescent="0.45">
      <c r="A70"/>
      <c r="B70" s="2" t="s">
        <v>327</v>
      </c>
      <c r="D70" s="616">
        <v>2000</v>
      </c>
      <c r="E70" s="226" t="s">
        <v>254</v>
      </c>
    </row>
    <row r="71" spans="1:5" ht="13.15" thickBot="1" x14ac:dyDescent="0.4">
      <c r="A71"/>
      <c r="D71" s="603"/>
    </row>
    <row r="72" spans="1:5" ht="13.5" thickBot="1" x14ac:dyDescent="0.45">
      <c r="A72"/>
      <c r="B72" s="218" t="s">
        <v>260</v>
      </c>
      <c r="D72" s="616">
        <v>1000</v>
      </c>
      <c r="E72" s="226" t="s">
        <v>254</v>
      </c>
    </row>
    <row r="73" spans="1:5" ht="13.15" thickBot="1" x14ac:dyDescent="0.4">
      <c r="A73"/>
      <c r="D73" s="84"/>
    </row>
    <row r="74" spans="1:5" ht="13.5" thickBot="1" x14ac:dyDescent="0.45">
      <c r="A74"/>
      <c r="B74" s="2" t="s">
        <v>261</v>
      </c>
      <c r="D74" s="616">
        <v>2000</v>
      </c>
      <c r="E74" s="226" t="s">
        <v>254</v>
      </c>
    </row>
    <row r="75" spans="1:5" ht="13.5" thickBot="1" x14ac:dyDescent="0.45">
      <c r="A75"/>
      <c r="B75" s="2"/>
      <c r="D75" s="605"/>
      <c r="E75" s="226"/>
    </row>
    <row r="76" spans="1:5" ht="24.5" customHeight="1" x14ac:dyDescent="0.4">
      <c r="A76"/>
      <c r="B76" s="827" t="s">
        <v>326</v>
      </c>
      <c r="C76" s="828"/>
      <c r="D76" s="746">
        <v>30000</v>
      </c>
      <c r="E76" s="747" t="s">
        <v>249</v>
      </c>
    </row>
    <row r="77" spans="1:5" ht="13.5" thickBot="1" x14ac:dyDescent="0.45">
      <c r="A77"/>
      <c r="B77" s="5" t="s">
        <v>250</v>
      </c>
      <c r="D77" s="618">
        <v>0.5</v>
      </c>
      <c r="E77" s="226" t="s">
        <v>256</v>
      </c>
    </row>
    <row r="78" spans="1:5" ht="13.5" thickBot="1" x14ac:dyDescent="0.45">
      <c r="A78"/>
      <c r="B78" s="2"/>
      <c r="D78" s="605"/>
      <c r="E78" s="226"/>
    </row>
    <row r="79" spans="1:5" ht="13.15" x14ac:dyDescent="0.4">
      <c r="A79"/>
      <c r="B79" s="2" t="s">
        <v>325</v>
      </c>
      <c r="D79" s="617">
        <f>D80*30000</f>
        <v>90000</v>
      </c>
      <c r="E79" s="226" t="s">
        <v>251</v>
      </c>
    </row>
    <row r="80" spans="1:5" ht="13.5" thickBot="1" x14ac:dyDescent="0.45">
      <c r="A80"/>
      <c r="B80" s="5" t="s">
        <v>267</v>
      </c>
      <c r="D80" s="618">
        <v>3</v>
      </c>
      <c r="E80" s="226" t="s">
        <v>256</v>
      </c>
    </row>
    <row r="81" spans="1:12" ht="13.15" thickBot="1" x14ac:dyDescent="0.4">
      <c r="A81"/>
      <c r="D81" s="84"/>
    </row>
    <row r="82" spans="1:12" ht="13.5" thickBot="1" x14ac:dyDescent="0.45">
      <c r="A82"/>
      <c r="B82" s="5" t="s">
        <v>85</v>
      </c>
      <c r="D82" s="615">
        <v>0.05</v>
      </c>
      <c r="E82" s="226" t="s">
        <v>254</v>
      </c>
    </row>
    <row r="83" spans="1:12" x14ac:dyDescent="0.35">
      <c r="A83"/>
      <c r="D83" s="84"/>
    </row>
    <row r="84" spans="1:12" ht="13.5" thickBot="1" x14ac:dyDescent="0.45">
      <c r="A84" s="607"/>
      <c r="B84" s="607"/>
      <c r="C84" s="607"/>
      <c r="D84" s="607"/>
    </row>
    <row r="85" spans="1:12" ht="13.5" thickBot="1" x14ac:dyDescent="0.45">
      <c r="A85"/>
      <c r="B85" s="336" t="s">
        <v>262</v>
      </c>
      <c r="D85" s="616">
        <v>6000</v>
      </c>
      <c r="E85" s="226" t="s">
        <v>254</v>
      </c>
      <c r="F85" s="610"/>
      <c r="G85" s="610"/>
      <c r="H85" s="610"/>
      <c r="I85" s="610"/>
      <c r="J85" s="610"/>
    </row>
    <row r="86" spans="1:12" ht="13.15" x14ac:dyDescent="0.4">
      <c r="A86"/>
      <c r="B86" s="336"/>
      <c r="D86" s="636"/>
      <c r="E86" s="226"/>
      <c r="F86" s="610"/>
      <c r="G86" s="610"/>
      <c r="H86" s="610"/>
      <c r="I86" s="610"/>
      <c r="J86" s="610"/>
      <c r="L86" s="14"/>
    </row>
    <row r="87" spans="1:12" x14ac:dyDescent="0.35">
      <c r="A87"/>
      <c r="D87" s="84"/>
      <c r="F87" s="606"/>
      <c r="G87" s="606"/>
      <c r="H87" s="606"/>
      <c r="I87" s="606"/>
      <c r="J87" s="606"/>
    </row>
    <row r="88" spans="1:12" ht="13.5" thickBot="1" x14ac:dyDescent="0.45">
      <c r="A88"/>
      <c r="D88" s="221" t="s">
        <v>282</v>
      </c>
      <c r="E88" s="221" t="s">
        <v>41</v>
      </c>
      <c r="F88" s="221" t="s">
        <v>127</v>
      </c>
      <c r="G88" s="221" t="s">
        <v>128</v>
      </c>
      <c r="H88" s="221" t="s">
        <v>129</v>
      </c>
      <c r="I88" s="221" t="s">
        <v>130</v>
      </c>
    </row>
    <row r="89" spans="1:12" ht="13.5" thickBot="1" x14ac:dyDescent="0.45">
      <c r="A89"/>
      <c r="B89" s="2" t="s">
        <v>248</v>
      </c>
      <c r="D89" s="696">
        <v>200000</v>
      </c>
      <c r="E89" s="613">
        <f>'P&amp;L'!D12*$F$90</f>
        <v>724806.75626578496</v>
      </c>
      <c r="F89" s="613">
        <f>'P&amp;L'!E12*$F$90</f>
        <v>2439495.639128346</v>
      </c>
      <c r="G89" s="613">
        <f>'P&amp;L'!F12*$G$90</f>
        <v>4089782.168195507</v>
      </c>
      <c r="H89" s="613">
        <f>'P&amp;L'!G12*$H$90</f>
        <v>8411975.605923539</v>
      </c>
      <c r="I89" s="613">
        <f>'P&amp;L'!H12*$I$90</f>
        <v>23269226.48707144</v>
      </c>
    </row>
    <row r="90" spans="1:12" ht="13.15" thickBot="1" x14ac:dyDescent="0.4">
      <c r="A90"/>
      <c r="B90" s="226" t="s">
        <v>263</v>
      </c>
      <c r="E90" s="735">
        <v>0.1</v>
      </c>
      <c r="F90" s="614">
        <v>7.4999999999999997E-2</v>
      </c>
      <c r="G90" s="614">
        <v>0.05</v>
      </c>
      <c r="H90" s="614">
        <v>0.05</v>
      </c>
      <c r="I90" s="730">
        <v>2.5000000000000001E-2</v>
      </c>
    </row>
    <row r="91" spans="1:12" x14ac:dyDescent="0.35">
      <c r="A91"/>
      <c r="D91" s="84"/>
    </row>
  </sheetData>
  <mergeCells count="1">
    <mergeCell ref="B76:C76"/>
  </mergeCells>
  <phoneticPr fontId="1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EPM_US_Solver">
                <anchor moveWithCells="1">
                  <from>
                    <xdr:col>5</xdr:col>
                    <xdr:colOff>452438</xdr:colOff>
                    <xdr:row>15</xdr:row>
                    <xdr:rowOff>80963</xdr:rowOff>
                  </from>
                  <to>
                    <xdr:col>7</xdr:col>
                    <xdr:colOff>190500</xdr:colOff>
                    <xdr:row>16</xdr:row>
                    <xdr:rowOff>176213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BZ70"/>
  <sheetViews>
    <sheetView showGridLines="0"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13" sqref="A13:XFD13"/>
    </sheetView>
  </sheetViews>
  <sheetFormatPr defaultRowHeight="12.75" outlineLevelRow="1" x14ac:dyDescent="0.35"/>
  <cols>
    <col min="1" max="1" width="2.86328125" customWidth="1"/>
    <col min="2" max="2" width="50.3984375" customWidth="1"/>
    <col min="3" max="3" width="14.3984375" customWidth="1"/>
    <col min="4" max="5" width="12.1328125" style="3" customWidth="1"/>
    <col min="6" max="6" width="12.86328125" style="3" customWidth="1"/>
    <col min="7" max="7" width="13.19921875" style="3" customWidth="1"/>
    <col min="8" max="8" width="15.46484375" style="3" customWidth="1"/>
    <col min="9" max="9" width="1" style="3" customWidth="1"/>
    <col min="10" max="10" width="14.53125" style="3" customWidth="1"/>
    <col min="11" max="11" width="3.6640625" style="3" customWidth="1"/>
    <col min="12" max="12" width="13.19921875" style="689" customWidth="1"/>
    <col min="13" max="13" width="16.3984375" style="27" customWidth="1"/>
    <col min="14" max="14" width="16.46484375" style="27" customWidth="1"/>
    <col min="15" max="15" width="12.19921875" style="27" bestFit="1" customWidth="1"/>
    <col min="16" max="78" width="9.1328125" style="27" customWidth="1"/>
  </cols>
  <sheetData>
    <row r="1" spans="2:15" ht="22.5" x14ac:dyDescent="0.6">
      <c r="B1" s="8" t="s">
        <v>269</v>
      </c>
      <c r="C1" s="8"/>
    </row>
    <row r="2" spans="2:15" ht="15" x14ac:dyDescent="0.4">
      <c r="B2" s="10" t="s">
        <v>25</v>
      </c>
      <c r="C2" s="10"/>
    </row>
    <row r="3" spans="2:15" ht="15.4" hidden="1" thickBot="1" x14ac:dyDescent="0.45">
      <c r="B3" s="28" t="s">
        <v>57</v>
      </c>
      <c r="C3" s="28"/>
      <c r="D3" s="137" t="s">
        <v>0</v>
      </c>
      <c r="E3" s="84"/>
      <c r="F3" s="84"/>
      <c r="G3" s="84"/>
      <c r="H3" s="84"/>
      <c r="I3" s="84"/>
      <c r="J3" s="84"/>
      <c r="K3" s="84"/>
    </row>
    <row r="4" spans="2:15" ht="15.4" thickBot="1" x14ac:dyDescent="0.45">
      <c r="B4" s="28"/>
      <c r="C4" s="28"/>
      <c r="D4" s="73"/>
      <c r="E4" s="84"/>
      <c r="F4" s="84"/>
      <c r="G4" s="84"/>
      <c r="H4" s="84"/>
      <c r="I4" s="84"/>
      <c r="J4" s="84"/>
      <c r="K4" s="84"/>
    </row>
    <row r="5" spans="2:15" ht="18" thickBot="1" x14ac:dyDescent="0.55000000000000004">
      <c r="B5" s="9" t="s">
        <v>89</v>
      </c>
      <c r="C5" s="35" t="s">
        <v>282</v>
      </c>
      <c r="D5" s="35" t="s">
        <v>41</v>
      </c>
      <c r="E5" s="35" t="s">
        <v>127</v>
      </c>
      <c r="F5" s="35" t="s">
        <v>128</v>
      </c>
      <c r="G5" s="35" t="s">
        <v>129</v>
      </c>
      <c r="H5" s="71" t="s">
        <v>130</v>
      </c>
      <c r="I5" s="72"/>
      <c r="J5" s="655" t="s">
        <v>277</v>
      </c>
      <c r="K5" s="72"/>
      <c r="L5" s="690" t="s">
        <v>133</v>
      </c>
    </row>
    <row r="6" spans="2:15" ht="15" x14ac:dyDescent="0.4">
      <c r="B6" s="10" t="str">
        <f>Detail!B6</f>
        <v>Revenue &amp; Major Fees</v>
      </c>
      <c r="C6" s="10"/>
      <c r="D6" s="117">
        <v>2</v>
      </c>
      <c r="E6" s="117">
        <v>3</v>
      </c>
      <c r="F6" s="117">
        <v>4</v>
      </c>
      <c r="G6" s="117">
        <v>5</v>
      </c>
      <c r="H6" s="117">
        <v>6</v>
      </c>
      <c r="I6" s="647"/>
      <c r="J6" s="117"/>
      <c r="K6" s="647"/>
    </row>
    <row r="7" spans="2:15" x14ac:dyDescent="0.35">
      <c r="B7" s="347" t="s">
        <v>287</v>
      </c>
      <c r="C7" s="247">
        <f>Detail!AF7</f>
        <v>1500000</v>
      </c>
      <c r="D7" s="247">
        <f>Detail!AG7</f>
        <v>4500000</v>
      </c>
      <c r="E7" s="247">
        <f>Detail!AH7</f>
        <v>6000000</v>
      </c>
      <c r="F7" s="247">
        <f>Detail!AI7</f>
        <v>9000000</v>
      </c>
      <c r="G7" s="247">
        <f>Detail!AJ7</f>
        <v>9000000</v>
      </c>
      <c r="H7" s="247">
        <f>Detail!AK7</f>
        <v>11500000</v>
      </c>
      <c r="I7" s="535"/>
      <c r="J7" s="247">
        <f>SUBTOTAL(9,C7:H7)</f>
        <v>41500000</v>
      </c>
      <c r="K7" s="535"/>
    </row>
    <row r="8" spans="2:15" x14ac:dyDescent="0.35">
      <c r="B8" s="69" t="str">
        <f>Detail!B8</f>
        <v>SaaS Subscription Fees (Recurring Loan Margin)</v>
      </c>
      <c r="C8" s="247">
        <f>Detail!AF8</f>
        <v>0</v>
      </c>
      <c r="D8" s="247">
        <f>Detail!AG8</f>
        <v>4487759.5395437991</v>
      </c>
      <c r="E8" s="247">
        <f>Detail!AH8</f>
        <v>24339559.582178596</v>
      </c>
      <c r="F8" s="247">
        <f>Detail!AI8</f>
        <v>69203761.26625441</v>
      </c>
      <c r="G8" s="247">
        <f>Detail!AJ8</f>
        <v>149669134.35834551</v>
      </c>
      <c r="H8" s="247">
        <f>Detail!AK8</f>
        <v>273763591.66899335</v>
      </c>
      <c r="I8" s="535"/>
      <c r="J8" s="247">
        <f>SUBTOTAL(9,C8:H8)</f>
        <v>521463806.41531569</v>
      </c>
      <c r="K8" s="535"/>
      <c r="O8" s="282"/>
    </row>
    <row r="9" spans="2:15" x14ac:dyDescent="0.35">
      <c r="B9" s="69" t="str">
        <f>Detail!B9</f>
        <v>Mortgage Surplus/S&amp;P Index Appreciation (Realised@5 yearly re-sets)</v>
      </c>
      <c r="C9" s="247">
        <f>Detail!AF9</f>
        <v>0</v>
      </c>
      <c r="D9" s="247">
        <f>Detail!AG9</f>
        <v>0</v>
      </c>
      <c r="E9" s="247">
        <f>Detail!AH9</f>
        <v>0</v>
      </c>
      <c r="F9" s="247">
        <f>Detail!AI9</f>
        <v>0</v>
      </c>
      <c r="G9" s="247">
        <f>Detail!AJ9</f>
        <v>0</v>
      </c>
      <c r="H9" s="247">
        <f>Detail!AK9</f>
        <v>630281750</v>
      </c>
      <c r="I9" s="535"/>
      <c r="J9" s="247">
        <f>SUBTOTAL(9,C9:H9)</f>
        <v>630281750</v>
      </c>
      <c r="K9" s="535"/>
      <c r="O9" s="282"/>
    </row>
    <row r="10" spans="2:15" x14ac:dyDescent="0.35">
      <c r="B10" s="635" t="s">
        <v>322</v>
      </c>
      <c r="C10" s="247">
        <f>+Detail!AF10</f>
        <v>150000</v>
      </c>
      <c r="D10" s="247">
        <f>+Detail!AG10</f>
        <v>450000</v>
      </c>
      <c r="E10" s="247">
        <f>+Detail!AH10</f>
        <v>1650000</v>
      </c>
      <c r="F10" s="247">
        <f>+Detail!AI10</f>
        <v>2550000</v>
      </c>
      <c r="G10" s="247">
        <f>+Detail!AJ10</f>
        <v>2400000</v>
      </c>
      <c r="H10" s="247">
        <f>+Detail!AK10</f>
        <v>3000000</v>
      </c>
      <c r="I10" s="535"/>
      <c r="J10" s="794">
        <f>SUBTOTAL(9,C10:H10)</f>
        <v>10200000</v>
      </c>
      <c r="K10" s="535"/>
      <c r="O10" s="282"/>
    </row>
    <row r="11" spans="2:15" ht="13.15" thickBot="1" x14ac:dyDescent="0.4">
      <c r="B11" s="69" t="str">
        <f>Detail!B11</f>
        <v>Interest Income</v>
      </c>
      <c r="C11" s="247">
        <f>'Cash Movement + Fund Injection'!D13</f>
        <v>0</v>
      </c>
      <c r="D11" s="247">
        <f>'Cash Movement + Fund Injection'!E13</f>
        <v>226330.54399999999</v>
      </c>
      <c r="E11" s="247">
        <f>'Cash Movement + Fund Injection'!F13</f>
        <v>537048.93953268346</v>
      </c>
      <c r="F11" s="247">
        <f>'Cash Movement + Fund Injection'!G13</f>
        <v>1041882.0976557235</v>
      </c>
      <c r="G11" s="247">
        <f>'Cash Movement + Fund Injection'!H13</f>
        <v>7170377.760125258</v>
      </c>
      <c r="H11" s="247">
        <f>'Cash Movement + Fund Injection'!I13</f>
        <v>12223717.813864231</v>
      </c>
      <c r="I11" s="535"/>
      <c r="J11" s="686">
        <f>SUBTOTAL(9,C11:H11)</f>
        <v>21199357.155177895</v>
      </c>
      <c r="K11" s="535"/>
      <c r="O11" s="282"/>
    </row>
    <row r="12" spans="2:15" ht="13.5" thickBot="1" x14ac:dyDescent="0.45">
      <c r="B12" s="355" t="str">
        <f>Detail!B12</f>
        <v>Total Revenue</v>
      </c>
      <c r="C12" s="150">
        <f t="shared" ref="C12:H12" si="0">SUM(C7:C11)</f>
        <v>1650000</v>
      </c>
      <c r="D12" s="150">
        <f t="shared" si="0"/>
        <v>9664090.0835437998</v>
      </c>
      <c r="E12" s="150">
        <f t="shared" si="0"/>
        <v>32526608.521711279</v>
      </c>
      <c r="F12" s="150">
        <f t="shared" si="0"/>
        <v>81795643.363910139</v>
      </c>
      <c r="G12" s="150">
        <f t="shared" si="0"/>
        <v>168239512.11847076</v>
      </c>
      <c r="H12" s="150">
        <f t="shared" si="0"/>
        <v>930769059.48285758</v>
      </c>
      <c r="I12" s="648"/>
      <c r="J12" s="150">
        <f>SUM(J7:J11)</f>
        <v>1224644913.5704935</v>
      </c>
      <c r="K12" s="648"/>
      <c r="L12" s="691" t="b">
        <f>SUM(J12)=SUM(Detail!AF12:AK12)</f>
        <v>1</v>
      </c>
      <c r="M12" s="682"/>
      <c r="N12" s="681"/>
    </row>
    <row r="13" spans="2:15" ht="12.75" customHeight="1" x14ac:dyDescent="0.35">
      <c r="B13" s="612"/>
      <c r="C13" s="612"/>
      <c r="D13" s="611"/>
      <c r="E13" s="611"/>
      <c r="F13" s="611"/>
      <c r="G13" s="611"/>
      <c r="H13" s="611"/>
      <c r="I13" s="649"/>
      <c r="J13" s="611"/>
      <c r="K13" s="649"/>
    </row>
    <row r="14" spans="2:15" ht="12.75" customHeight="1" x14ac:dyDescent="0.4">
      <c r="B14" s="10" t="str">
        <f>Detail!B14</f>
        <v>Expenses</v>
      </c>
      <c r="C14" s="10"/>
      <c r="D14" s="76"/>
      <c r="E14" s="76"/>
      <c r="F14" s="76"/>
      <c r="G14" s="76"/>
      <c r="H14" s="76"/>
      <c r="I14" s="639"/>
      <c r="J14" s="76"/>
      <c r="K14" s="639"/>
    </row>
    <row r="15" spans="2:15" ht="12.75" customHeight="1" outlineLevel="1" x14ac:dyDescent="0.35">
      <c r="B15" s="12" t="str">
        <f>Detail!B15</f>
        <v>Staff Salaries</v>
      </c>
      <c r="C15" s="380">
        <f>Detail!AF16</f>
        <v>702000</v>
      </c>
      <c r="D15" s="380">
        <f>Detail!AG16</f>
        <v>4898000</v>
      </c>
      <c r="E15" s="380">
        <f>Detail!AH16</f>
        <v>7651800</v>
      </c>
      <c r="F15" s="380">
        <f>Detail!AI16</f>
        <v>10700100</v>
      </c>
      <c r="G15" s="380">
        <f>Detail!AJ16</f>
        <v>12776400</v>
      </c>
      <c r="H15" s="380">
        <f>Detail!AK16</f>
        <v>13232700</v>
      </c>
      <c r="I15" s="644"/>
      <c r="J15" s="247">
        <f>SUBTOTAL(9,C15:H15)</f>
        <v>49961000</v>
      </c>
      <c r="K15" s="535"/>
    </row>
    <row r="16" spans="2:15" ht="12.75" customHeight="1" x14ac:dyDescent="0.4">
      <c r="B16" s="11" t="str">
        <f>Detail!B16</f>
        <v>Personnel Expenses</v>
      </c>
      <c r="C16" s="359">
        <f>C15</f>
        <v>702000</v>
      </c>
      <c r="D16" s="359">
        <f>D15</f>
        <v>4898000</v>
      </c>
      <c r="E16" s="359">
        <f t="shared" ref="E16:J16" si="1">E15</f>
        <v>7651800</v>
      </c>
      <c r="F16" s="359">
        <f t="shared" si="1"/>
        <v>10700100</v>
      </c>
      <c r="G16" s="359">
        <f t="shared" si="1"/>
        <v>12776400</v>
      </c>
      <c r="H16" s="359">
        <f t="shared" si="1"/>
        <v>13232700</v>
      </c>
      <c r="I16" s="645"/>
      <c r="J16" s="359">
        <f t="shared" si="1"/>
        <v>49961000</v>
      </c>
      <c r="K16" s="645"/>
      <c r="L16" s="692" t="b">
        <f>SUM(J16)=SUM(Detail!AF16:AK16)</f>
        <v>1</v>
      </c>
    </row>
    <row r="17" spans="2:12" ht="12.75" customHeight="1" outlineLevel="1" x14ac:dyDescent="0.35">
      <c r="B17" s="178"/>
      <c r="C17" s="178"/>
      <c r="D17" s="179"/>
      <c r="E17" s="179"/>
      <c r="F17" s="179"/>
      <c r="G17" s="179"/>
      <c r="H17" s="641"/>
      <c r="I17" s="646"/>
      <c r="J17" s="653"/>
      <c r="K17" s="646"/>
    </row>
    <row r="18" spans="2:12" ht="12.75" customHeight="1" outlineLevel="1" x14ac:dyDescent="0.35">
      <c r="B18" s="180" t="str">
        <f>Detail!B18</f>
        <v>Travel  &amp; Accom - Sales</v>
      </c>
      <c r="C18" s="248">
        <f>Detail!AF18</f>
        <v>0</v>
      </c>
      <c r="D18" s="248">
        <f>Detail!AG18</f>
        <v>283500</v>
      </c>
      <c r="E18" s="248">
        <f>Detail!AH18</f>
        <v>378000</v>
      </c>
      <c r="F18" s="248">
        <f>Detail!AI18</f>
        <v>594000.00000000012</v>
      </c>
      <c r="G18" s="248">
        <f>Detail!AJ18</f>
        <v>620999.99999999988</v>
      </c>
      <c r="H18" s="248">
        <f>Detail!AK18</f>
        <v>864000</v>
      </c>
      <c r="I18" s="646"/>
      <c r="J18" s="247">
        <f>SUBTOTAL(9,C18:H18)</f>
        <v>2740500</v>
      </c>
      <c r="K18" s="535"/>
    </row>
    <row r="19" spans="2:12" ht="12.75" customHeight="1" outlineLevel="1" x14ac:dyDescent="0.35">
      <c r="B19" s="180" t="str">
        <f>Detail!B19</f>
        <v>Marketing</v>
      </c>
      <c r="C19" s="248">
        <f>Detail!AF19</f>
        <v>200000</v>
      </c>
      <c r="D19" s="248">
        <f>Detail!AG19</f>
        <v>724806.75626578496</v>
      </c>
      <c r="E19" s="248">
        <f>Detail!AH19</f>
        <v>2439495.639128346</v>
      </c>
      <c r="F19" s="248">
        <f>Detail!AI19</f>
        <v>4089782.168195507</v>
      </c>
      <c r="G19" s="248">
        <f>Detail!AJ19</f>
        <v>8411975.605923539</v>
      </c>
      <c r="H19" s="248">
        <f>Detail!AK19</f>
        <v>23269226.48707144</v>
      </c>
      <c r="I19" s="646"/>
      <c r="J19" s="247">
        <f>SUBTOTAL(9,C19:H19)</f>
        <v>39135286.65658462</v>
      </c>
      <c r="K19" s="535"/>
    </row>
    <row r="20" spans="2:12" ht="12.75" customHeight="1" outlineLevel="1" x14ac:dyDescent="0.35">
      <c r="B20" s="227" t="s">
        <v>292</v>
      </c>
      <c r="C20" s="248">
        <f>Detail!AF20</f>
        <v>0</v>
      </c>
      <c r="D20" s="248">
        <f>Detail!AG20</f>
        <v>141750</v>
      </c>
      <c r="E20" s="248">
        <f>Detail!AH20</f>
        <v>243225</v>
      </c>
      <c r="F20" s="248">
        <f>Detail!AI20</f>
        <v>333900</v>
      </c>
      <c r="G20" s="248">
        <f>Detail!AJ20</f>
        <v>400500</v>
      </c>
      <c r="H20" s="248">
        <f>Detail!AK20</f>
        <v>417600</v>
      </c>
      <c r="I20" s="646"/>
      <c r="J20" s="247">
        <f>SUBTOTAL(9,C20:H20)</f>
        <v>1536975</v>
      </c>
      <c r="K20" s="535"/>
    </row>
    <row r="21" spans="2:12" ht="12.75" customHeight="1" x14ac:dyDescent="0.4">
      <c r="B21" s="11" t="str">
        <f>Detail!B21</f>
        <v>Sales &amp; Marketing Expenses</v>
      </c>
      <c r="C21" s="359">
        <f>SUM(C18:C20)</f>
        <v>200000</v>
      </c>
      <c r="D21" s="359">
        <f t="shared" ref="D21:H21" si="2">SUM(D18:D20)</f>
        <v>1150056.7562657851</v>
      </c>
      <c r="E21" s="359">
        <f t="shared" si="2"/>
        <v>3060720.639128346</v>
      </c>
      <c r="F21" s="359">
        <f t="shared" si="2"/>
        <v>5017682.1681955075</v>
      </c>
      <c r="G21" s="359">
        <f t="shared" si="2"/>
        <v>9433475.605923539</v>
      </c>
      <c r="H21" s="359">
        <f t="shared" si="2"/>
        <v>24550826.48707144</v>
      </c>
      <c r="I21" s="645"/>
      <c r="J21" s="359">
        <f>SUM(J18:J20)</f>
        <v>43412761.65658462</v>
      </c>
      <c r="K21" s="645"/>
      <c r="L21" s="692" t="b">
        <f>SUM(J21)=SUM(Detail!AF21:AK21)</f>
        <v>1</v>
      </c>
    </row>
    <row r="22" spans="2:12" ht="12.75" customHeight="1" outlineLevel="1" x14ac:dyDescent="0.35">
      <c r="B22" s="178"/>
      <c r="C22" s="178"/>
      <c r="D22" s="179"/>
      <c r="E22" s="179"/>
      <c r="F22" s="179"/>
      <c r="G22" s="179"/>
      <c r="H22" s="641"/>
      <c r="I22" s="646"/>
      <c r="J22" s="653"/>
      <c r="K22" s="646"/>
    </row>
    <row r="23" spans="2:12" ht="12.75" customHeight="1" outlineLevel="1" x14ac:dyDescent="0.35">
      <c r="B23" s="180" t="str">
        <f>Detail!B23</f>
        <v>IT Laptop and support</v>
      </c>
      <c r="C23" s="248">
        <f>Detail!AF23</f>
        <v>100000</v>
      </c>
      <c r="D23" s="248">
        <f>Detail!AG23</f>
        <v>63000</v>
      </c>
      <c r="E23" s="248">
        <f>Detail!AH23</f>
        <v>110000</v>
      </c>
      <c r="F23" s="248">
        <f>Detail!AI23</f>
        <v>151800</v>
      </c>
      <c r="G23" s="248">
        <f>Detail!AJ23</f>
        <v>182400</v>
      </c>
      <c r="H23" s="248">
        <f>Detail!AK23</f>
        <v>190000</v>
      </c>
      <c r="I23" s="646"/>
      <c r="J23" s="247">
        <f>SUBTOTAL(9,C23:H23)</f>
        <v>797200</v>
      </c>
      <c r="K23" s="535"/>
    </row>
    <row r="24" spans="2:12" ht="12.75" customHeight="1" x14ac:dyDescent="0.4">
      <c r="B24" s="11" t="str">
        <f>Detail!B24</f>
        <v>IT Costs</v>
      </c>
      <c r="C24" s="359">
        <f t="shared" ref="C24" si="3">SUM(C23:C23)</f>
        <v>100000</v>
      </c>
      <c r="D24" s="359">
        <f t="shared" ref="D24:J24" si="4">SUM(D23:D23)</f>
        <v>63000</v>
      </c>
      <c r="E24" s="359">
        <f t="shared" si="4"/>
        <v>110000</v>
      </c>
      <c r="F24" s="359">
        <f t="shared" si="4"/>
        <v>151800</v>
      </c>
      <c r="G24" s="359">
        <f t="shared" si="4"/>
        <v>182400</v>
      </c>
      <c r="H24" s="359">
        <f t="shared" si="4"/>
        <v>190000</v>
      </c>
      <c r="I24" s="645"/>
      <c r="J24" s="359">
        <f t="shared" si="4"/>
        <v>797200</v>
      </c>
      <c r="K24" s="645"/>
      <c r="L24" s="692" t="b">
        <f>SUM(J24)=SUM(Detail!AF24:AK24)</f>
        <v>1</v>
      </c>
    </row>
    <row r="25" spans="2:12" ht="12.95" customHeight="1" outlineLevel="1" x14ac:dyDescent="0.35">
      <c r="B25" s="178"/>
      <c r="C25" s="178"/>
      <c r="D25" s="179"/>
      <c r="E25" s="179"/>
      <c r="F25" s="179"/>
      <c r="G25" s="179"/>
      <c r="H25" s="641"/>
      <c r="I25" s="646"/>
      <c r="J25" s="653"/>
      <c r="K25" s="646"/>
    </row>
    <row r="26" spans="2:12" outlineLevel="1" x14ac:dyDescent="0.35">
      <c r="B26" s="180" t="str">
        <f>Detail!B26</f>
        <v>Rental Expenses</v>
      </c>
      <c r="C26" s="248">
        <f>Detail!AF26</f>
        <v>306000</v>
      </c>
      <c r="D26" s="248">
        <f>Detail!AG26</f>
        <v>378000</v>
      </c>
      <c r="E26" s="248">
        <f>Detail!AH26</f>
        <v>660000</v>
      </c>
      <c r="F26" s="248">
        <f>Detail!AI26</f>
        <v>910799.99999999988</v>
      </c>
      <c r="G26" s="248">
        <f>Detail!AJ26</f>
        <v>1094400</v>
      </c>
      <c r="H26" s="248">
        <f>Detail!AK26</f>
        <v>1140000</v>
      </c>
      <c r="I26" s="646"/>
      <c r="J26" s="247">
        <f>SUBTOTAL(9,C26:H26)</f>
        <v>4489200</v>
      </c>
      <c r="K26" s="535"/>
    </row>
    <row r="27" spans="2:12" ht="12.75" customHeight="1" outlineLevel="1" x14ac:dyDescent="0.35">
      <c r="B27" s="180" t="str">
        <f>Detail!B27</f>
        <v>Printing and Stationary</v>
      </c>
      <c r="C27" s="248">
        <f>Detail!AF27</f>
        <v>5000</v>
      </c>
      <c r="D27" s="248">
        <f>Detail!AG27</f>
        <v>7875</v>
      </c>
      <c r="E27" s="248">
        <f>Detail!AH27</f>
        <v>13750</v>
      </c>
      <c r="F27" s="248">
        <f>Detail!AI27</f>
        <v>18975</v>
      </c>
      <c r="G27" s="248">
        <f>Detail!AJ27</f>
        <v>22800</v>
      </c>
      <c r="H27" s="248">
        <f>Detail!AK27</f>
        <v>23750</v>
      </c>
      <c r="I27" s="646"/>
      <c r="J27" s="247">
        <f t="shared" ref="J27:J36" si="5">SUBTOTAL(9,C27:H27)</f>
        <v>92150</v>
      </c>
      <c r="K27" s="535"/>
    </row>
    <row r="28" spans="2:12" ht="12.75" customHeight="1" outlineLevel="1" x14ac:dyDescent="0.35">
      <c r="B28" s="180" t="str">
        <f>Detail!B28</f>
        <v>Telecommunications</v>
      </c>
      <c r="C28" s="248">
        <f>Detail!AF28</f>
        <v>20000</v>
      </c>
      <c r="D28" s="248">
        <f>Detail!AG28</f>
        <v>31500</v>
      </c>
      <c r="E28" s="248">
        <f>Detail!AH28</f>
        <v>55000</v>
      </c>
      <c r="F28" s="248">
        <f>Detail!AI28</f>
        <v>75900</v>
      </c>
      <c r="G28" s="248">
        <f>Detail!AJ28</f>
        <v>91200</v>
      </c>
      <c r="H28" s="248">
        <f>Detail!AK28</f>
        <v>95000</v>
      </c>
      <c r="I28" s="646"/>
      <c r="J28" s="247">
        <f t="shared" si="5"/>
        <v>368600</v>
      </c>
      <c r="K28" s="535"/>
    </row>
    <row r="29" spans="2:12" ht="12.75" customHeight="1" outlineLevel="1" x14ac:dyDescent="0.35">
      <c r="B29" s="180" t="str">
        <f>Detail!B29</f>
        <v>Office Equipment</v>
      </c>
      <c r="C29" s="248">
        <f>Detail!AF29</f>
        <v>9000</v>
      </c>
      <c r="D29" s="248">
        <f>Detail!AG29</f>
        <v>15750</v>
      </c>
      <c r="E29" s="248">
        <f>Detail!AH29</f>
        <v>27500</v>
      </c>
      <c r="F29" s="248">
        <f>Detail!AI29</f>
        <v>37950</v>
      </c>
      <c r="G29" s="248">
        <f>Detail!AJ29</f>
        <v>45600</v>
      </c>
      <c r="H29" s="248">
        <f>Detail!AK29</f>
        <v>47500</v>
      </c>
      <c r="I29" s="646"/>
      <c r="J29" s="247">
        <f t="shared" si="5"/>
        <v>183300</v>
      </c>
      <c r="K29" s="535"/>
    </row>
    <row r="30" spans="2:12" ht="12.75" customHeight="1" outlineLevel="1" x14ac:dyDescent="0.35">
      <c r="B30" s="180" t="str">
        <f>Detail!B30</f>
        <v>International Travel &amp; Accom - Bus Development &amp; Partners</v>
      </c>
      <c r="C30" s="248">
        <f>Detail!AF30</f>
        <v>200000</v>
      </c>
      <c r="D30" s="248">
        <f>Detail!AG30</f>
        <v>330750</v>
      </c>
      <c r="E30" s="248">
        <f>Detail!AH30</f>
        <v>567525</v>
      </c>
      <c r="F30" s="248">
        <f>Detail!AI30</f>
        <v>779100</v>
      </c>
      <c r="G30" s="248">
        <f>Detail!AJ30</f>
        <v>934500</v>
      </c>
      <c r="H30" s="248">
        <f>Detail!AK30</f>
        <v>974400</v>
      </c>
      <c r="I30" s="646"/>
      <c r="J30" s="247">
        <f t="shared" si="5"/>
        <v>3786275</v>
      </c>
      <c r="K30" s="535"/>
    </row>
    <row r="31" spans="2:12" ht="12.75" customHeight="1" outlineLevel="1" x14ac:dyDescent="0.35">
      <c r="B31" s="180" t="str">
        <f>Detail!B31</f>
        <v>Serviced Accomodation</v>
      </c>
      <c r="C31" s="248">
        <f>Detail!AF31</f>
        <v>0</v>
      </c>
      <c r="D31" s="248">
        <f>Detail!AG31</f>
        <v>105000</v>
      </c>
      <c r="E31" s="248">
        <f>Detail!AH31</f>
        <v>220000.00000000003</v>
      </c>
      <c r="F31" s="248">
        <f>Detail!AI31</f>
        <v>229999.99999999997</v>
      </c>
      <c r="G31" s="248">
        <f>Detail!AJ31</f>
        <v>240000</v>
      </c>
      <c r="H31" s="248">
        <f>Detail!AK31</f>
        <v>250000</v>
      </c>
      <c r="I31" s="646"/>
      <c r="J31" s="247">
        <f t="shared" si="5"/>
        <v>1045000</v>
      </c>
      <c r="K31" s="535"/>
    </row>
    <row r="32" spans="2:12" ht="12.75" customHeight="1" outlineLevel="1" x14ac:dyDescent="0.35">
      <c r="B32" s="180" t="str">
        <f>Detail!B32</f>
        <v>Postage and Courier</v>
      </c>
      <c r="C32" s="248">
        <f>Detail!AF32</f>
        <v>8000</v>
      </c>
      <c r="D32" s="248">
        <f>Detail!AG32</f>
        <v>11812.5</v>
      </c>
      <c r="E32" s="248">
        <f>Detail!AH32</f>
        <v>20625.000000000004</v>
      </c>
      <c r="F32" s="248">
        <f>Detail!AI32</f>
        <v>28462.499999999996</v>
      </c>
      <c r="G32" s="248">
        <f>Detail!AJ32</f>
        <v>34200</v>
      </c>
      <c r="H32" s="248">
        <f>Detail!AK32</f>
        <v>35625</v>
      </c>
      <c r="I32" s="646"/>
      <c r="J32" s="247">
        <f t="shared" si="5"/>
        <v>138725</v>
      </c>
      <c r="K32" s="535"/>
    </row>
    <row r="33" spans="1:77" ht="12.75" customHeight="1" outlineLevel="1" x14ac:dyDescent="0.35">
      <c r="B33" s="180" t="str">
        <f>Detail!B33</f>
        <v>Corporate Entertainment</v>
      </c>
      <c r="C33" s="248">
        <f>Detail!AF33</f>
        <v>20000</v>
      </c>
      <c r="D33" s="248">
        <f>Detail!AG33</f>
        <v>31500</v>
      </c>
      <c r="E33" s="248">
        <f>Detail!AH33</f>
        <v>55000</v>
      </c>
      <c r="F33" s="248">
        <f>Detail!AI33</f>
        <v>75900</v>
      </c>
      <c r="G33" s="248">
        <f>Detail!AJ33</f>
        <v>91200</v>
      </c>
      <c r="H33" s="248">
        <f>Detail!AK33</f>
        <v>95000</v>
      </c>
      <c r="I33" s="646"/>
      <c r="J33" s="247">
        <f t="shared" si="5"/>
        <v>368600</v>
      </c>
      <c r="K33" s="535"/>
    </row>
    <row r="34" spans="1:77" ht="12.75" customHeight="1" outlineLevel="1" x14ac:dyDescent="0.35">
      <c r="B34" s="180" t="str">
        <f>Detail!B34</f>
        <v>Conferences</v>
      </c>
      <c r="C34" s="248">
        <f>Detail!AF34</f>
        <v>0</v>
      </c>
      <c r="D34" s="248">
        <f>Detail!AG34</f>
        <v>31500</v>
      </c>
      <c r="E34" s="248">
        <f>Detail!AH34</f>
        <v>55000</v>
      </c>
      <c r="F34" s="248">
        <f>Detail!AI34</f>
        <v>75900</v>
      </c>
      <c r="G34" s="248">
        <f>Detail!AJ34</f>
        <v>91200</v>
      </c>
      <c r="H34" s="248">
        <f>Detail!AK34</f>
        <v>95000</v>
      </c>
      <c r="I34" s="646"/>
      <c r="J34" s="247">
        <f t="shared" si="5"/>
        <v>348600</v>
      </c>
      <c r="K34" s="535"/>
    </row>
    <row r="35" spans="1:77" ht="12.75" customHeight="1" outlineLevel="1" x14ac:dyDescent="0.35">
      <c r="B35" s="180" t="str">
        <f>Detail!B35</f>
        <v>Insurance</v>
      </c>
      <c r="C35" s="248">
        <f>Detail!AF35</f>
        <v>75000</v>
      </c>
      <c r="D35" s="248">
        <f>Detail!AG35</f>
        <v>84450</v>
      </c>
      <c r="E35" s="248">
        <f>Detail!AH35</f>
        <v>169000</v>
      </c>
      <c r="F35" s="248">
        <f>Detail!AI35</f>
        <v>230699.99999999997</v>
      </c>
      <c r="G35" s="248">
        <f>Detail!AJ35</f>
        <v>276600</v>
      </c>
      <c r="H35" s="248">
        <f>Detail!AK35</f>
        <v>288000</v>
      </c>
      <c r="I35" s="646"/>
      <c r="J35" s="247">
        <f t="shared" si="5"/>
        <v>1123750</v>
      </c>
      <c r="K35" s="535"/>
    </row>
    <row r="36" spans="1:77" ht="12.75" customHeight="1" outlineLevel="1" x14ac:dyDescent="0.35">
      <c r="B36" s="180" t="str">
        <f>Detail!B36</f>
        <v>Sundry Exps</v>
      </c>
      <c r="C36" s="248">
        <f>Detail!AF36</f>
        <v>12000</v>
      </c>
      <c r="D36" s="248">
        <f>Detail!AG36</f>
        <v>15750</v>
      </c>
      <c r="E36" s="248">
        <f>Detail!AH36</f>
        <v>27500</v>
      </c>
      <c r="F36" s="248">
        <f>Detail!AI36</f>
        <v>37950</v>
      </c>
      <c r="G36" s="248">
        <f>Detail!AJ36</f>
        <v>45600</v>
      </c>
      <c r="H36" s="248">
        <f>Detail!AK36</f>
        <v>47500</v>
      </c>
      <c r="I36" s="646"/>
      <c r="J36" s="247">
        <f t="shared" si="5"/>
        <v>186300</v>
      </c>
      <c r="K36" s="535"/>
    </row>
    <row r="37" spans="1:77" ht="12.75" customHeight="1" x14ac:dyDescent="0.4">
      <c r="B37" s="11" t="str">
        <f>Detail!B37</f>
        <v>General Overheads</v>
      </c>
      <c r="C37" s="359">
        <f t="shared" ref="C37" si="6">SUM(C26:C36)</f>
        <v>655000</v>
      </c>
      <c r="D37" s="359">
        <f t="shared" ref="D37:J37" si="7">SUM(D26:D36)</f>
        <v>1043887.5</v>
      </c>
      <c r="E37" s="359">
        <f t="shared" si="7"/>
        <v>1870900</v>
      </c>
      <c r="F37" s="359">
        <f t="shared" si="7"/>
        <v>2501637.5</v>
      </c>
      <c r="G37" s="359">
        <f t="shared" si="7"/>
        <v>2967300</v>
      </c>
      <c r="H37" s="359">
        <f t="shared" si="7"/>
        <v>3091775</v>
      </c>
      <c r="I37" s="645"/>
      <c r="J37" s="359">
        <f t="shared" si="7"/>
        <v>12130500</v>
      </c>
      <c r="K37" s="645"/>
      <c r="L37" s="692" t="b">
        <f>SUM(J37)=SUM(Detail!AF37:AK37)</f>
        <v>1</v>
      </c>
    </row>
    <row r="38" spans="1:77" ht="12.75" customHeight="1" outlineLevel="1" x14ac:dyDescent="0.35">
      <c r="B38" s="178"/>
      <c r="C38" s="178"/>
      <c r="D38" s="179"/>
      <c r="E38" s="179"/>
      <c r="F38" s="179"/>
      <c r="G38" s="179"/>
      <c r="H38" s="641"/>
      <c r="I38" s="646"/>
      <c r="J38" s="653"/>
      <c r="K38" s="646"/>
    </row>
    <row r="39" spans="1:77" s="87" customFormat="1" outlineLevel="1" x14ac:dyDescent="0.35">
      <c r="A39"/>
      <c r="B39" s="180" t="str">
        <f>Detail!B39</f>
        <v>Legal Fees</v>
      </c>
      <c r="C39" s="248">
        <f>Detail!AF39</f>
        <v>714285</v>
      </c>
      <c r="D39" s="248">
        <f>Detail!AG39</f>
        <v>649999.25</v>
      </c>
      <c r="E39" s="248">
        <f>Detail!AH39</f>
        <v>1102499.2124999999</v>
      </c>
      <c r="F39" s="248">
        <f>Detail!AI39</f>
        <v>1376124.1731250002</v>
      </c>
      <c r="G39" s="248">
        <f>Detail!AJ39</f>
        <v>1900930.3817812498</v>
      </c>
      <c r="H39" s="248">
        <f>Detail!AK39</f>
        <v>1986976.9008703125</v>
      </c>
      <c r="I39" s="646"/>
      <c r="J39" s="247">
        <f>SUBTOTAL(9,C39:H39)</f>
        <v>7730814.9182765614</v>
      </c>
      <c r="K39" s="535"/>
      <c r="L39" s="689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  <c r="AF39" s="27"/>
      <c r="AG39" s="27"/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  <c r="BS39" s="27"/>
      <c r="BT39" s="27"/>
      <c r="BU39" s="27"/>
      <c r="BV39" s="27"/>
      <c r="BW39" s="27"/>
      <c r="BX39" s="27"/>
      <c r="BY39" s="27"/>
    </row>
    <row r="40" spans="1:77" ht="12.75" customHeight="1" outlineLevel="1" x14ac:dyDescent="0.35">
      <c r="B40" s="180" t="str">
        <f>Detail!B40</f>
        <v>Bank Fee &amp; Other Taxes (E.g. FBT)</v>
      </c>
      <c r="C40" s="248">
        <f>Detail!AF40</f>
        <v>10000</v>
      </c>
      <c r="D40" s="248">
        <f>Detail!AG40</f>
        <v>12487.7595395438</v>
      </c>
      <c r="E40" s="248">
        <f>Detail!AH40</f>
        <v>32339.559582178597</v>
      </c>
      <c r="F40" s="248">
        <f>Detail!AI40</f>
        <v>69203.761266254412</v>
      </c>
      <c r="G40" s="248">
        <f>Detail!AJ40</f>
        <v>149669.1343583455</v>
      </c>
      <c r="H40" s="248">
        <f>Detail!AK40</f>
        <v>273763.59166899335</v>
      </c>
      <c r="I40" s="646"/>
      <c r="J40" s="247">
        <f t="shared" ref="J40:J45" si="8">SUBTOTAL(9,C40:H40)</f>
        <v>547463.80641531572</v>
      </c>
      <c r="K40" s="535"/>
    </row>
    <row r="41" spans="1:77" ht="12.75" customHeight="1" outlineLevel="1" x14ac:dyDescent="0.35">
      <c r="B41" s="180" t="str">
        <f>Detail!B41</f>
        <v xml:space="preserve">Accounting/Audit/Tax Fees </v>
      </c>
      <c r="C41" s="248">
        <f>Detail!AF41</f>
        <v>80000</v>
      </c>
      <c r="D41" s="248">
        <f>Detail!AG41</f>
        <v>226926.55723726278</v>
      </c>
      <c r="E41" s="248">
        <f>Detail!AH41</f>
        <v>346037.35749307158</v>
      </c>
      <c r="F41" s="248">
        <f>Detail!AI41</f>
        <v>605222.56759752647</v>
      </c>
      <c r="G41" s="248">
        <f>Detail!AJ41</f>
        <v>908014.80615007307</v>
      </c>
      <c r="H41" s="248">
        <f>Detail!AK41</f>
        <v>1642581.5500139601</v>
      </c>
      <c r="I41" s="646"/>
      <c r="J41" s="247">
        <f t="shared" si="8"/>
        <v>3808782.8384918943</v>
      </c>
      <c r="K41" s="535"/>
    </row>
    <row r="42" spans="1:77" ht="12.75" customHeight="1" outlineLevel="1" x14ac:dyDescent="0.35">
      <c r="B42" s="180" t="str">
        <f>Detail!B42</f>
        <v>Actuarial, Quant &amp; Asset Consultants</v>
      </c>
      <c r="C42" s="248">
        <f>Detail!AF42</f>
        <v>300000</v>
      </c>
      <c r="D42" s="248">
        <f>Detail!AG42</f>
        <v>634632.78618631396</v>
      </c>
      <c r="E42" s="248">
        <f>Detail!AH42</f>
        <v>1430186.7874653579</v>
      </c>
      <c r="F42" s="248">
        <f>Detail!AI42</f>
        <v>2476112.8379876325</v>
      </c>
      <c r="G42" s="248">
        <f>Detail!AJ42</f>
        <v>4490074.030750365</v>
      </c>
      <c r="H42" s="248">
        <f>Detail!AK42</f>
        <v>8212907.7500698008</v>
      </c>
      <c r="I42" s="646"/>
      <c r="J42" s="247">
        <f t="shared" si="8"/>
        <v>17543914.192459472</v>
      </c>
      <c r="K42" s="535"/>
    </row>
    <row r="43" spans="1:77" ht="12.75" customHeight="1" outlineLevel="1" x14ac:dyDescent="0.35">
      <c r="B43" s="180" t="str">
        <f>Detail!B43</f>
        <v>Platform Build &amp; IT Development/Maintenance</v>
      </c>
      <c r="C43" s="248">
        <f>Detail!AF43</f>
        <v>3000000</v>
      </c>
      <c r="D43" s="248">
        <f>Detail!AG43</f>
        <v>1950000</v>
      </c>
      <c r="E43" s="248">
        <f>Detail!AH43</f>
        <v>1472500</v>
      </c>
      <c r="F43" s="248">
        <f>Detail!AI43</f>
        <v>495000.00000000006</v>
      </c>
      <c r="G43" s="248">
        <f>Detail!AJ43</f>
        <v>517499.99999999994</v>
      </c>
      <c r="H43" s="248">
        <f>Detail!AK43</f>
        <v>540000</v>
      </c>
      <c r="I43" s="646"/>
      <c r="J43" s="247">
        <f t="shared" si="8"/>
        <v>7975000</v>
      </c>
      <c r="K43" s="535"/>
    </row>
    <row r="44" spans="1:77" ht="12.75" customHeight="1" outlineLevel="1" x14ac:dyDescent="0.35">
      <c r="B44" s="180" t="str">
        <f>Detail!B44</f>
        <v>IPProtection, Patents &amp; Trademarks</v>
      </c>
      <c r="C44" s="248">
        <f>Detail!AF44</f>
        <v>0</v>
      </c>
      <c r="D44" s="248">
        <f>Detail!AG44</f>
        <v>350000</v>
      </c>
      <c r="E44" s="248">
        <f>Detail!AH44</f>
        <v>367500</v>
      </c>
      <c r="F44" s="248">
        <f>Detail!AI44</f>
        <v>385875</v>
      </c>
      <c r="G44" s="248">
        <f>Detail!AJ44</f>
        <v>405168.75</v>
      </c>
      <c r="H44" s="248">
        <f>Detail!AK44</f>
        <v>425427.1875</v>
      </c>
      <c r="I44" s="646"/>
      <c r="J44" s="247">
        <f t="shared" si="8"/>
        <v>1933970.9375</v>
      </c>
      <c r="K44" s="535"/>
    </row>
    <row r="45" spans="1:77" ht="12.75" customHeight="1" outlineLevel="1" x14ac:dyDescent="0.35">
      <c r="B45" s="180" t="str">
        <f>Detail!B45</f>
        <v>Non-exec Director Fees</v>
      </c>
      <c r="C45" s="248">
        <f>Detail!AF45</f>
        <v>0</v>
      </c>
      <c r="D45" s="248">
        <f>Detail!AG45</f>
        <v>100000</v>
      </c>
      <c r="E45" s="248">
        <f>Detail!AH45</f>
        <v>105000</v>
      </c>
      <c r="F45" s="248">
        <f>Detail!AI45</f>
        <v>110250</v>
      </c>
      <c r="G45" s="248">
        <f>Detail!AJ45</f>
        <v>115762.5</v>
      </c>
      <c r="H45" s="248">
        <f>Detail!AK45</f>
        <v>121550.625</v>
      </c>
      <c r="I45" s="646"/>
      <c r="J45" s="247">
        <f t="shared" si="8"/>
        <v>552563.125</v>
      </c>
      <c r="K45" s="535"/>
    </row>
    <row r="46" spans="1:77" ht="12.75" customHeight="1" x14ac:dyDescent="0.4">
      <c r="B46" s="11" t="str">
        <f>Detail!B46</f>
        <v>Other Expenses</v>
      </c>
      <c r="C46" s="359">
        <f t="shared" ref="C46:H46" si="9">SUM(C39:C45)</f>
        <v>4104285</v>
      </c>
      <c r="D46" s="359">
        <f t="shared" si="9"/>
        <v>3924046.3529631207</v>
      </c>
      <c r="E46" s="359">
        <f t="shared" si="9"/>
        <v>4856062.9170406079</v>
      </c>
      <c r="F46" s="359">
        <f t="shared" si="9"/>
        <v>5517788.3399764132</v>
      </c>
      <c r="G46" s="359">
        <f t="shared" si="9"/>
        <v>8487119.603040034</v>
      </c>
      <c r="H46" s="359">
        <f t="shared" si="9"/>
        <v>13203207.605123065</v>
      </c>
      <c r="I46" s="645"/>
      <c r="J46" s="359">
        <f>SUM(J39:J45)</f>
        <v>40092509.818143241</v>
      </c>
      <c r="K46" s="645"/>
      <c r="L46" s="692" t="b">
        <f>SUM(J46)=SUM(Detail!AF46:AK46)</f>
        <v>1</v>
      </c>
      <c r="M46" s="677"/>
      <c r="N46" s="678"/>
    </row>
    <row r="47" spans="1:77" ht="13.15" thickBot="1" x14ac:dyDescent="0.4">
      <c r="B47" s="85"/>
      <c r="C47" s="85"/>
      <c r="D47" s="86"/>
      <c r="E47" s="86"/>
      <c r="F47" s="86"/>
      <c r="G47" s="86"/>
      <c r="H47" s="642"/>
      <c r="I47" s="639"/>
      <c r="J47" s="654"/>
      <c r="K47" s="639"/>
      <c r="M47" s="679"/>
    </row>
    <row r="48" spans="1:77" ht="13.5" thickBot="1" x14ac:dyDescent="0.45">
      <c r="B48" s="26" t="str">
        <f>Detail!B48</f>
        <v>Total Operating Expenses</v>
      </c>
      <c r="C48" s="356">
        <f t="shared" ref="C48:H48" si="10">C16+C21+C24+C37+C46</f>
        <v>5761285</v>
      </c>
      <c r="D48" s="356">
        <f t="shared" si="10"/>
        <v>11078990.609228905</v>
      </c>
      <c r="E48" s="356">
        <f t="shared" si="10"/>
        <v>17549483.556168955</v>
      </c>
      <c r="F48" s="356">
        <f t="shared" si="10"/>
        <v>23889008.008171923</v>
      </c>
      <c r="G48" s="356">
        <f t="shared" si="10"/>
        <v>33846695.208963573</v>
      </c>
      <c r="H48" s="356">
        <f t="shared" si="10"/>
        <v>54268509.092194505</v>
      </c>
      <c r="I48" s="650"/>
      <c r="J48" s="356">
        <f>J16+J21+J24+J37+J46</f>
        <v>146393971.47472787</v>
      </c>
      <c r="K48" s="650"/>
      <c r="L48" s="692" t="b">
        <f>SUM(J48)=SUM(Detail!AF48:AK48)</f>
        <v>1</v>
      </c>
    </row>
    <row r="49" spans="1:14" ht="13.15" x14ac:dyDescent="0.4">
      <c r="B49" s="70"/>
      <c r="C49" s="70"/>
      <c r="D49" s="79"/>
      <c r="E49" s="79"/>
      <c r="F49" s="79"/>
      <c r="G49" s="79"/>
      <c r="H49" s="79"/>
      <c r="I49" s="79"/>
      <c r="J49" s="79"/>
      <c r="K49" s="79"/>
    </row>
    <row r="50" spans="1:14" ht="13.15" thickBot="1" x14ac:dyDescent="0.4">
      <c r="B50" s="83" t="str">
        <f>Detail!B50</f>
        <v>Contingency %</v>
      </c>
      <c r="C50" s="782">
        <v>0.05</v>
      </c>
      <c r="D50" s="782">
        <f>Detail!AG50</f>
        <v>0.04</v>
      </c>
      <c r="E50" s="782">
        <f>Detail!AH50</f>
        <v>0.04</v>
      </c>
      <c r="F50" s="782">
        <f>Detail!AI50</f>
        <v>0.04</v>
      </c>
      <c r="G50" s="782">
        <f>Detail!AJ50</f>
        <v>0.04</v>
      </c>
      <c r="H50" s="782">
        <f>Detail!AK50</f>
        <v>0.04</v>
      </c>
      <c r="I50" s="787"/>
      <c r="J50" s="782">
        <f>H50</f>
        <v>0.04</v>
      </c>
      <c r="K50" s="651"/>
    </row>
    <row r="51" spans="1:14" ht="13.5" thickBot="1" x14ac:dyDescent="0.45">
      <c r="A51" s="3"/>
      <c r="B51" s="357" t="str">
        <f>Detail!B51</f>
        <v>Contingency $</v>
      </c>
      <c r="C51" s="151">
        <f>C48 *C50</f>
        <v>288064.25</v>
      </c>
      <c r="D51" s="151">
        <f>D48 *D50</f>
        <v>443159.6243691562</v>
      </c>
      <c r="E51" s="358">
        <f t="shared" ref="E51:J51" si="11">E48 *E50</f>
        <v>701979.34224675817</v>
      </c>
      <c r="F51" s="151">
        <f t="shared" si="11"/>
        <v>955560.32032687694</v>
      </c>
      <c r="G51" s="358">
        <f t="shared" si="11"/>
        <v>1353867.8083585429</v>
      </c>
      <c r="H51" s="151">
        <f t="shared" si="11"/>
        <v>2170740.3636877802</v>
      </c>
      <c r="I51" s="79"/>
      <c r="J51" s="151">
        <f t="shared" si="11"/>
        <v>5855758.8589891149</v>
      </c>
      <c r="K51" s="79"/>
      <c r="L51" s="692" t="b">
        <f>SUM(J51)=SUM(Detail!AF51:AK51)</f>
        <v>1</v>
      </c>
    </row>
    <row r="52" spans="1:14" ht="13.15" x14ac:dyDescent="0.4">
      <c r="A52" s="3"/>
      <c r="B52" s="70"/>
      <c r="C52" s="70"/>
      <c r="D52" s="79"/>
      <c r="E52" s="79"/>
      <c r="F52" s="79"/>
      <c r="G52" s="79"/>
      <c r="H52" s="79"/>
      <c r="I52" s="79"/>
      <c r="J52" s="79"/>
      <c r="K52" s="79"/>
    </row>
    <row r="53" spans="1:14" ht="13.15" thickBot="1" x14ac:dyDescent="0.4">
      <c r="A53" s="3"/>
      <c r="B53" s="361" t="str">
        <f>Detail!B53</f>
        <v>EBITDA %</v>
      </c>
      <c r="C53" s="364">
        <f t="shared" ref="C53:H53" si="12">IF(C12&gt;0,C54 /C12,"")</f>
        <v>-2.6662722727272725</v>
      </c>
      <c r="D53" s="364">
        <f t="shared" si="12"/>
        <v>-0.19226436570766267</v>
      </c>
      <c r="E53" s="364">
        <f t="shared" si="12"/>
        <v>0.4388759318010978</v>
      </c>
      <c r="F53" s="364">
        <f t="shared" si="12"/>
        <v>0.69626049375313404</v>
      </c>
      <c r="G53" s="364">
        <f t="shared" si="12"/>
        <v>0.79077112995587728</v>
      </c>
      <c r="H53" s="364">
        <f t="shared" si="12"/>
        <v>0.93936277868192097</v>
      </c>
      <c r="I53" s="652"/>
      <c r="J53" s="364">
        <f>IF(J12&gt;0,J54 /J12,"")</f>
        <v>0.8756784692063696</v>
      </c>
      <c r="K53" s="652"/>
    </row>
    <row r="54" spans="1:14" ht="13.5" thickBot="1" x14ac:dyDescent="0.45">
      <c r="A54" s="3"/>
      <c r="B54" s="173" t="str">
        <f>Detail!B54</f>
        <v>EBITDA $</v>
      </c>
      <c r="C54" s="351">
        <f t="shared" ref="C54:H54" si="13">C12-C48-C51</f>
        <v>-4399349.25</v>
      </c>
      <c r="D54" s="351">
        <f t="shared" si="13"/>
        <v>-1858060.1500542616</v>
      </c>
      <c r="E54" s="351">
        <f t="shared" si="13"/>
        <v>14275145.623295566</v>
      </c>
      <c r="F54" s="351">
        <f t="shared" si="13"/>
        <v>56951075.035411336</v>
      </c>
      <c r="G54" s="352">
        <f t="shared" si="13"/>
        <v>133038949.10114864</v>
      </c>
      <c r="H54" s="351">
        <f t="shared" si="13"/>
        <v>874329810.02697527</v>
      </c>
      <c r="I54" s="645"/>
      <c r="J54" s="351">
        <f>J12-J48-J51</f>
        <v>1072395183.2367765</v>
      </c>
      <c r="K54" s="645"/>
      <c r="L54" s="692" t="b">
        <f>SUM(J54)=SUM(Detail!AF54:AK54)</f>
        <v>1</v>
      </c>
      <c r="M54" s="282"/>
      <c r="N54" s="149"/>
    </row>
    <row r="55" spans="1:14" ht="13.15" x14ac:dyDescent="0.4">
      <c r="A55" s="3"/>
      <c r="B55" s="5"/>
      <c r="C55" s="5"/>
      <c r="D55" s="76"/>
      <c r="E55" s="76"/>
      <c r="F55" s="76"/>
      <c r="G55" s="76"/>
      <c r="H55" s="76"/>
      <c r="I55" s="639"/>
      <c r="J55" s="76"/>
      <c r="K55" s="639"/>
      <c r="L55" s="690" t="b">
        <f>SUM(C54:H54)=J54</f>
        <v>0</v>
      </c>
      <c r="N55" s="149"/>
    </row>
    <row r="56" spans="1:14" x14ac:dyDescent="0.35">
      <c r="B56" s="6"/>
      <c r="C56" s="6"/>
    </row>
    <row r="57" spans="1:14" ht="13.5" hidden="1" thickBot="1" x14ac:dyDescent="0.45">
      <c r="B57" s="357" t="e">
        <f>Detail!#REF!</f>
        <v>#REF!</v>
      </c>
      <c r="C57" s="357"/>
      <c r="D57" s="151" t="e">
        <f>Detail!#REF!</f>
        <v>#REF!</v>
      </c>
      <c r="E57" s="151" t="e">
        <f>Detail!#REF!</f>
        <v>#REF!</v>
      </c>
      <c r="F57" s="151" t="e">
        <f>Detail!#REF!</f>
        <v>#REF!</v>
      </c>
      <c r="G57" s="151" t="e">
        <f>Detail!#REF!</f>
        <v>#REF!</v>
      </c>
      <c r="H57" s="358" t="e">
        <f>Detail!#REF!</f>
        <v>#REF!</v>
      </c>
      <c r="I57" s="79"/>
      <c r="J57" s="643"/>
      <c r="K57" s="79"/>
    </row>
    <row r="58" spans="1:14" x14ac:dyDescent="0.35">
      <c r="B58" s="6"/>
      <c r="C58" s="6"/>
      <c r="H58" s="736"/>
      <c r="J58" s="737"/>
    </row>
    <row r="59" spans="1:14" ht="13.5" hidden="1" thickBot="1" x14ac:dyDescent="0.45">
      <c r="B59" s="173" t="s">
        <v>87</v>
      </c>
      <c r="C59" s="173"/>
      <c r="D59" s="381"/>
    </row>
    <row r="61" spans="1:14" ht="13.15" x14ac:dyDescent="0.4">
      <c r="B61" s="2"/>
      <c r="C61" s="2"/>
    </row>
    <row r="62" spans="1:14" x14ac:dyDescent="0.35">
      <c r="B62" s="534"/>
      <c r="C62" s="534"/>
      <c r="D62" s="535"/>
      <c r="E62" s="535"/>
      <c r="F62" s="535"/>
      <c r="G62" s="535"/>
      <c r="H62" s="535"/>
      <c r="I62" s="535"/>
      <c r="J62" s="535"/>
      <c r="K62" s="535"/>
    </row>
    <row r="63" spans="1:14" x14ac:dyDescent="0.35">
      <c r="B63" s="534"/>
      <c r="C63" s="534"/>
      <c r="D63" s="535"/>
      <c r="E63" s="535"/>
      <c r="F63" s="535"/>
      <c r="G63" s="535"/>
      <c r="H63" s="535"/>
      <c r="I63" s="535"/>
      <c r="J63" s="535"/>
      <c r="K63" s="535"/>
    </row>
    <row r="64" spans="1:14" ht="13.15" x14ac:dyDescent="0.4">
      <c r="B64" s="2"/>
      <c r="C64" s="2"/>
      <c r="D64" s="536"/>
      <c r="E64" s="536"/>
      <c r="F64" s="536"/>
      <c r="G64" s="536"/>
      <c r="H64" s="536"/>
      <c r="I64" s="536"/>
      <c r="J64" s="536"/>
      <c r="K64" s="536"/>
    </row>
    <row r="67" spans="2:11" ht="13.15" x14ac:dyDescent="0.4">
      <c r="B67" s="2"/>
      <c r="C67" s="2"/>
    </row>
    <row r="68" spans="2:11" x14ac:dyDescent="0.35">
      <c r="B68" s="534"/>
      <c r="C68" s="534"/>
      <c r="D68" s="535"/>
      <c r="E68" s="535"/>
      <c r="F68" s="535"/>
      <c r="G68" s="535"/>
      <c r="H68" s="535"/>
      <c r="I68" s="535"/>
      <c r="J68" s="535"/>
      <c r="K68" s="535"/>
    </row>
    <row r="69" spans="2:11" x14ac:dyDescent="0.35">
      <c r="B69" s="534"/>
      <c r="C69" s="534"/>
      <c r="D69" s="535"/>
      <c r="E69" s="535"/>
      <c r="F69" s="535"/>
      <c r="G69" s="535"/>
      <c r="H69" s="535"/>
      <c r="I69" s="535"/>
      <c r="J69" s="535"/>
      <c r="K69" s="535"/>
    </row>
    <row r="70" spans="2:11" ht="13.15" x14ac:dyDescent="0.4">
      <c r="B70" s="2"/>
      <c r="C70" s="2"/>
      <c r="D70" s="536"/>
      <c r="E70" s="536"/>
      <c r="F70" s="536"/>
      <c r="G70" s="536"/>
      <c r="H70" s="536"/>
      <c r="I70" s="536"/>
      <c r="J70" s="536"/>
      <c r="K70" s="536"/>
    </row>
  </sheetData>
  <phoneticPr fontId="0" type="noConversion"/>
  <dataValidations disablePrompts="1" count="1">
    <dataValidation type="list" allowBlank="1" showInputMessage="1" showErrorMessage="1" sqref="D3:D4" xr:uid="{00000000-0002-0000-0300-000000000000}">
      <formula1>#REF!</formula1>
    </dataValidation>
  </dataValidations>
  <pageMargins left="0.75" right="0.75" top="1" bottom="1" header="0.5" footer="0.5"/>
  <pageSetup paperSize="9" scale="70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9">
    <pageSetUpPr fitToPage="1"/>
  </sheetPr>
  <dimension ref="A1:GR72"/>
  <sheetViews>
    <sheetView showGridLines="0" tabSelected="1" zoomScaleNormal="100" workbookViewId="0">
      <pane xSplit="2" ySplit="3" topLeftCell="C4" activePane="bottomRight" state="frozen"/>
      <selection activeCell="C85" sqref="C85"/>
      <selection pane="topRight" activeCell="C85" sqref="C85"/>
      <selection pane="bottomLeft" activeCell="C85" sqref="C85"/>
      <selection pane="bottomRight" activeCell="N9" sqref="N9"/>
    </sheetView>
  </sheetViews>
  <sheetFormatPr defaultColWidth="8.6640625" defaultRowHeight="12.75" outlineLevelRow="1" x14ac:dyDescent="0.35"/>
  <cols>
    <col min="1" max="1" width="2.86328125" style="325" customWidth="1"/>
    <col min="2" max="2" width="48.1328125" style="325" customWidth="1"/>
    <col min="3" max="3" width="1" style="326" customWidth="1"/>
    <col min="4" max="4" width="16" style="326" customWidth="1"/>
    <col min="5" max="5" width="16.86328125" style="326" customWidth="1"/>
    <col min="6" max="6" width="12.6640625" style="326" customWidth="1"/>
    <col min="7" max="7" width="17.265625" style="326" customWidth="1"/>
    <col min="8" max="8" width="18.9296875" style="326" customWidth="1"/>
    <col min="9" max="9" width="17.19921875" style="326" customWidth="1"/>
    <col min="10" max="10" width="1.19921875" style="326" customWidth="1"/>
    <col min="11" max="11" width="17.73046875" style="326" customWidth="1"/>
    <col min="12" max="12" width="1.53125" style="326" customWidth="1"/>
    <col min="13" max="13" width="13.1328125" style="768" customWidth="1"/>
    <col min="14" max="14" width="15.33203125" style="326" customWidth="1"/>
    <col min="15" max="15" width="15.06640625" style="326" customWidth="1"/>
    <col min="16" max="58" width="9.1328125" style="326" customWidth="1"/>
    <col min="59" max="16384" width="8.6640625" style="325"/>
  </cols>
  <sheetData>
    <row r="1" spans="1:54" x14ac:dyDescent="0.35">
      <c r="B1" s="635"/>
    </row>
    <row r="2" spans="1:54" ht="15.4" thickBot="1" x14ac:dyDescent="0.45">
      <c r="B2" s="345" t="s">
        <v>148</v>
      </c>
    </row>
    <row r="3" spans="1:54" ht="15" x14ac:dyDescent="0.4">
      <c r="B3" s="349"/>
      <c r="D3" s="35" t="str">
        <f>'P&amp;L'!C5</f>
        <v>Year 0</v>
      </c>
      <c r="E3" s="35" t="str">
        <f>'P&amp;L'!D5</f>
        <v>Year 1</v>
      </c>
      <c r="F3" s="35" t="str">
        <f>'P&amp;L'!E5</f>
        <v>Year 2</v>
      </c>
      <c r="G3" s="35" t="str">
        <f>'P&amp;L'!F5</f>
        <v>Year 3</v>
      </c>
      <c r="H3" s="35" t="str">
        <f>'P&amp;L'!G5</f>
        <v>Year 4</v>
      </c>
      <c r="I3" s="71" t="str">
        <f>'P&amp;L'!H5</f>
        <v>Year 5</v>
      </c>
      <c r="J3" s="72"/>
      <c r="K3" s="670" t="s">
        <v>277</v>
      </c>
      <c r="L3" s="72"/>
      <c r="M3" s="769" t="s">
        <v>133</v>
      </c>
    </row>
    <row r="4" spans="1:54" ht="15" x14ac:dyDescent="0.4">
      <c r="B4" s="345" t="s">
        <v>55</v>
      </c>
      <c r="D4" s="805" t="s">
        <v>350</v>
      </c>
      <c r="E4" s="805" t="s">
        <v>351</v>
      </c>
      <c r="F4" s="805"/>
      <c r="G4" s="805" t="s">
        <v>331</v>
      </c>
      <c r="H4" s="332"/>
      <c r="I4" s="332"/>
      <c r="J4" s="332"/>
      <c r="K4" s="332"/>
      <c r="L4" s="332"/>
    </row>
    <row r="5" spans="1:54" x14ac:dyDescent="0.35">
      <c r="B5" s="806"/>
      <c r="C5" s="804"/>
      <c r="D5" s="887" t="s">
        <v>347</v>
      </c>
      <c r="E5" s="887" t="s">
        <v>346</v>
      </c>
      <c r="F5" s="887"/>
      <c r="G5" s="887" t="s">
        <v>337</v>
      </c>
      <c r="H5" s="348"/>
      <c r="I5" s="348"/>
      <c r="J5" s="664"/>
      <c r="K5" s="348"/>
      <c r="L5" s="664"/>
    </row>
    <row r="6" spans="1:54" ht="13.15" thickBot="1" x14ac:dyDescent="0.4">
      <c r="B6" s="806"/>
      <c r="C6" s="804"/>
      <c r="D6" s="886" t="s">
        <v>349</v>
      </c>
      <c r="E6" s="886" t="s">
        <v>352</v>
      </c>
      <c r="F6" s="885"/>
      <c r="G6" s="886" t="s">
        <v>353</v>
      </c>
      <c r="H6" s="348"/>
      <c r="I6" s="348"/>
      <c r="J6" s="664"/>
      <c r="K6" s="348"/>
      <c r="L6" s="664"/>
    </row>
    <row r="7" spans="1:54" ht="13.5" thickBot="1" x14ac:dyDescent="0.45">
      <c r="B7" s="333" t="s">
        <v>354</v>
      </c>
      <c r="D7" s="75">
        <v>10000000</v>
      </c>
      <c r="E7" s="75">
        <v>10000000</v>
      </c>
      <c r="F7" s="75"/>
      <c r="G7" s="75">
        <v>100000000</v>
      </c>
      <c r="H7" s="657"/>
      <c r="I7" s="351"/>
      <c r="J7" s="645"/>
      <c r="K7" s="351">
        <f>SUBTOTAL(9,D7:I7)</f>
        <v>120000000</v>
      </c>
      <c r="L7" s="645"/>
    </row>
    <row r="8" spans="1:54" ht="13.15" x14ac:dyDescent="0.4">
      <c r="B8" s="335"/>
      <c r="D8" s="645"/>
      <c r="E8" s="645"/>
      <c r="F8" s="645"/>
      <c r="G8" s="645"/>
      <c r="H8" s="645"/>
      <c r="I8" s="645"/>
      <c r="J8" s="645"/>
      <c r="K8" s="645"/>
      <c r="L8" s="645"/>
    </row>
    <row r="9" spans="1:54" x14ac:dyDescent="0.35">
      <c r="B9" s="347" t="s">
        <v>287</v>
      </c>
      <c r="D9" s="346">
        <v>1500000</v>
      </c>
      <c r="E9" s="346">
        <f>'P&amp;L'!D7</f>
        <v>4500000</v>
      </c>
      <c r="F9" s="346">
        <f>'P&amp;L'!E7</f>
        <v>6000000</v>
      </c>
      <c r="G9" s="346">
        <f>'P&amp;L'!F7</f>
        <v>9000000</v>
      </c>
      <c r="H9" s="346">
        <f>'P&amp;L'!G7</f>
        <v>9000000</v>
      </c>
      <c r="I9" s="346">
        <f>'P&amp;L'!H7</f>
        <v>11500000</v>
      </c>
      <c r="J9" s="664"/>
      <c r="K9" s="346">
        <f>SUBTOTAL(9,D9:I9)</f>
        <v>41500000</v>
      </c>
      <c r="L9" s="664"/>
      <c r="M9" s="592" t="b">
        <f>SUM(K9)=SUM(Detail!AF7:AK7)</f>
        <v>1</v>
      </c>
    </row>
    <row r="10" spans="1:54" x14ac:dyDescent="0.35">
      <c r="B10" s="347" t="s">
        <v>315</v>
      </c>
      <c r="D10" s="346">
        <f>('P&amp;L'!C8/12*11)</f>
        <v>0</v>
      </c>
      <c r="E10" s="346">
        <f>('P&amp;L'!C8/12*1)+('P&amp;L'!D8/12*11)</f>
        <v>4113779.5779151488</v>
      </c>
      <c r="F10" s="346">
        <f>('P&amp;L'!D8/12*1)+('P&amp;L'!E8/12*11)</f>
        <v>22685242.91195903</v>
      </c>
      <c r="G10" s="346">
        <f>('P&amp;L'!E8/12*1)+('P&amp;L'!F8/12*11)</f>
        <v>65465077.792581432</v>
      </c>
      <c r="H10" s="658">
        <f>('P&amp;L'!F8/12*1)+('P&amp;L'!G8/12*11)</f>
        <v>142963686.60067123</v>
      </c>
      <c r="I10" s="346">
        <f>('P&amp;L'!G8/12*1)+('P&amp;L'!H8/12*11)</f>
        <v>263422386.89310601</v>
      </c>
      <c r="J10" s="664"/>
      <c r="K10" s="346">
        <f>SUBTOTAL(9,D10:I10)</f>
        <v>498650173.77623284</v>
      </c>
      <c r="L10" s="664"/>
      <c r="M10" s="680" t="b">
        <f>SUM(K10)=SUM((Detail!AF8/12*11)+(Detail!AF8/12*1)+(Detail!AG8/12*11)+(Detail!AG8/12*1)+(Detail!AH8/12*11)+(Detail!AH8/12*1)+(Detail!AI8/12*11)+(Detail!AI8/12*1)+(Detail!AJ8/12*11)+(Detail!AJ8/12*1)+(Detail!AK8/12*11))</f>
        <v>1</v>
      </c>
    </row>
    <row r="11" spans="1:54" x14ac:dyDescent="0.35">
      <c r="B11" s="347" t="str">
        <f>'P&amp;L'!B9</f>
        <v>Mortgage Surplus/S&amp;P Index Appreciation (Realised@5 yearly re-sets)</v>
      </c>
      <c r="D11" s="346">
        <f>('P&amp;L'!C9/12*11)</f>
        <v>0</v>
      </c>
      <c r="E11" s="346">
        <f>('P&amp;L'!C9/12*1)+('P&amp;L'!D9/12*11)</f>
        <v>0</v>
      </c>
      <c r="F11" s="346">
        <f>('P&amp;L'!D9/12*1)+('P&amp;L'!E9/12*11)</f>
        <v>0</v>
      </c>
      <c r="G11" s="346">
        <f>('P&amp;L'!E9/12*1)+('P&amp;L'!F9/12*11)</f>
        <v>0</v>
      </c>
      <c r="H11" s="658">
        <f>('P&amp;L'!F9/12*1)+('P&amp;L'!G9/12*11)</f>
        <v>0</v>
      </c>
      <c r="I11" s="346">
        <f>('P&amp;L'!G9/12*1)+('P&amp;L'!H9/12*11)</f>
        <v>577758270.83333325</v>
      </c>
      <c r="J11" s="664"/>
      <c r="K11" s="346">
        <f>SUBTOTAL(9,D11:I11)</f>
        <v>577758270.83333325</v>
      </c>
      <c r="L11" s="664"/>
      <c r="M11" s="680" t="b">
        <f>SUM(K11)=SUM((Detail!AF9/12*11)+(Detail!AF9/12*1)+(Detail!AG9/12*11)+(Detail!AG9/12*1)+(Detail!AH9/12*11)+(Detail!AH9/12*1)+(Detail!AI9/12*11)+(Detail!AI9/12*1)+(Detail!AJ9/12*11)+(Detail!AJ9/12*1)+(Detail!AK9/12*11))</f>
        <v>1</v>
      </c>
    </row>
    <row r="12" spans="1:54" s="635" customFormat="1" x14ac:dyDescent="0.35">
      <c r="A12" s="801"/>
      <c r="B12" s="802" t="str">
        <f>'P&amp;L'!B10</f>
        <v>Capital Markets Arranger Fee Commission</v>
      </c>
      <c r="C12" s="635">
        <f>'P&amp;L'!C10</f>
        <v>150000</v>
      </c>
      <c r="D12" s="795">
        <v>150000</v>
      </c>
      <c r="E12" s="795">
        <v>450000</v>
      </c>
      <c r="F12" s="795">
        <v>1650000</v>
      </c>
      <c r="G12" s="795">
        <v>2550000</v>
      </c>
      <c r="H12" s="795">
        <v>2400000</v>
      </c>
      <c r="I12" s="795">
        <v>3000000</v>
      </c>
      <c r="J12" s="795">
        <f>'P&amp;L'!J10</f>
        <v>10200000</v>
      </c>
      <c r="K12" s="799">
        <f>SUBTOTAL(9,D12:I12)</f>
        <v>10200000</v>
      </c>
      <c r="L12" s="801"/>
      <c r="M12" s="801"/>
      <c r="N12" s="801"/>
      <c r="O12" s="801"/>
      <c r="P12" s="801"/>
      <c r="Q12" s="801"/>
      <c r="R12" s="801"/>
      <c r="S12" s="801"/>
      <c r="T12" s="801"/>
      <c r="U12" s="801"/>
      <c r="V12" s="801"/>
      <c r="W12" s="801"/>
      <c r="X12" s="801"/>
      <c r="Y12" s="801"/>
      <c r="Z12" s="801"/>
      <c r="AA12" s="801"/>
      <c r="AB12" s="801"/>
      <c r="AC12" s="801"/>
      <c r="AD12" s="801"/>
      <c r="AE12" s="801"/>
      <c r="AF12" s="801"/>
      <c r="AG12" s="801"/>
      <c r="AH12" s="801"/>
      <c r="AI12" s="801"/>
      <c r="AJ12" s="801"/>
      <c r="AK12" s="801"/>
      <c r="AL12" s="801"/>
      <c r="AM12" s="801"/>
      <c r="AN12" s="801"/>
      <c r="AO12" s="801"/>
      <c r="AP12" s="801"/>
      <c r="AQ12" s="801"/>
      <c r="AR12" s="801"/>
      <c r="AS12" s="801"/>
      <c r="AT12" s="801"/>
      <c r="AU12" s="801"/>
      <c r="AV12" s="801"/>
      <c r="AW12" s="801"/>
      <c r="AX12" s="801"/>
      <c r="AY12" s="801"/>
      <c r="AZ12" s="801"/>
      <c r="BA12" s="801"/>
      <c r="BB12" s="800"/>
    </row>
    <row r="13" spans="1:54" ht="13.15" thickBot="1" x14ac:dyDescent="0.4">
      <c r="B13" s="347" t="str">
        <f>'P&amp;L'!B11</f>
        <v>Interest Income</v>
      </c>
      <c r="D13" s="346">
        <v>0</v>
      </c>
      <c r="E13" s="346">
        <f>IF(D58&lt;=0,0,D58*0.04)</f>
        <v>226330.54399999999</v>
      </c>
      <c r="F13" s="346">
        <f>IF(E58&lt;=0,0,E58*0.04)</f>
        <v>537048.93953268346</v>
      </c>
      <c r="G13" s="346">
        <f>IF(F58&lt;=0,0,F58*0.04)</f>
        <v>1041882.0976557235</v>
      </c>
      <c r="H13" s="346">
        <f>IF(G58&lt;=0,0,G58*0.04)</f>
        <v>7170377.760125258</v>
      </c>
      <c r="I13" s="346">
        <f>IF(H58&lt;=0,0,H58*0.04)</f>
        <v>12223717.813864231</v>
      </c>
      <c r="J13" s="664"/>
      <c r="K13" s="346">
        <f>SUBTOTAL(9,D13:I13)</f>
        <v>21199357.155177895</v>
      </c>
      <c r="L13" s="664"/>
      <c r="M13" s="680" t="b">
        <f>SUM(K13)=SUM('P&amp;L'!J11)</f>
        <v>1</v>
      </c>
    </row>
    <row r="14" spans="1:54" ht="13.5" thickBot="1" x14ac:dyDescent="0.45">
      <c r="B14" s="333" t="s">
        <v>14</v>
      </c>
      <c r="D14" s="352">
        <f t="shared" ref="D14:I14" si="0">SUM(D9:D13)</f>
        <v>1650000</v>
      </c>
      <c r="E14" s="352">
        <f t="shared" si="0"/>
        <v>9290110.1219151486</v>
      </c>
      <c r="F14" s="352">
        <f t="shared" si="0"/>
        <v>30872291.851491712</v>
      </c>
      <c r="G14" s="352">
        <f t="shared" si="0"/>
        <v>78056959.890237167</v>
      </c>
      <c r="H14" s="352">
        <f t="shared" si="0"/>
        <v>161534064.36079648</v>
      </c>
      <c r="I14" s="352">
        <f t="shared" si="0"/>
        <v>867904375.54030347</v>
      </c>
      <c r="J14" s="645"/>
      <c r="K14" s="352">
        <f>SUM(K9:K13)</f>
        <v>1149307801.764744</v>
      </c>
      <c r="L14" s="645"/>
      <c r="M14" s="592"/>
    </row>
    <row r="15" spans="1:54" ht="13.15" x14ac:dyDescent="0.4">
      <c r="B15" s="826" t="s">
        <v>86</v>
      </c>
      <c r="C15" s="822"/>
      <c r="D15" s="823">
        <f>HR!F100</f>
        <v>9.5</v>
      </c>
      <c r="E15" s="823">
        <f>HR!G100</f>
        <v>16</v>
      </c>
      <c r="F15" s="823">
        <f>HR!H100</f>
        <v>25</v>
      </c>
      <c r="G15" s="823">
        <f>HR!I100</f>
        <v>33</v>
      </c>
      <c r="H15" s="823">
        <f>HR!J100</f>
        <v>38</v>
      </c>
      <c r="I15" s="823">
        <f>HR!K100</f>
        <v>38</v>
      </c>
      <c r="J15" s="824"/>
      <c r="K15" s="825">
        <f>I15</f>
        <v>38</v>
      </c>
      <c r="L15" s="665"/>
      <c r="M15" s="592" t="b">
        <f>SUM(D15:I15)=SUM(HR!F100:K100)</f>
        <v>1</v>
      </c>
    </row>
    <row r="16" spans="1:54" ht="15" x14ac:dyDescent="0.4">
      <c r="B16" s="345" t="s">
        <v>13</v>
      </c>
      <c r="D16" s="334"/>
      <c r="E16" s="334"/>
      <c r="F16" s="334"/>
      <c r="G16" s="334"/>
      <c r="H16" s="334"/>
      <c r="I16" s="334"/>
      <c r="J16" s="665"/>
      <c r="K16" s="334"/>
      <c r="L16" s="665"/>
      <c r="M16" s="592"/>
    </row>
    <row r="17" spans="1:200" outlineLevel="1" x14ac:dyDescent="0.35">
      <c r="B17" s="344" t="s">
        <v>15</v>
      </c>
      <c r="D17" s="327">
        <f>'P&amp;L'!C15</f>
        <v>702000</v>
      </c>
      <c r="E17" s="327">
        <f>'P&amp;L'!D15</f>
        <v>4898000</v>
      </c>
      <c r="F17" s="327">
        <f>'P&amp;L'!E15</f>
        <v>7651800</v>
      </c>
      <c r="G17" s="327">
        <f>'P&amp;L'!F15</f>
        <v>10700100</v>
      </c>
      <c r="H17" s="659">
        <f>'P&amp;L'!G15</f>
        <v>12776400</v>
      </c>
      <c r="I17" s="327">
        <f>'P&amp;L'!H15</f>
        <v>13232700</v>
      </c>
      <c r="J17" s="665"/>
      <c r="K17" s="346">
        <f>SUBTOTAL(9,D17:I17)</f>
        <v>49961000</v>
      </c>
      <c r="L17" s="664"/>
      <c r="M17" s="592"/>
    </row>
    <row r="18" spans="1:200" ht="13.15" x14ac:dyDescent="0.4">
      <c r="B18" s="343" t="s">
        <v>2</v>
      </c>
      <c r="D18" s="74">
        <f t="shared" ref="D18" si="1">SUM(D17:D17)</f>
        <v>702000</v>
      </c>
      <c r="E18" s="74">
        <f t="shared" ref="E18:K18" si="2">SUM(E17:E17)</f>
        <v>4898000</v>
      </c>
      <c r="F18" s="74">
        <f t="shared" si="2"/>
        <v>7651800</v>
      </c>
      <c r="G18" s="74">
        <f t="shared" si="2"/>
        <v>10700100</v>
      </c>
      <c r="H18" s="660">
        <f t="shared" si="2"/>
        <v>12776400</v>
      </c>
      <c r="I18" s="74">
        <f t="shared" si="2"/>
        <v>13232700</v>
      </c>
      <c r="J18" s="645"/>
      <c r="K18" s="74">
        <f t="shared" si="2"/>
        <v>49961000</v>
      </c>
      <c r="L18" s="645"/>
      <c r="M18" s="592" t="b">
        <f>SUM(K18)=SUM(Detail!AF16:AK16)</f>
        <v>1</v>
      </c>
      <c r="N18" s="676"/>
    </row>
    <row r="19" spans="1:200" s="339" customFormat="1" outlineLevel="1" x14ac:dyDescent="0.35">
      <c r="A19" s="325"/>
      <c r="B19" s="342"/>
      <c r="C19" s="340"/>
      <c r="D19" s="341"/>
      <c r="E19" s="341"/>
      <c r="F19" s="341"/>
      <c r="G19" s="341"/>
      <c r="H19" s="341"/>
      <c r="I19" s="341"/>
      <c r="J19" s="665"/>
      <c r="K19" s="671"/>
      <c r="L19" s="665"/>
      <c r="M19" s="592"/>
      <c r="N19" s="326"/>
      <c r="O19" s="326"/>
      <c r="P19" s="326"/>
      <c r="Q19" s="326"/>
      <c r="R19" s="326"/>
      <c r="S19" s="326"/>
      <c r="T19" s="326"/>
      <c r="U19" s="326"/>
      <c r="V19" s="326"/>
      <c r="W19" s="326"/>
      <c r="X19" s="326"/>
      <c r="Y19" s="326"/>
      <c r="Z19" s="326"/>
      <c r="AA19" s="326"/>
      <c r="AB19" s="326"/>
      <c r="AC19" s="326"/>
      <c r="AD19" s="326"/>
      <c r="AE19" s="326"/>
      <c r="AF19" s="326"/>
      <c r="AG19" s="326"/>
      <c r="AH19" s="326"/>
      <c r="AI19" s="326"/>
      <c r="AJ19" s="326"/>
      <c r="AK19" s="326"/>
      <c r="AL19" s="326"/>
      <c r="AM19" s="326"/>
      <c r="AN19" s="326"/>
      <c r="AO19" s="326"/>
      <c r="AP19" s="326"/>
      <c r="AQ19" s="326"/>
      <c r="AR19" s="326"/>
      <c r="AS19" s="326"/>
      <c r="AT19" s="326"/>
      <c r="AU19" s="326"/>
      <c r="AV19" s="326"/>
      <c r="AW19" s="326"/>
      <c r="AX19" s="326"/>
      <c r="AY19" s="326"/>
      <c r="AZ19" s="326"/>
      <c r="BA19" s="326"/>
      <c r="BB19" s="326"/>
      <c r="BC19" s="326"/>
      <c r="BD19" s="326"/>
      <c r="BE19" s="326"/>
      <c r="BF19" s="326"/>
      <c r="BG19" s="325"/>
      <c r="BH19" s="325"/>
      <c r="BI19" s="325"/>
      <c r="BJ19" s="325"/>
      <c r="BK19" s="325"/>
      <c r="BL19" s="325"/>
      <c r="BM19" s="325"/>
      <c r="BN19" s="325"/>
      <c r="BO19" s="325"/>
      <c r="BP19" s="325"/>
      <c r="BQ19" s="325"/>
      <c r="BR19" s="325"/>
      <c r="BS19" s="325"/>
      <c r="BT19" s="325"/>
      <c r="BU19" s="325"/>
      <c r="BV19" s="325"/>
      <c r="BW19" s="325"/>
      <c r="BX19" s="325"/>
      <c r="BY19" s="325"/>
      <c r="BZ19" s="325"/>
      <c r="CA19" s="325"/>
      <c r="CB19" s="325"/>
      <c r="CC19" s="325"/>
      <c r="CD19" s="325"/>
      <c r="CE19" s="325"/>
      <c r="CF19" s="325"/>
      <c r="CG19" s="325"/>
      <c r="CH19" s="325"/>
      <c r="CI19" s="325"/>
      <c r="CJ19" s="325"/>
      <c r="CK19" s="325"/>
      <c r="CL19" s="325"/>
      <c r="CM19" s="325"/>
      <c r="CN19" s="325"/>
      <c r="CO19" s="325"/>
      <c r="CP19" s="325"/>
      <c r="CQ19" s="325"/>
      <c r="CR19" s="325"/>
      <c r="CS19" s="325"/>
      <c r="CT19" s="325"/>
      <c r="CU19" s="325"/>
      <c r="CV19" s="325"/>
      <c r="CW19" s="325"/>
      <c r="CX19" s="325"/>
      <c r="CY19" s="325"/>
      <c r="CZ19" s="325"/>
      <c r="DA19" s="325"/>
      <c r="DB19" s="325"/>
      <c r="DC19" s="325"/>
      <c r="DD19" s="325"/>
      <c r="DE19" s="325"/>
      <c r="DF19" s="325"/>
      <c r="DG19" s="325"/>
      <c r="DH19" s="325"/>
      <c r="DI19" s="325"/>
      <c r="DJ19" s="325"/>
      <c r="DK19" s="325"/>
      <c r="DL19" s="325"/>
      <c r="DM19" s="325"/>
      <c r="DN19" s="325"/>
      <c r="DO19" s="325"/>
      <c r="DP19" s="325"/>
      <c r="DQ19" s="325"/>
      <c r="DR19" s="325"/>
      <c r="DS19" s="325"/>
      <c r="DT19" s="325"/>
      <c r="DU19" s="325"/>
      <c r="DV19" s="325"/>
      <c r="DW19" s="325"/>
      <c r="DX19" s="325"/>
      <c r="DY19" s="325"/>
      <c r="DZ19" s="325"/>
      <c r="EA19" s="325"/>
      <c r="EB19" s="325"/>
      <c r="EC19" s="325"/>
      <c r="ED19" s="325"/>
      <c r="EE19" s="325"/>
      <c r="EF19" s="325"/>
      <c r="EG19" s="325"/>
      <c r="EH19" s="325"/>
      <c r="EI19" s="325"/>
      <c r="EJ19" s="325"/>
      <c r="EK19" s="325"/>
      <c r="EL19" s="325"/>
      <c r="EM19" s="325"/>
      <c r="EN19" s="325"/>
      <c r="EO19" s="325"/>
      <c r="EP19" s="325"/>
      <c r="EQ19" s="325"/>
      <c r="ER19" s="325"/>
      <c r="ES19" s="325"/>
      <c r="ET19" s="325"/>
      <c r="EU19" s="325"/>
      <c r="EV19" s="325"/>
      <c r="EW19" s="325"/>
      <c r="EX19" s="325"/>
      <c r="EY19" s="325"/>
      <c r="EZ19" s="325"/>
      <c r="FA19" s="325"/>
      <c r="FB19" s="325"/>
      <c r="FC19" s="325"/>
      <c r="FD19" s="325"/>
      <c r="FE19" s="325"/>
      <c r="FF19" s="325"/>
      <c r="FG19" s="325"/>
      <c r="FH19" s="325"/>
      <c r="FI19" s="325"/>
      <c r="FJ19" s="325"/>
      <c r="FK19" s="325"/>
      <c r="FL19" s="325"/>
      <c r="FM19" s="325"/>
      <c r="FN19" s="325"/>
      <c r="FO19" s="325"/>
      <c r="FP19" s="325"/>
      <c r="FQ19" s="325"/>
      <c r="FR19" s="325"/>
      <c r="FS19" s="325"/>
      <c r="FT19" s="325"/>
      <c r="FU19" s="325"/>
      <c r="FV19" s="325"/>
      <c r="FW19" s="325"/>
      <c r="FX19" s="325"/>
      <c r="FY19" s="325"/>
      <c r="FZ19" s="325"/>
      <c r="GA19" s="325"/>
      <c r="GB19" s="325"/>
      <c r="GC19" s="325"/>
      <c r="GD19" s="325"/>
      <c r="GE19" s="325"/>
      <c r="GF19" s="325"/>
      <c r="GG19" s="325"/>
      <c r="GH19" s="325"/>
      <c r="GI19" s="325"/>
      <c r="GJ19" s="325"/>
      <c r="GK19" s="325"/>
      <c r="GL19" s="325"/>
      <c r="GM19" s="325"/>
      <c r="GN19" s="325"/>
      <c r="GO19" s="325"/>
      <c r="GP19" s="325"/>
      <c r="GQ19" s="325"/>
      <c r="GR19" s="325"/>
    </row>
    <row r="20" spans="1:200" outlineLevel="1" x14ac:dyDescent="0.35">
      <c r="B20" s="344" t="s">
        <v>289</v>
      </c>
      <c r="D20" s="327">
        <f>'P&amp;L'!C18</f>
        <v>0</v>
      </c>
      <c r="E20" s="327">
        <f>'P&amp;L'!D18</f>
        <v>283500</v>
      </c>
      <c r="F20" s="327">
        <f>'P&amp;L'!E18</f>
        <v>378000</v>
      </c>
      <c r="G20" s="327">
        <f>'P&amp;L'!F18</f>
        <v>594000.00000000012</v>
      </c>
      <c r="H20" s="659">
        <f>'P&amp;L'!G18</f>
        <v>620999.99999999988</v>
      </c>
      <c r="I20" s="327">
        <f>'P&amp;L'!H18</f>
        <v>864000</v>
      </c>
      <c r="J20" s="665"/>
      <c r="K20" s="346">
        <f>SUBTOTAL(9,D20:I20)</f>
        <v>2740500</v>
      </c>
      <c r="L20" s="664"/>
      <c r="M20" s="592"/>
    </row>
    <row r="21" spans="1:200" outlineLevel="1" x14ac:dyDescent="0.35">
      <c r="B21" s="344" t="s">
        <v>66</v>
      </c>
      <c r="D21" s="327">
        <f>'P&amp;L'!C19</f>
        <v>200000</v>
      </c>
      <c r="E21" s="327">
        <f>'P&amp;L'!D19</f>
        <v>724806.75626578496</v>
      </c>
      <c r="F21" s="327">
        <f>'P&amp;L'!E19</f>
        <v>2439495.639128346</v>
      </c>
      <c r="G21" s="327">
        <f>'P&amp;L'!F19</f>
        <v>4089782.168195507</v>
      </c>
      <c r="H21" s="659">
        <f>'P&amp;L'!G19</f>
        <v>8411975.605923539</v>
      </c>
      <c r="I21" s="327">
        <f>'P&amp;L'!H19</f>
        <v>23269226.48707144</v>
      </c>
      <c r="J21" s="665"/>
      <c r="K21" s="346">
        <f>SUBTOTAL(9,D21:I21)</f>
        <v>39135286.65658462</v>
      </c>
      <c r="L21" s="664"/>
      <c r="M21" s="592"/>
    </row>
    <row r="22" spans="1:200" outlineLevel="1" x14ac:dyDescent="0.35">
      <c r="B22" s="344" t="s">
        <v>291</v>
      </c>
      <c r="D22" s="327">
        <f>'P&amp;L'!C20</f>
        <v>0</v>
      </c>
      <c r="E22" s="327">
        <f>'P&amp;L'!D20</f>
        <v>141750</v>
      </c>
      <c r="F22" s="327">
        <f>'P&amp;L'!E20</f>
        <v>243225</v>
      </c>
      <c r="G22" s="327">
        <f>'P&amp;L'!F20</f>
        <v>333900</v>
      </c>
      <c r="H22" s="659">
        <f>'P&amp;L'!G20</f>
        <v>400500</v>
      </c>
      <c r="I22" s="327">
        <f>'P&amp;L'!H20</f>
        <v>417600</v>
      </c>
      <c r="J22" s="665"/>
      <c r="K22" s="346">
        <f>SUBTOTAL(9,D22:I22)</f>
        <v>1536975</v>
      </c>
      <c r="L22" s="664"/>
      <c r="M22" s="592"/>
    </row>
    <row r="23" spans="1:200" ht="13.15" x14ac:dyDescent="0.4">
      <c r="B23" s="343" t="s">
        <v>33</v>
      </c>
      <c r="D23" s="74">
        <f>SUM(D20:D22)</f>
        <v>200000</v>
      </c>
      <c r="E23" s="74">
        <f t="shared" ref="E23:I23" si="3">SUM(E20:E22)</f>
        <v>1150056.7562657851</v>
      </c>
      <c r="F23" s="74">
        <f t="shared" si="3"/>
        <v>3060720.639128346</v>
      </c>
      <c r="G23" s="74">
        <f t="shared" si="3"/>
        <v>5017682.1681955075</v>
      </c>
      <c r="H23" s="74">
        <f t="shared" si="3"/>
        <v>9433475.605923539</v>
      </c>
      <c r="I23" s="74">
        <f t="shared" si="3"/>
        <v>24550826.48707144</v>
      </c>
      <c r="J23" s="645"/>
      <c r="K23" s="74">
        <f>SUM(K20:K22)</f>
        <v>43412761.65658462</v>
      </c>
      <c r="L23" s="645"/>
      <c r="M23" s="592" t="b">
        <f>SUM(K23)=SUM(Detail!AF21:AK21)</f>
        <v>1</v>
      </c>
    </row>
    <row r="24" spans="1:200" s="339" customFormat="1" outlineLevel="1" x14ac:dyDescent="0.35">
      <c r="A24" s="325"/>
      <c r="B24" s="342"/>
      <c r="C24" s="340"/>
      <c r="D24" s="341"/>
      <c r="E24" s="341"/>
      <c r="F24" s="341"/>
      <c r="G24" s="341"/>
      <c r="H24" s="353"/>
      <c r="I24" s="341"/>
      <c r="J24" s="665"/>
      <c r="K24" s="671"/>
      <c r="L24" s="665"/>
      <c r="M24" s="592"/>
      <c r="N24" s="326"/>
      <c r="O24" s="326"/>
      <c r="P24" s="326"/>
      <c r="Q24" s="326"/>
      <c r="R24" s="326"/>
      <c r="S24" s="326"/>
      <c r="T24" s="326"/>
      <c r="U24" s="326"/>
      <c r="V24" s="326"/>
      <c r="W24" s="326"/>
      <c r="X24" s="326"/>
      <c r="Y24" s="326"/>
      <c r="Z24" s="326"/>
      <c r="AA24" s="326"/>
      <c r="AB24" s="326"/>
      <c r="AC24" s="326"/>
      <c r="AD24" s="326"/>
      <c r="AE24" s="326"/>
      <c r="AF24" s="326"/>
      <c r="AG24" s="326"/>
      <c r="AH24" s="326"/>
      <c r="AI24" s="326"/>
      <c r="AJ24" s="326"/>
      <c r="AK24" s="326"/>
      <c r="AL24" s="326"/>
      <c r="AM24" s="326"/>
      <c r="AN24" s="326"/>
      <c r="AO24" s="326"/>
      <c r="AP24" s="326"/>
      <c r="AQ24" s="326"/>
      <c r="AR24" s="326"/>
      <c r="AS24" s="326"/>
      <c r="AT24" s="326"/>
      <c r="AU24" s="326"/>
      <c r="AV24" s="326"/>
      <c r="AW24" s="326"/>
      <c r="AX24" s="326"/>
      <c r="AY24" s="326"/>
      <c r="AZ24" s="326"/>
      <c r="BA24" s="326"/>
      <c r="BB24" s="326"/>
      <c r="BC24" s="326"/>
      <c r="BD24" s="326"/>
      <c r="BE24" s="326"/>
      <c r="BF24" s="326"/>
      <c r="BG24" s="325"/>
      <c r="BH24" s="325"/>
      <c r="BI24" s="325"/>
      <c r="BJ24" s="325"/>
      <c r="BK24" s="325"/>
      <c r="BL24" s="325"/>
      <c r="BM24" s="325"/>
      <c r="BN24" s="325"/>
      <c r="BO24" s="325"/>
      <c r="BP24" s="325"/>
      <c r="BQ24" s="325"/>
      <c r="BR24" s="325"/>
      <c r="BS24" s="325"/>
      <c r="BT24" s="325"/>
      <c r="BU24" s="325"/>
      <c r="BV24" s="325"/>
      <c r="BW24" s="325"/>
      <c r="BX24" s="325"/>
      <c r="BY24" s="325"/>
      <c r="BZ24" s="325"/>
      <c r="CA24" s="325"/>
      <c r="CB24" s="325"/>
      <c r="CC24" s="325"/>
      <c r="CD24" s="325"/>
      <c r="CE24" s="325"/>
      <c r="CF24" s="325"/>
      <c r="CG24" s="325"/>
      <c r="CH24" s="325"/>
      <c r="CI24" s="325"/>
      <c r="CJ24" s="325"/>
      <c r="CK24" s="325"/>
      <c r="CL24" s="325"/>
      <c r="CM24" s="325"/>
      <c r="CN24" s="325"/>
      <c r="CO24" s="325"/>
      <c r="CP24" s="325"/>
      <c r="CQ24" s="325"/>
      <c r="CR24" s="325"/>
      <c r="CS24" s="325"/>
      <c r="CT24" s="325"/>
      <c r="CU24" s="325"/>
      <c r="CV24" s="325"/>
      <c r="CW24" s="325"/>
      <c r="CX24" s="325"/>
      <c r="CY24" s="325"/>
      <c r="CZ24" s="325"/>
      <c r="DA24" s="325"/>
      <c r="DB24" s="325"/>
      <c r="DC24" s="325"/>
      <c r="DD24" s="325"/>
      <c r="DE24" s="325"/>
      <c r="DF24" s="325"/>
      <c r="DG24" s="325"/>
      <c r="DH24" s="325"/>
      <c r="DI24" s="325"/>
      <c r="DJ24" s="325"/>
      <c r="DK24" s="325"/>
      <c r="DL24" s="325"/>
      <c r="DM24" s="325"/>
      <c r="DN24" s="325"/>
      <c r="DO24" s="325"/>
      <c r="DP24" s="325"/>
      <c r="DQ24" s="325"/>
      <c r="DR24" s="325"/>
      <c r="DS24" s="325"/>
      <c r="DT24" s="325"/>
      <c r="DU24" s="325"/>
      <c r="DV24" s="325"/>
      <c r="DW24" s="325"/>
      <c r="DX24" s="325"/>
      <c r="DY24" s="325"/>
      <c r="DZ24" s="325"/>
      <c r="EA24" s="325"/>
      <c r="EB24" s="325"/>
      <c r="EC24" s="325"/>
      <c r="ED24" s="325"/>
      <c r="EE24" s="325"/>
      <c r="EF24" s="325"/>
      <c r="EG24" s="325"/>
      <c r="EH24" s="325"/>
      <c r="EI24" s="325"/>
      <c r="EJ24" s="325"/>
      <c r="EK24" s="325"/>
      <c r="EL24" s="325"/>
      <c r="EM24" s="325"/>
      <c r="EN24" s="325"/>
      <c r="EO24" s="325"/>
      <c r="EP24" s="325"/>
      <c r="EQ24" s="325"/>
      <c r="ER24" s="325"/>
      <c r="ES24" s="325"/>
      <c r="ET24" s="325"/>
      <c r="EU24" s="325"/>
      <c r="EV24" s="325"/>
      <c r="EW24" s="325"/>
      <c r="EX24" s="325"/>
      <c r="EY24" s="325"/>
      <c r="EZ24" s="325"/>
      <c r="FA24" s="325"/>
      <c r="FB24" s="325"/>
      <c r="FC24" s="325"/>
      <c r="FD24" s="325"/>
      <c r="FE24" s="325"/>
      <c r="FF24" s="325"/>
      <c r="FG24" s="325"/>
      <c r="FH24" s="325"/>
      <c r="FI24" s="325"/>
      <c r="FJ24" s="325"/>
      <c r="FK24" s="325"/>
      <c r="FL24" s="325"/>
      <c r="FM24" s="325"/>
      <c r="FN24" s="325"/>
      <c r="FO24" s="325"/>
      <c r="FP24" s="325"/>
      <c r="FQ24" s="325"/>
      <c r="FR24" s="325"/>
      <c r="FS24" s="325"/>
      <c r="FT24" s="325"/>
      <c r="FU24" s="325"/>
      <c r="FV24" s="325"/>
      <c r="FW24" s="325"/>
      <c r="FX24" s="325"/>
      <c r="FY24" s="325"/>
      <c r="FZ24" s="325"/>
      <c r="GA24" s="325"/>
      <c r="GB24" s="325"/>
      <c r="GC24" s="325"/>
      <c r="GD24" s="325"/>
      <c r="GE24" s="325"/>
      <c r="GF24" s="325"/>
      <c r="GG24" s="325"/>
      <c r="GH24" s="325"/>
      <c r="GI24" s="325"/>
      <c r="GJ24" s="325"/>
      <c r="GK24" s="325"/>
      <c r="GL24" s="325"/>
      <c r="GM24" s="325"/>
      <c r="GN24" s="325"/>
      <c r="GO24" s="325"/>
      <c r="GP24" s="325"/>
      <c r="GQ24" s="325"/>
      <c r="GR24" s="325"/>
    </row>
    <row r="25" spans="1:200" outlineLevel="1" x14ac:dyDescent="0.35">
      <c r="B25" s="344" t="str">
        <f>Detail!B23</f>
        <v>IT Laptop and support</v>
      </c>
      <c r="D25" s="327">
        <f>'P&amp;L'!C23</f>
        <v>100000</v>
      </c>
      <c r="E25" s="327">
        <f>'P&amp;L'!D23</f>
        <v>63000</v>
      </c>
      <c r="F25" s="327">
        <f>'P&amp;L'!E23</f>
        <v>110000</v>
      </c>
      <c r="G25" s="327">
        <f>'P&amp;L'!F23</f>
        <v>151800</v>
      </c>
      <c r="H25" s="659">
        <f>'P&amp;L'!G23</f>
        <v>182400</v>
      </c>
      <c r="I25" s="327">
        <f>'P&amp;L'!H23</f>
        <v>190000</v>
      </c>
      <c r="J25" s="665"/>
      <c r="K25" s="346">
        <f>SUBTOTAL(9,D25:I25)</f>
        <v>797200</v>
      </c>
      <c r="L25" s="664"/>
      <c r="M25" s="592"/>
    </row>
    <row r="26" spans="1:200" ht="13.15" x14ac:dyDescent="0.4">
      <c r="B26" s="343" t="s">
        <v>12</v>
      </c>
      <c r="D26" s="74">
        <f t="shared" ref="D26" si="4">SUM(D25:D25)</f>
        <v>100000</v>
      </c>
      <c r="E26" s="74">
        <f t="shared" ref="E26:K26" si="5">SUM(E25:E25)</f>
        <v>63000</v>
      </c>
      <c r="F26" s="74">
        <f t="shared" si="5"/>
        <v>110000</v>
      </c>
      <c r="G26" s="74">
        <f t="shared" si="5"/>
        <v>151800</v>
      </c>
      <c r="H26" s="660">
        <f t="shared" si="5"/>
        <v>182400</v>
      </c>
      <c r="I26" s="74">
        <f t="shared" si="5"/>
        <v>190000</v>
      </c>
      <c r="J26" s="645"/>
      <c r="K26" s="74">
        <f t="shared" si="5"/>
        <v>797200</v>
      </c>
      <c r="L26" s="645"/>
      <c r="M26" s="592" t="b">
        <f>SUM(K26)=SUM(Detail!AF24:AK24)</f>
        <v>1</v>
      </c>
    </row>
    <row r="27" spans="1:200" s="339" customFormat="1" outlineLevel="1" x14ac:dyDescent="0.35">
      <c r="A27" s="325"/>
      <c r="B27" s="342"/>
      <c r="C27" s="340"/>
      <c r="D27" s="341"/>
      <c r="E27" s="341"/>
      <c r="F27" s="341"/>
      <c r="G27" s="341"/>
      <c r="H27" s="341"/>
      <c r="I27" s="341"/>
      <c r="J27" s="665"/>
      <c r="K27" s="341"/>
      <c r="L27" s="665"/>
      <c r="M27" s="592"/>
      <c r="N27" s="326"/>
      <c r="O27" s="326"/>
      <c r="P27" s="326"/>
      <c r="Q27" s="326"/>
      <c r="R27" s="326"/>
      <c r="S27" s="326"/>
      <c r="T27" s="326"/>
      <c r="U27" s="326"/>
      <c r="V27" s="326"/>
      <c r="W27" s="326"/>
      <c r="X27" s="326"/>
      <c r="Y27" s="326"/>
      <c r="Z27" s="326"/>
      <c r="AA27" s="326"/>
      <c r="AB27" s="326"/>
      <c r="AC27" s="326"/>
      <c r="AD27" s="326"/>
      <c r="AE27" s="326"/>
      <c r="AF27" s="326"/>
      <c r="AG27" s="326"/>
      <c r="AH27" s="326"/>
      <c r="AI27" s="326"/>
      <c r="AJ27" s="326"/>
      <c r="AK27" s="326"/>
      <c r="AL27" s="326"/>
      <c r="AM27" s="326"/>
      <c r="AN27" s="326"/>
      <c r="AO27" s="326"/>
      <c r="AP27" s="326"/>
      <c r="AQ27" s="326"/>
      <c r="AR27" s="326"/>
      <c r="AS27" s="326"/>
      <c r="AT27" s="326"/>
      <c r="AU27" s="326"/>
      <c r="AV27" s="326"/>
      <c r="AW27" s="326"/>
      <c r="AX27" s="326"/>
      <c r="AY27" s="326"/>
      <c r="AZ27" s="326"/>
      <c r="BA27" s="326"/>
      <c r="BB27" s="326"/>
      <c r="BC27" s="326"/>
      <c r="BD27" s="326"/>
      <c r="BE27" s="326"/>
      <c r="BF27" s="326"/>
      <c r="BG27" s="325"/>
      <c r="BH27" s="325"/>
      <c r="BI27" s="325"/>
      <c r="BJ27" s="325"/>
      <c r="BK27" s="325"/>
      <c r="BL27" s="325"/>
      <c r="BM27" s="325"/>
      <c r="BN27" s="325"/>
      <c r="BO27" s="325"/>
      <c r="BP27" s="325"/>
      <c r="BQ27" s="325"/>
      <c r="BR27" s="325"/>
      <c r="BS27" s="325"/>
      <c r="BT27" s="325"/>
      <c r="BU27" s="325"/>
      <c r="BV27" s="325"/>
      <c r="BW27" s="325"/>
      <c r="BX27" s="325"/>
      <c r="BY27" s="325"/>
      <c r="BZ27" s="325"/>
      <c r="CA27" s="325"/>
      <c r="CB27" s="325"/>
      <c r="CC27" s="325"/>
      <c r="CD27" s="325"/>
      <c r="CE27" s="325"/>
      <c r="CF27" s="325"/>
      <c r="CG27" s="325"/>
      <c r="CH27" s="325"/>
      <c r="CI27" s="325"/>
      <c r="CJ27" s="325"/>
      <c r="CK27" s="325"/>
      <c r="CL27" s="325"/>
      <c r="CM27" s="325"/>
      <c r="CN27" s="325"/>
      <c r="CO27" s="325"/>
      <c r="CP27" s="325"/>
      <c r="CQ27" s="325"/>
      <c r="CR27" s="325"/>
      <c r="CS27" s="325"/>
      <c r="CT27" s="325"/>
      <c r="CU27" s="325"/>
      <c r="CV27" s="325"/>
      <c r="CW27" s="325"/>
      <c r="CX27" s="325"/>
      <c r="CY27" s="325"/>
      <c r="CZ27" s="325"/>
      <c r="DA27" s="325"/>
      <c r="DB27" s="325"/>
      <c r="DC27" s="325"/>
      <c r="DD27" s="325"/>
      <c r="DE27" s="325"/>
      <c r="DF27" s="325"/>
      <c r="DG27" s="325"/>
      <c r="DH27" s="325"/>
      <c r="DI27" s="325"/>
      <c r="DJ27" s="325"/>
      <c r="DK27" s="325"/>
      <c r="DL27" s="325"/>
      <c r="DM27" s="325"/>
      <c r="DN27" s="325"/>
      <c r="DO27" s="325"/>
      <c r="DP27" s="325"/>
      <c r="DQ27" s="325"/>
      <c r="DR27" s="325"/>
      <c r="DS27" s="325"/>
      <c r="DT27" s="325"/>
      <c r="DU27" s="325"/>
      <c r="DV27" s="325"/>
      <c r="DW27" s="325"/>
      <c r="DX27" s="325"/>
      <c r="DY27" s="325"/>
      <c r="DZ27" s="325"/>
      <c r="EA27" s="325"/>
      <c r="EB27" s="325"/>
      <c r="EC27" s="325"/>
      <c r="ED27" s="325"/>
      <c r="EE27" s="325"/>
      <c r="EF27" s="325"/>
      <c r="EG27" s="325"/>
      <c r="EH27" s="325"/>
      <c r="EI27" s="325"/>
      <c r="EJ27" s="325"/>
      <c r="EK27" s="325"/>
      <c r="EL27" s="325"/>
      <c r="EM27" s="325"/>
      <c r="EN27" s="325"/>
      <c r="EO27" s="325"/>
      <c r="EP27" s="325"/>
      <c r="EQ27" s="325"/>
      <c r="ER27" s="325"/>
      <c r="ES27" s="325"/>
      <c r="ET27" s="325"/>
      <c r="EU27" s="325"/>
      <c r="EV27" s="325"/>
      <c r="EW27" s="325"/>
      <c r="EX27" s="325"/>
      <c r="EY27" s="325"/>
      <c r="EZ27" s="325"/>
      <c r="FA27" s="325"/>
      <c r="FB27" s="325"/>
      <c r="FC27" s="325"/>
      <c r="FD27" s="325"/>
      <c r="FE27" s="325"/>
      <c r="FF27" s="325"/>
      <c r="FG27" s="325"/>
      <c r="FH27" s="325"/>
      <c r="FI27" s="325"/>
      <c r="FJ27" s="325"/>
      <c r="FK27" s="325"/>
      <c r="FL27" s="325"/>
      <c r="FM27" s="325"/>
      <c r="FN27" s="325"/>
      <c r="FO27" s="325"/>
      <c r="FP27" s="325"/>
      <c r="FQ27" s="325"/>
      <c r="FR27" s="325"/>
      <c r="FS27" s="325"/>
      <c r="FT27" s="325"/>
      <c r="FU27" s="325"/>
      <c r="FV27" s="325"/>
      <c r="FW27" s="325"/>
      <c r="FX27" s="325"/>
      <c r="FY27" s="325"/>
      <c r="FZ27" s="325"/>
      <c r="GA27" s="325"/>
      <c r="GB27" s="325"/>
      <c r="GC27" s="325"/>
      <c r="GD27" s="325"/>
      <c r="GE27" s="325"/>
      <c r="GF27" s="325"/>
      <c r="GG27" s="325"/>
      <c r="GH27" s="325"/>
      <c r="GI27" s="325"/>
      <c r="GJ27" s="325"/>
      <c r="GK27" s="325"/>
      <c r="GL27" s="325"/>
      <c r="GM27" s="325"/>
      <c r="GN27" s="325"/>
      <c r="GO27" s="325"/>
      <c r="GP27" s="325"/>
      <c r="GQ27" s="325"/>
      <c r="GR27" s="325"/>
    </row>
    <row r="28" spans="1:200" outlineLevel="1" x14ac:dyDescent="0.35">
      <c r="B28" s="344" t="s">
        <v>290</v>
      </c>
      <c r="D28" s="327">
        <f>'P&amp;L'!C26</f>
        <v>306000</v>
      </c>
      <c r="E28" s="327">
        <f>'P&amp;L'!D26</f>
        <v>378000</v>
      </c>
      <c r="F28" s="327">
        <f>'P&amp;L'!E26</f>
        <v>660000</v>
      </c>
      <c r="G28" s="327">
        <f>'P&amp;L'!F26</f>
        <v>910799.99999999988</v>
      </c>
      <c r="H28" s="659">
        <f>'P&amp;L'!G26</f>
        <v>1094400</v>
      </c>
      <c r="I28" s="327">
        <f>'P&amp;L'!H26</f>
        <v>1140000</v>
      </c>
      <c r="J28" s="665"/>
      <c r="K28" s="346">
        <f>SUBTOTAL(9,D28:I28)</f>
        <v>4489200</v>
      </c>
      <c r="L28" s="664"/>
      <c r="M28" s="592"/>
      <c r="N28" s="697"/>
    </row>
    <row r="29" spans="1:200" outlineLevel="1" x14ac:dyDescent="0.35">
      <c r="B29" s="344" t="s">
        <v>3</v>
      </c>
      <c r="D29" s="327">
        <f>'P&amp;L'!C27</f>
        <v>5000</v>
      </c>
      <c r="E29" s="327">
        <f>'P&amp;L'!D27</f>
        <v>7875</v>
      </c>
      <c r="F29" s="327">
        <f>'P&amp;L'!E27</f>
        <v>13750</v>
      </c>
      <c r="G29" s="327">
        <f>'P&amp;L'!F27</f>
        <v>18975</v>
      </c>
      <c r="H29" s="659">
        <f>'P&amp;L'!G27</f>
        <v>22800</v>
      </c>
      <c r="I29" s="327">
        <f>'P&amp;L'!H27</f>
        <v>23750</v>
      </c>
      <c r="J29" s="665"/>
      <c r="K29" s="346">
        <f t="shared" ref="K29:K38" si="6">SUBTOTAL(9,D29:I29)</f>
        <v>92150</v>
      </c>
      <c r="L29" s="664"/>
      <c r="M29" s="592"/>
    </row>
    <row r="30" spans="1:200" outlineLevel="1" x14ac:dyDescent="0.35">
      <c r="B30" s="344" t="s">
        <v>4</v>
      </c>
      <c r="D30" s="327">
        <f>'P&amp;L'!C28</f>
        <v>20000</v>
      </c>
      <c r="E30" s="327">
        <f>'P&amp;L'!D28</f>
        <v>31500</v>
      </c>
      <c r="F30" s="327">
        <f>'P&amp;L'!E28</f>
        <v>55000</v>
      </c>
      <c r="G30" s="327">
        <f>'P&amp;L'!F28</f>
        <v>75900</v>
      </c>
      <c r="H30" s="659">
        <f>'P&amp;L'!G28</f>
        <v>91200</v>
      </c>
      <c r="I30" s="327">
        <f>'P&amp;L'!H28</f>
        <v>95000</v>
      </c>
      <c r="J30" s="665"/>
      <c r="K30" s="346">
        <f t="shared" si="6"/>
        <v>368600</v>
      </c>
      <c r="L30" s="664"/>
      <c r="M30" s="592"/>
    </row>
    <row r="31" spans="1:200" outlineLevel="1" x14ac:dyDescent="0.35">
      <c r="B31" s="344" t="s">
        <v>5</v>
      </c>
      <c r="D31" s="327">
        <f>'P&amp;L'!C29</f>
        <v>9000</v>
      </c>
      <c r="E31" s="327">
        <f>'P&amp;L'!D29</f>
        <v>15750</v>
      </c>
      <c r="F31" s="327">
        <f>'P&amp;L'!E29</f>
        <v>27500</v>
      </c>
      <c r="G31" s="327">
        <f>'P&amp;L'!F29</f>
        <v>37950</v>
      </c>
      <c r="H31" s="659">
        <f>'P&amp;L'!G29</f>
        <v>45600</v>
      </c>
      <c r="I31" s="327">
        <f>'P&amp;L'!H29</f>
        <v>47500</v>
      </c>
      <c r="J31" s="665"/>
      <c r="K31" s="346">
        <f t="shared" si="6"/>
        <v>183300</v>
      </c>
      <c r="L31" s="664"/>
      <c r="M31" s="592"/>
    </row>
    <row r="32" spans="1:200" outlineLevel="1" x14ac:dyDescent="0.35">
      <c r="B32" s="344" t="s">
        <v>36</v>
      </c>
      <c r="D32" s="327">
        <f>'P&amp;L'!C30</f>
        <v>200000</v>
      </c>
      <c r="E32" s="327">
        <f>'P&amp;L'!D30</f>
        <v>330750</v>
      </c>
      <c r="F32" s="327">
        <f>'P&amp;L'!E30</f>
        <v>567525</v>
      </c>
      <c r="G32" s="327">
        <f>'P&amp;L'!F30</f>
        <v>779100</v>
      </c>
      <c r="H32" s="659">
        <f>'P&amp;L'!G30</f>
        <v>934500</v>
      </c>
      <c r="I32" s="327">
        <f>'P&amp;L'!H30</f>
        <v>974400</v>
      </c>
      <c r="J32" s="665"/>
      <c r="K32" s="346">
        <f t="shared" si="6"/>
        <v>3786275</v>
      </c>
      <c r="L32" s="664"/>
      <c r="M32" s="592"/>
    </row>
    <row r="33" spans="1:200" outlineLevel="1" x14ac:dyDescent="0.35">
      <c r="B33" s="344" t="str">
        <f>'P&amp;L'!B31</f>
        <v>Serviced Accomodation</v>
      </c>
      <c r="D33" s="327">
        <f>'P&amp;L'!C31</f>
        <v>0</v>
      </c>
      <c r="E33" s="327">
        <f>'P&amp;L'!D31</f>
        <v>105000</v>
      </c>
      <c r="F33" s="327">
        <f>'P&amp;L'!E31</f>
        <v>220000.00000000003</v>
      </c>
      <c r="G33" s="327">
        <f>'P&amp;L'!F31</f>
        <v>229999.99999999997</v>
      </c>
      <c r="H33" s="659">
        <f>'P&amp;L'!G31</f>
        <v>240000</v>
      </c>
      <c r="I33" s="327">
        <f>'P&amp;L'!H31</f>
        <v>250000</v>
      </c>
      <c r="J33" s="665"/>
      <c r="K33" s="346">
        <f t="shared" si="6"/>
        <v>1045000</v>
      </c>
      <c r="L33" s="664"/>
      <c r="M33" s="592"/>
    </row>
    <row r="34" spans="1:200" outlineLevel="1" x14ac:dyDescent="0.35">
      <c r="B34" s="344" t="s">
        <v>6</v>
      </c>
      <c r="D34" s="327">
        <f>'P&amp;L'!C32</f>
        <v>8000</v>
      </c>
      <c r="E34" s="327">
        <f>'P&amp;L'!D32</f>
        <v>11812.5</v>
      </c>
      <c r="F34" s="327">
        <f>'P&amp;L'!E32</f>
        <v>20625.000000000004</v>
      </c>
      <c r="G34" s="327">
        <f>'P&amp;L'!F32</f>
        <v>28462.499999999996</v>
      </c>
      <c r="H34" s="659">
        <f>'P&amp;L'!G32</f>
        <v>34200</v>
      </c>
      <c r="I34" s="327">
        <f>'P&amp;L'!H32</f>
        <v>35625</v>
      </c>
      <c r="J34" s="665"/>
      <c r="K34" s="346">
        <f t="shared" si="6"/>
        <v>138725</v>
      </c>
      <c r="L34" s="664"/>
      <c r="M34" s="592"/>
    </row>
    <row r="35" spans="1:200" outlineLevel="1" x14ac:dyDescent="0.35">
      <c r="B35" s="621" t="s">
        <v>264</v>
      </c>
      <c r="D35" s="327">
        <f>'P&amp;L'!C33</f>
        <v>20000</v>
      </c>
      <c r="E35" s="327">
        <f>'P&amp;L'!D33</f>
        <v>31500</v>
      </c>
      <c r="F35" s="327">
        <f>'P&amp;L'!E33</f>
        <v>55000</v>
      </c>
      <c r="G35" s="327">
        <f>'P&amp;L'!F33</f>
        <v>75900</v>
      </c>
      <c r="H35" s="659">
        <f>'P&amp;L'!G33</f>
        <v>91200</v>
      </c>
      <c r="I35" s="327">
        <f>'P&amp;L'!H33</f>
        <v>95000</v>
      </c>
      <c r="J35" s="665"/>
      <c r="K35" s="346">
        <f t="shared" si="6"/>
        <v>368600</v>
      </c>
      <c r="L35" s="664"/>
      <c r="M35" s="592"/>
    </row>
    <row r="36" spans="1:200" outlineLevel="1" x14ac:dyDescent="0.35">
      <c r="B36" s="344" t="s">
        <v>328</v>
      </c>
      <c r="D36" s="327">
        <f>'P&amp;L'!C34</f>
        <v>0</v>
      </c>
      <c r="E36" s="327">
        <f>'P&amp;L'!D34</f>
        <v>31500</v>
      </c>
      <c r="F36" s="327">
        <f>'P&amp;L'!E34</f>
        <v>55000</v>
      </c>
      <c r="G36" s="327">
        <f>'P&amp;L'!F34</f>
        <v>75900</v>
      </c>
      <c r="H36" s="659">
        <f>'P&amp;L'!G34</f>
        <v>91200</v>
      </c>
      <c r="I36" s="327">
        <f>'P&amp;L'!H34</f>
        <v>95000</v>
      </c>
      <c r="J36" s="665"/>
      <c r="K36" s="346">
        <f t="shared" si="6"/>
        <v>348600</v>
      </c>
      <c r="L36" s="664"/>
      <c r="M36" s="592"/>
    </row>
    <row r="37" spans="1:200" outlineLevel="1" x14ac:dyDescent="0.35">
      <c r="B37" s="344" t="s">
        <v>8</v>
      </c>
      <c r="D37" s="327">
        <f>'P&amp;L'!C35</f>
        <v>75000</v>
      </c>
      <c r="E37" s="327">
        <f>'P&amp;L'!D35</f>
        <v>84450</v>
      </c>
      <c r="F37" s="327">
        <f>'P&amp;L'!E35</f>
        <v>169000</v>
      </c>
      <c r="G37" s="327">
        <f>'P&amp;L'!F35</f>
        <v>230699.99999999997</v>
      </c>
      <c r="H37" s="659">
        <f>'P&amp;L'!G35</f>
        <v>276600</v>
      </c>
      <c r="I37" s="327">
        <f>'P&amp;L'!H35</f>
        <v>288000</v>
      </c>
      <c r="J37" s="665"/>
      <c r="K37" s="346">
        <f t="shared" si="6"/>
        <v>1123750</v>
      </c>
      <c r="L37" s="664"/>
      <c r="M37" s="592"/>
    </row>
    <row r="38" spans="1:200" outlineLevel="1" x14ac:dyDescent="0.35">
      <c r="B38" s="344" t="s">
        <v>9</v>
      </c>
      <c r="D38" s="327">
        <f>'P&amp;L'!C36</f>
        <v>12000</v>
      </c>
      <c r="E38" s="327">
        <f>'P&amp;L'!D36</f>
        <v>15750</v>
      </c>
      <c r="F38" s="327">
        <f>'P&amp;L'!E36</f>
        <v>27500</v>
      </c>
      <c r="G38" s="327">
        <f>'P&amp;L'!F36</f>
        <v>37950</v>
      </c>
      <c r="H38" s="659">
        <f>'P&amp;L'!G36</f>
        <v>45600</v>
      </c>
      <c r="I38" s="327">
        <f>'P&amp;L'!H36</f>
        <v>47500</v>
      </c>
      <c r="J38" s="665"/>
      <c r="K38" s="346">
        <f t="shared" si="6"/>
        <v>186300</v>
      </c>
      <c r="L38" s="664"/>
      <c r="M38" s="592"/>
    </row>
    <row r="39" spans="1:200" ht="13.15" x14ac:dyDescent="0.4">
      <c r="B39" s="343" t="s">
        <v>34</v>
      </c>
      <c r="D39" s="74">
        <f t="shared" ref="D39" si="7">SUM(D28:D38)</f>
        <v>655000</v>
      </c>
      <c r="E39" s="74">
        <f t="shared" ref="E39:K39" si="8">SUM(E28:E38)</f>
        <v>1043887.5</v>
      </c>
      <c r="F39" s="74">
        <f t="shared" si="8"/>
        <v>1870900</v>
      </c>
      <c r="G39" s="74">
        <f t="shared" si="8"/>
        <v>2501637.5</v>
      </c>
      <c r="H39" s="660">
        <f t="shared" si="8"/>
        <v>2967300</v>
      </c>
      <c r="I39" s="74">
        <f t="shared" si="8"/>
        <v>3091775</v>
      </c>
      <c r="J39" s="645"/>
      <c r="K39" s="74">
        <f t="shared" si="8"/>
        <v>12130500</v>
      </c>
      <c r="L39" s="645"/>
      <c r="M39" s="592" t="b">
        <f>SUM(K39)=SUM(Detail!AF37:AK37)</f>
        <v>1</v>
      </c>
    </row>
    <row r="40" spans="1:200" s="339" customFormat="1" outlineLevel="1" x14ac:dyDescent="0.35">
      <c r="A40" s="325"/>
      <c r="B40" s="342"/>
      <c r="C40" s="340"/>
      <c r="D40" s="341"/>
      <c r="E40" s="341"/>
      <c r="F40" s="341"/>
      <c r="G40" s="341"/>
      <c r="H40" s="341"/>
      <c r="I40" s="341"/>
      <c r="J40" s="665"/>
      <c r="K40" s="350"/>
      <c r="L40" s="665"/>
      <c r="M40" s="592"/>
      <c r="N40" s="326"/>
      <c r="O40" s="326"/>
      <c r="P40" s="326"/>
      <c r="Q40" s="326"/>
      <c r="R40" s="326"/>
      <c r="S40" s="326"/>
      <c r="T40" s="326"/>
      <c r="U40" s="326"/>
      <c r="V40" s="326"/>
      <c r="W40" s="326"/>
      <c r="X40" s="326"/>
      <c r="Y40" s="326"/>
      <c r="Z40" s="326"/>
      <c r="AA40" s="326"/>
      <c r="AB40" s="326"/>
      <c r="AC40" s="326"/>
      <c r="AD40" s="326"/>
      <c r="AE40" s="326"/>
      <c r="AF40" s="326"/>
      <c r="AG40" s="326"/>
      <c r="AH40" s="326"/>
      <c r="AI40" s="326"/>
      <c r="AJ40" s="326"/>
      <c r="AK40" s="326"/>
      <c r="AL40" s="326"/>
      <c r="AM40" s="326"/>
      <c r="AN40" s="326"/>
      <c r="AO40" s="326"/>
      <c r="AP40" s="326"/>
      <c r="AQ40" s="326"/>
      <c r="AR40" s="326"/>
      <c r="AS40" s="326"/>
      <c r="AT40" s="326"/>
      <c r="AU40" s="326"/>
      <c r="AV40" s="326"/>
      <c r="AW40" s="326"/>
      <c r="AX40" s="326"/>
      <c r="AY40" s="326"/>
      <c r="AZ40" s="326"/>
      <c r="BA40" s="326"/>
      <c r="BB40" s="326"/>
      <c r="BC40" s="326"/>
      <c r="BD40" s="326"/>
      <c r="BE40" s="326"/>
      <c r="BF40" s="326"/>
      <c r="BG40" s="325"/>
      <c r="BH40" s="325"/>
      <c r="BI40" s="325"/>
      <c r="BJ40" s="325"/>
      <c r="BK40" s="325"/>
      <c r="BL40" s="325"/>
      <c r="BM40" s="325"/>
      <c r="BN40" s="325"/>
      <c r="BO40" s="325"/>
      <c r="BP40" s="325"/>
      <c r="BQ40" s="325"/>
      <c r="BR40" s="325"/>
      <c r="BS40" s="325"/>
      <c r="BT40" s="325"/>
      <c r="BU40" s="325"/>
      <c r="BV40" s="325"/>
      <c r="BW40" s="325"/>
      <c r="BX40" s="325"/>
      <c r="BY40" s="325"/>
      <c r="BZ40" s="325"/>
      <c r="CA40" s="325"/>
      <c r="CB40" s="325"/>
      <c r="CC40" s="325"/>
      <c r="CD40" s="325"/>
      <c r="CE40" s="325"/>
      <c r="CF40" s="325"/>
      <c r="CG40" s="325"/>
      <c r="CH40" s="325"/>
      <c r="CI40" s="325"/>
      <c r="CJ40" s="325"/>
      <c r="CK40" s="325"/>
      <c r="CL40" s="325"/>
      <c r="CM40" s="325"/>
      <c r="CN40" s="325"/>
      <c r="CO40" s="325"/>
      <c r="CP40" s="325"/>
      <c r="CQ40" s="325"/>
      <c r="CR40" s="325"/>
      <c r="CS40" s="325"/>
      <c r="CT40" s="325"/>
      <c r="CU40" s="325"/>
      <c r="CV40" s="325"/>
      <c r="CW40" s="325"/>
      <c r="CX40" s="325"/>
      <c r="CY40" s="325"/>
      <c r="CZ40" s="325"/>
      <c r="DA40" s="325"/>
      <c r="DB40" s="325"/>
      <c r="DC40" s="325"/>
      <c r="DD40" s="325"/>
      <c r="DE40" s="325"/>
      <c r="DF40" s="325"/>
      <c r="DG40" s="325"/>
      <c r="DH40" s="325"/>
      <c r="DI40" s="325"/>
      <c r="DJ40" s="325"/>
      <c r="DK40" s="325"/>
      <c r="DL40" s="325"/>
      <c r="DM40" s="325"/>
      <c r="DN40" s="325"/>
      <c r="DO40" s="325"/>
      <c r="DP40" s="325"/>
      <c r="DQ40" s="325"/>
      <c r="DR40" s="325"/>
      <c r="DS40" s="325"/>
      <c r="DT40" s="325"/>
      <c r="DU40" s="325"/>
      <c r="DV40" s="325"/>
      <c r="DW40" s="325"/>
      <c r="DX40" s="325"/>
      <c r="DY40" s="325"/>
      <c r="DZ40" s="325"/>
      <c r="EA40" s="325"/>
      <c r="EB40" s="325"/>
      <c r="EC40" s="325"/>
      <c r="ED40" s="325"/>
      <c r="EE40" s="325"/>
      <c r="EF40" s="325"/>
      <c r="EG40" s="325"/>
      <c r="EH40" s="325"/>
      <c r="EI40" s="325"/>
      <c r="EJ40" s="325"/>
      <c r="EK40" s="325"/>
      <c r="EL40" s="325"/>
      <c r="EM40" s="325"/>
      <c r="EN40" s="325"/>
      <c r="EO40" s="325"/>
      <c r="EP40" s="325"/>
      <c r="EQ40" s="325"/>
      <c r="ER40" s="325"/>
      <c r="ES40" s="325"/>
      <c r="ET40" s="325"/>
      <c r="EU40" s="325"/>
      <c r="EV40" s="325"/>
      <c r="EW40" s="325"/>
      <c r="EX40" s="325"/>
      <c r="EY40" s="325"/>
      <c r="EZ40" s="325"/>
      <c r="FA40" s="325"/>
      <c r="FB40" s="325"/>
      <c r="FC40" s="325"/>
      <c r="FD40" s="325"/>
      <c r="FE40" s="325"/>
      <c r="FF40" s="325"/>
      <c r="FG40" s="325"/>
      <c r="FH40" s="325"/>
      <c r="FI40" s="325"/>
      <c r="FJ40" s="325"/>
      <c r="FK40" s="325"/>
      <c r="FL40" s="325"/>
      <c r="FM40" s="325"/>
      <c r="FN40" s="325"/>
      <c r="FO40" s="325"/>
      <c r="FP40" s="325"/>
      <c r="FQ40" s="325"/>
      <c r="FR40" s="325"/>
      <c r="FS40" s="325"/>
      <c r="FT40" s="325"/>
      <c r="FU40" s="325"/>
      <c r="FV40" s="325"/>
      <c r="FW40" s="325"/>
      <c r="FX40" s="325"/>
      <c r="FY40" s="325"/>
      <c r="FZ40" s="325"/>
      <c r="GA40" s="325"/>
      <c r="GB40" s="325"/>
      <c r="GC40" s="325"/>
      <c r="GD40" s="325"/>
      <c r="GE40" s="325"/>
      <c r="GF40" s="325"/>
      <c r="GG40" s="325"/>
      <c r="GH40" s="325"/>
      <c r="GI40" s="325"/>
      <c r="GJ40" s="325"/>
      <c r="GK40" s="325"/>
      <c r="GL40" s="325"/>
      <c r="GM40" s="325"/>
      <c r="GN40" s="325"/>
      <c r="GO40" s="325"/>
      <c r="GP40" s="325"/>
      <c r="GQ40" s="325"/>
      <c r="GR40" s="325"/>
    </row>
    <row r="41" spans="1:200" outlineLevel="1" x14ac:dyDescent="0.35">
      <c r="B41" s="344" t="s">
        <v>90</v>
      </c>
      <c r="D41" s="327">
        <f>'P&amp;L'!C39</f>
        <v>714285</v>
      </c>
      <c r="E41" s="327">
        <f>'P&amp;L'!D39</f>
        <v>649999.25</v>
      </c>
      <c r="F41" s="327">
        <f>'P&amp;L'!E39</f>
        <v>1102499.2124999999</v>
      </c>
      <c r="G41" s="327">
        <f>'P&amp;L'!F39</f>
        <v>1376124.1731250002</v>
      </c>
      <c r="H41" s="659">
        <f>'P&amp;L'!G39</f>
        <v>1900930.3817812498</v>
      </c>
      <c r="I41" s="327">
        <f>'P&amp;L'!H39</f>
        <v>1986976.9008703125</v>
      </c>
      <c r="J41" s="665"/>
      <c r="K41" s="346">
        <f>SUBTOTAL(9,D41:I41)</f>
        <v>7730814.9182765614</v>
      </c>
      <c r="L41" s="664"/>
      <c r="M41" s="592"/>
    </row>
    <row r="42" spans="1:200" outlineLevel="1" x14ac:dyDescent="0.35">
      <c r="B42" s="344" t="s">
        <v>91</v>
      </c>
      <c r="D42" s="327">
        <f>'P&amp;L'!C40</f>
        <v>10000</v>
      </c>
      <c r="E42" s="327">
        <f>'P&amp;L'!D40</f>
        <v>12487.7595395438</v>
      </c>
      <c r="F42" s="327">
        <f>'P&amp;L'!E40</f>
        <v>32339.559582178597</v>
      </c>
      <c r="G42" s="327">
        <f>'P&amp;L'!F40</f>
        <v>69203.761266254412</v>
      </c>
      <c r="H42" s="659">
        <f>'P&amp;L'!G40</f>
        <v>149669.1343583455</v>
      </c>
      <c r="I42" s="327">
        <f>'P&amp;L'!H40</f>
        <v>273763.59166899335</v>
      </c>
      <c r="J42" s="665"/>
      <c r="K42" s="346">
        <f t="shared" ref="K42:K47" si="9">SUBTOTAL(9,D42:I42)</f>
        <v>547463.80641531572</v>
      </c>
      <c r="L42" s="664"/>
      <c r="M42" s="592"/>
    </row>
    <row r="43" spans="1:200" outlineLevel="1" x14ac:dyDescent="0.35">
      <c r="B43" s="344" t="s">
        <v>149</v>
      </c>
      <c r="D43" s="327">
        <f>'P&amp;L'!C41</f>
        <v>80000</v>
      </c>
      <c r="E43" s="327">
        <f>'P&amp;L'!D41</f>
        <v>226926.55723726278</v>
      </c>
      <c r="F43" s="327">
        <f>'P&amp;L'!E41</f>
        <v>346037.35749307158</v>
      </c>
      <c r="G43" s="327">
        <f>'P&amp;L'!F41</f>
        <v>605222.56759752647</v>
      </c>
      <c r="H43" s="659">
        <f>'P&amp;L'!G41</f>
        <v>908014.80615007307</v>
      </c>
      <c r="I43" s="327">
        <f>'P&amp;L'!H41</f>
        <v>1642581.5500139601</v>
      </c>
      <c r="J43" s="665"/>
      <c r="K43" s="346">
        <f t="shared" si="9"/>
        <v>3808782.8384918943</v>
      </c>
      <c r="L43" s="664"/>
      <c r="M43" s="592"/>
    </row>
    <row r="44" spans="1:200" outlineLevel="1" x14ac:dyDescent="0.35">
      <c r="B44" s="344" t="s">
        <v>10</v>
      </c>
      <c r="D44" s="327">
        <f>'P&amp;L'!C42</f>
        <v>300000</v>
      </c>
      <c r="E44" s="327">
        <f>'P&amp;L'!D42</f>
        <v>634632.78618631396</v>
      </c>
      <c r="F44" s="327">
        <f>'P&amp;L'!E42</f>
        <v>1430186.7874653579</v>
      </c>
      <c r="G44" s="327">
        <f>'P&amp;L'!F42</f>
        <v>2476112.8379876325</v>
      </c>
      <c r="H44" s="659">
        <f>'P&amp;L'!G42</f>
        <v>4490074.030750365</v>
      </c>
      <c r="I44" s="327">
        <f>'P&amp;L'!H42</f>
        <v>8212907.7500698008</v>
      </c>
      <c r="J44" s="665"/>
      <c r="K44" s="346">
        <f t="shared" si="9"/>
        <v>17543914.192459472</v>
      </c>
      <c r="L44" s="664"/>
      <c r="M44" s="592"/>
    </row>
    <row r="45" spans="1:200" outlineLevel="1" x14ac:dyDescent="0.35">
      <c r="B45" s="344" t="s">
        <v>318</v>
      </c>
      <c r="D45" s="327">
        <f>'P&amp;L'!C43</f>
        <v>3000000</v>
      </c>
      <c r="E45" s="327">
        <f>'P&amp;L'!D43</f>
        <v>1950000</v>
      </c>
      <c r="F45" s="327">
        <f>'P&amp;L'!E43</f>
        <v>1472500</v>
      </c>
      <c r="G45" s="327">
        <f>'P&amp;L'!F43</f>
        <v>495000.00000000006</v>
      </c>
      <c r="H45" s="659">
        <f>'P&amp;L'!G43</f>
        <v>517499.99999999994</v>
      </c>
      <c r="I45" s="327">
        <f>'P&amp;L'!H43</f>
        <v>540000</v>
      </c>
      <c r="J45" s="665"/>
      <c r="K45" s="346">
        <f t="shared" si="9"/>
        <v>7975000</v>
      </c>
      <c r="L45" s="664"/>
      <c r="M45" s="592"/>
    </row>
    <row r="46" spans="1:200" outlineLevel="1" x14ac:dyDescent="0.35">
      <c r="B46" s="344" t="s">
        <v>321</v>
      </c>
      <c r="D46" s="327">
        <f>'P&amp;L'!C44</f>
        <v>0</v>
      </c>
      <c r="E46" s="327">
        <f>'P&amp;L'!D44</f>
        <v>350000</v>
      </c>
      <c r="F46" s="327">
        <f>'P&amp;L'!E44</f>
        <v>367500</v>
      </c>
      <c r="G46" s="327">
        <f>'P&amp;L'!F44</f>
        <v>385875</v>
      </c>
      <c r="H46" s="659">
        <f>'P&amp;L'!G44</f>
        <v>405168.75</v>
      </c>
      <c r="I46" s="327">
        <f>'P&amp;L'!H44</f>
        <v>425427.1875</v>
      </c>
      <c r="J46" s="665"/>
      <c r="K46" s="346">
        <f t="shared" si="9"/>
        <v>1933970.9375</v>
      </c>
      <c r="L46" s="664"/>
      <c r="M46" s="592"/>
    </row>
    <row r="47" spans="1:200" outlineLevel="1" x14ac:dyDescent="0.35">
      <c r="B47" s="344" t="s">
        <v>279</v>
      </c>
      <c r="D47" s="327">
        <f>'P&amp;L'!C45</f>
        <v>0</v>
      </c>
      <c r="E47" s="327">
        <f>'P&amp;L'!D45</f>
        <v>100000</v>
      </c>
      <c r="F47" s="327">
        <f>'P&amp;L'!E45</f>
        <v>105000</v>
      </c>
      <c r="G47" s="327">
        <f>'P&amp;L'!F45</f>
        <v>110250</v>
      </c>
      <c r="H47" s="659">
        <f>'P&amp;L'!G45</f>
        <v>115762.5</v>
      </c>
      <c r="I47" s="327">
        <f>'P&amp;L'!H45</f>
        <v>121550.625</v>
      </c>
      <c r="J47" s="665"/>
      <c r="K47" s="346">
        <f t="shared" si="9"/>
        <v>552563.125</v>
      </c>
      <c r="L47" s="664"/>
      <c r="M47" s="592"/>
    </row>
    <row r="48" spans="1:200" ht="13.15" x14ac:dyDescent="0.4">
      <c r="B48" s="343" t="s">
        <v>11</v>
      </c>
      <c r="D48" s="74">
        <f t="shared" ref="D48:I48" si="10">SUM(D41:D47)</f>
        <v>4104285</v>
      </c>
      <c r="E48" s="74">
        <f t="shared" si="10"/>
        <v>3924046.3529631207</v>
      </c>
      <c r="F48" s="74">
        <f t="shared" si="10"/>
        <v>4856062.9170406079</v>
      </c>
      <c r="G48" s="74">
        <f t="shared" si="10"/>
        <v>5517788.3399764132</v>
      </c>
      <c r="H48" s="660">
        <f t="shared" si="10"/>
        <v>8487119.603040034</v>
      </c>
      <c r="I48" s="74">
        <f t="shared" si="10"/>
        <v>13203207.605123065</v>
      </c>
      <c r="J48" s="645"/>
      <c r="K48" s="74">
        <f>SUM(K41:K47)</f>
        <v>40092509.818143241</v>
      </c>
      <c r="L48" s="645"/>
      <c r="M48" s="592" t="b">
        <f>SUM(K48)=SUM(Detail!AF46:AK46)</f>
        <v>1</v>
      </c>
      <c r="N48" s="676"/>
    </row>
    <row r="49" spans="1:200" s="339" customFormat="1" ht="13.15" thickBot="1" x14ac:dyDescent="0.4">
      <c r="A49" s="325"/>
      <c r="B49" s="342"/>
      <c r="C49" s="340"/>
      <c r="D49" s="341"/>
      <c r="E49" s="341"/>
      <c r="F49" s="341"/>
      <c r="G49" s="341"/>
      <c r="H49" s="341"/>
      <c r="I49" s="673"/>
      <c r="J49" s="665"/>
      <c r="K49" s="673"/>
      <c r="L49" s="665"/>
      <c r="M49" s="592"/>
      <c r="N49" s="326"/>
      <c r="O49" s="326"/>
      <c r="P49" s="326"/>
      <c r="Q49" s="326"/>
      <c r="R49" s="326"/>
      <c r="S49" s="326"/>
      <c r="T49" s="326"/>
      <c r="U49" s="326"/>
      <c r="V49" s="326"/>
      <c r="W49" s="326"/>
      <c r="X49" s="326"/>
      <c r="Y49" s="326"/>
      <c r="Z49" s="326"/>
      <c r="AA49" s="326"/>
      <c r="AB49" s="326"/>
      <c r="AC49" s="326"/>
      <c r="AD49" s="326"/>
      <c r="AE49" s="326"/>
      <c r="AF49" s="326"/>
      <c r="AG49" s="326"/>
      <c r="AH49" s="326"/>
      <c r="AI49" s="326"/>
      <c r="AJ49" s="326"/>
      <c r="AK49" s="326"/>
      <c r="AL49" s="326"/>
      <c r="AM49" s="326"/>
      <c r="AN49" s="326"/>
      <c r="AO49" s="326"/>
      <c r="AP49" s="326"/>
      <c r="AQ49" s="326"/>
      <c r="AR49" s="326"/>
      <c r="AS49" s="326"/>
      <c r="AT49" s="326"/>
      <c r="AU49" s="326"/>
      <c r="AV49" s="326"/>
      <c r="AW49" s="326"/>
      <c r="AX49" s="326"/>
      <c r="AY49" s="326"/>
      <c r="AZ49" s="326"/>
      <c r="BA49" s="326"/>
      <c r="BB49" s="326"/>
      <c r="BC49" s="326"/>
      <c r="BD49" s="326"/>
      <c r="BE49" s="326"/>
      <c r="BF49" s="326"/>
      <c r="BG49" s="325"/>
      <c r="BH49" s="325"/>
      <c r="BI49" s="325"/>
      <c r="BJ49" s="325"/>
      <c r="BK49" s="325"/>
      <c r="BL49" s="325"/>
      <c r="BM49" s="325"/>
      <c r="BN49" s="325"/>
      <c r="BO49" s="325"/>
      <c r="BP49" s="325"/>
      <c r="BQ49" s="325"/>
      <c r="BR49" s="325"/>
      <c r="BS49" s="325"/>
      <c r="BT49" s="325"/>
      <c r="BU49" s="325"/>
      <c r="BV49" s="325"/>
      <c r="BW49" s="325"/>
      <c r="BX49" s="325"/>
      <c r="BY49" s="325"/>
      <c r="BZ49" s="325"/>
      <c r="CA49" s="325"/>
      <c r="CB49" s="325"/>
      <c r="CC49" s="325"/>
      <c r="CD49" s="325"/>
      <c r="CE49" s="325"/>
      <c r="CF49" s="325"/>
      <c r="CG49" s="325"/>
      <c r="CH49" s="325"/>
      <c r="CI49" s="325"/>
      <c r="CJ49" s="325"/>
      <c r="CK49" s="325"/>
      <c r="CL49" s="325"/>
      <c r="CM49" s="325"/>
      <c r="CN49" s="325"/>
      <c r="CO49" s="325"/>
      <c r="CP49" s="325"/>
      <c r="CQ49" s="325"/>
      <c r="CR49" s="325"/>
      <c r="CS49" s="325"/>
      <c r="CT49" s="325"/>
      <c r="CU49" s="325"/>
      <c r="CV49" s="325"/>
      <c r="CW49" s="325"/>
      <c r="CX49" s="325"/>
      <c r="CY49" s="325"/>
      <c r="CZ49" s="325"/>
      <c r="DA49" s="325"/>
      <c r="DB49" s="325"/>
      <c r="DC49" s="325"/>
      <c r="DD49" s="325"/>
      <c r="DE49" s="325"/>
      <c r="DF49" s="325"/>
      <c r="DG49" s="325"/>
      <c r="DH49" s="325"/>
      <c r="DI49" s="325"/>
      <c r="DJ49" s="325"/>
      <c r="DK49" s="325"/>
      <c r="DL49" s="325"/>
      <c r="DM49" s="325"/>
      <c r="DN49" s="325"/>
      <c r="DO49" s="325"/>
      <c r="DP49" s="325"/>
      <c r="DQ49" s="325"/>
      <c r="DR49" s="325"/>
      <c r="DS49" s="325"/>
      <c r="DT49" s="325"/>
      <c r="DU49" s="325"/>
      <c r="DV49" s="325"/>
      <c r="DW49" s="325"/>
      <c r="DX49" s="325"/>
      <c r="DY49" s="325"/>
      <c r="DZ49" s="325"/>
      <c r="EA49" s="325"/>
      <c r="EB49" s="325"/>
      <c r="EC49" s="325"/>
      <c r="ED49" s="325"/>
      <c r="EE49" s="325"/>
      <c r="EF49" s="325"/>
      <c r="EG49" s="325"/>
      <c r="EH49" s="325"/>
      <c r="EI49" s="325"/>
      <c r="EJ49" s="325"/>
      <c r="EK49" s="325"/>
      <c r="EL49" s="325"/>
      <c r="EM49" s="325"/>
      <c r="EN49" s="325"/>
      <c r="EO49" s="325"/>
      <c r="EP49" s="325"/>
      <c r="EQ49" s="325"/>
      <c r="ER49" s="325"/>
      <c r="ES49" s="325"/>
      <c r="ET49" s="325"/>
      <c r="EU49" s="325"/>
      <c r="EV49" s="325"/>
      <c r="EW49" s="325"/>
      <c r="EX49" s="325"/>
      <c r="EY49" s="325"/>
      <c r="EZ49" s="325"/>
      <c r="FA49" s="325"/>
      <c r="FB49" s="325"/>
      <c r="FC49" s="325"/>
      <c r="FD49" s="325"/>
      <c r="FE49" s="325"/>
      <c r="FF49" s="325"/>
      <c r="FG49" s="325"/>
      <c r="FH49" s="325"/>
      <c r="FI49" s="325"/>
      <c r="FJ49" s="325"/>
      <c r="FK49" s="325"/>
      <c r="FL49" s="325"/>
      <c r="FM49" s="325"/>
      <c r="FN49" s="325"/>
      <c r="FO49" s="325"/>
      <c r="FP49" s="325"/>
      <c r="FQ49" s="325"/>
      <c r="FR49" s="325"/>
      <c r="FS49" s="325"/>
      <c r="FT49" s="325"/>
      <c r="FU49" s="325"/>
      <c r="FV49" s="325"/>
      <c r="FW49" s="325"/>
      <c r="FX49" s="325"/>
      <c r="FY49" s="325"/>
      <c r="FZ49" s="325"/>
      <c r="GA49" s="325"/>
      <c r="GB49" s="325"/>
      <c r="GC49" s="325"/>
      <c r="GD49" s="325"/>
      <c r="GE49" s="325"/>
      <c r="GF49" s="325"/>
      <c r="GG49" s="325"/>
      <c r="GH49" s="325"/>
      <c r="GI49" s="325"/>
      <c r="GJ49" s="325"/>
      <c r="GK49" s="325"/>
      <c r="GL49" s="325"/>
      <c r="GM49" s="325"/>
      <c r="GN49" s="325"/>
      <c r="GO49" s="325"/>
      <c r="GP49" s="325"/>
      <c r="GQ49" s="325"/>
      <c r="GR49" s="325"/>
    </row>
    <row r="50" spans="1:200" s="326" customFormat="1" ht="13.5" thickBot="1" x14ac:dyDescent="0.45">
      <c r="B50" s="328" t="s">
        <v>37</v>
      </c>
      <c r="D50" s="354">
        <f t="shared" ref="D50:I50" si="11">D18+D23+D26+D39+D48</f>
        <v>5761285</v>
      </c>
      <c r="E50" s="354">
        <f t="shared" si="11"/>
        <v>11078990.609228905</v>
      </c>
      <c r="F50" s="354">
        <f t="shared" si="11"/>
        <v>17549483.556168955</v>
      </c>
      <c r="G50" s="354">
        <f t="shared" si="11"/>
        <v>23889008.008171923</v>
      </c>
      <c r="H50" s="661">
        <f t="shared" si="11"/>
        <v>33846695.208963573</v>
      </c>
      <c r="I50" s="354">
        <f t="shared" si="11"/>
        <v>54268509.092194505</v>
      </c>
      <c r="J50" s="365"/>
      <c r="K50" s="354">
        <f>K18+K23+K26+K39+K48</f>
        <v>146393971.47472787</v>
      </c>
      <c r="L50" s="365"/>
      <c r="M50" s="592" t="b">
        <f>SUM(K50)=SUM(Detail!AF48:AK48)</f>
        <v>1</v>
      </c>
    </row>
    <row r="51" spans="1:200" s="326" customFormat="1" ht="13.15" x14ac:dyDescent="0.4">
      <c r="B51" s="337"/>
      <c r="D51" s="336"/>
      <c r="E51" s="336"/>
      <c r="F51" s="336"/>
      <c r="G51" s="336"/>
      <c r="H51" s="336"/>
      <c r="I51" s="336"/>
      <c r="J51" s="365"/>
      <c r="K51" s="674"/>
      <c r="L51" s="365"/>
      <c r="M51" s="592"/>
    </row>
    <row r="52" spans="1:200" s="326" customFormat="1" ht="13.15" thickBot="1" x14ac:dyDescent="0.4">
      <c r="B52" s="338" t="s">
        <v>70</v>
      </c>
      <c r="D52" s="783">
        <f>Detail!AF50</f>
        <v>0.04</v>
      </c>
      <c r="E52" s="783">
        <f>Detail!AG50</f>
        <v>0.04</v>
      </c>
      <c r="F52" s="783">
        <f>Detail!AH50</f>
        <v>0.04</v>
      </c>
      <c r="G52" s="783">
        <f>Detail!AI50</f>
        <v>0.04</v>
      </c>
      <c r="H52" s="784">
        <f>Detail!AJ50</f>
        <v>0.04</v>
      </c>
      <c r="I52" s="785">
        <f>Detail!AK50</f>
        <v>0.04</v>
      </c>
      <c r="J52" s="786"/>
      <c r="K52" s="785">
        <f>Detail!AK50</f>
        <v>0.04</v>
      </c>
      <c r="L52" s="666"/>
      <c r="M52" s="592"/>
    </row>
    <row r="53" spans="1:200" s="326" customFormat="1" ht="13.5" thickBot="1" x14ac:dyDescent="0.45">
      <c r="B53" s="328" t="s">
        <v>71</v>
      </c>
      <c r="D53" s="360">
        <f>D50*D52</f>
        <v>230451.4</v>
      </c>
      <c r="E53" s="360">
        <f>E50*E52</f>
        <v>443159.6243691562</v>
      </c>
      <c r="F53" s="360">
        <f t="shared" ref="F53:K53" si="12">F50*F52</f>
        <v>701979.34224675817</v>
      </c>
      <c r="G53" s="360">
        <f t="shared" si="12"/>
        <v>955560.32032687694</v>
      </c>
      <c r="H53" s="662">
        <f t="shared" si="12"/>
        <v>1353867.8083585429</v>
      </c>
      <c r="I53" s="360">
        <f t="shared" si="12"/>
        <v>2170740.3636877802</v>
      </c>
      <c r="J53" s="667"/>
      <c r="K53" s="360">
        <f t="shared" si="12"/>
        <v>5855758.8589891149</v>
      </c>
      <c r="L53" s="667"/>
      <c r="M53" s="592" t="b">
        <f>SUM(K53)=SUM(Detail!AF51:AK51)</f>
        <v>1</v>
      </c>
    </row>
    <row r="54" spans="1:200" s="326" customFormat="1" ht="13.15" x14ac:dyDescent="0.4">
      <c r="B54" s="337"/>
      <c r="D54" s="336"/>
      <c r="E54" s="336"/>
      <c r="F54" s="336"/>
      <c r="G54" s="336"/>
      <c r="H54" s="336"/>
      <c r="I54" s="336"/>
      <c r="J54" s="365"/>
      <c r="K54" s="336"/>
      <c r="L54" s="365"/>
      <c r="M54" s="592"/>
    </row>
    <row r="55" spans="1:200" s="329" customFormat="1" ht="13.15" thickBot="1" x14ac:dyDescent="0.4">
      <c r="B55" s="363" t="s">
        <v>147</v>
      </c>
      <c r="C55" s="330"/>
      <c r="D55" s="668" t="s">
        <v>266</v>
      </c>
      <c r="E55" s="668" t="s">
        <v>266</v>
      </c>
      <c r="F55" s="364">
        <f>(F56-E56)/F56</f>
        <v>1.1768536852833991</v>
      </c>
      <c r="G55" s="364">
        <f>(G56-F56)/G56</f>
        <v>0.76282161762203471</v>
      </c>
      <c r="H55" s="663">
        <f>(H56-G56)/H56</f>
        <v>0.57879429449940589</v>
      </c>
      <c r="I55" s="656">
        <f>(I56-H56)/I56</f>
        <v>0.84431431828367787</v>
      </c>
      <c r="J55" s="652"/>
      <c r="K55" s="669" t="s">
        <v>266</v>
      </c>
      <c r="L55" s="672"/>
      <c r="M55" s="768"/>
      <c r="N55" s="326"/>
      <c r="O55" s="326"/>
      <c r="P55" s="326"/>
      <c r="Q55" s="326"/>
      <c r="R55" s="326"/>
      <c r="S55" s="326"/>
      <c r="T55" s="326"/>
      <c r="U55" s="326"/>
      <c r="V55" s="326"/>
      <c r="W55" s="326"/>
      <c r="X55" s="326"/>
      <c r="Y55" s="326"/>
      <c r="Z55" s="326"/>
      <c r="AA55" s="326"/>
      <c r="AB55" s="326"/>
      <c r="AC55" s="326"/>
      <c r="AD55" s="326"/>
      <c r="AE55" s="326"/>
      <c r="AF55" s="326"/>
      <c r="AG55" s="326"/>
      <c r="AH55" s="326"/>
      <c r="AI55" s="326"/>
      <c r="AJ55" s="326"/>
      <c r="AK55" s="326"/>
      <c r="AL55" s="326"/>
      <c r="AM55" s="326"/>
      <c r="AN55" s="326"/>
      <c r="AO55" s="326"/>
      <c r="AP55" s="326"/>
      <c r="AQ55" s="326"/>
      <c r="AR55" s="326"/>
      <c r="AS55" s="326"/>
      <c r="AT55" s="326"/>
      <c r="AU55" s="326"/>
      <c r="AV55" s="326"/>
      <c r="AW55" s="326"/>
      <c r="AX55" s="326"/>
      <c r="AY55" s="326"/>
      <c r="AZ55" s="326"/>
      <c r="BA55" s="326"/>
      <c r="BB55" s="326"/>
      <c r="BC55" s="326"/>
      <c r="BD55" s="326"/>
      <c r="BE55" s="326"/>
      <c r="BF55" s="326"/>
      <c r="BG55" s="325"/>
      <c r="BH55" s="325"/>
      <c r="BI55" s="325"/>
      <c r="BJ55" s="325"/>
      <c r="BK55" s="325"/>
      <c r="BL55" s="325"/>
      <c r="BM55" s="325"/>
      <c r="BN55" s="325"/>
      <c r="BO55" s="325"/>
      <c r="BP55" s="325"/>
      <c r="BQ55" s="325"/>
      <c r="BR55" s="325"/>
      <c r="BS55" s="325"/>
      <c r="BT55" s="325"/>
      <c r="BU55" s="325"/>
      <c r="BV55" s="325"/>
      <c r="BW55" s="325"/>
      <c r="BX55" s="325"/>
      <c r="BY55" s="325"/>
      <c r="BZ55" s="325"/>
      <c r="CA55" s="325"/>
      <c r="CB55" s="325"/>
      <c r="CC55" s="325"/>
      <c r="CD55" s="325"/>
      <c r="CE55" s="325"/>
      <c r="CF55" s="325"/>
      <c r="CG55" s="325"/>
      <c r="CH55" s="325"/>
      <c r="CI55" s="325"/>
      <c r="CJ55" s="325"/>
      <c r="CK55" s="325"/>
      <c r="CL55" s="325"/>
      <c r="CM55" s="325"/>
      <c r="CN55" s="325"/>
      <c r="CO55" s="325"/>
      <c r="CP55" s="325"/>
      <c r="CQ55" s="325"/>
      <c r="CR55" s="325"/>
      <c r="CS55" s="325"/>
      <c r="CT55" s="325"/>
      <c r="CU55" s="325"/>
      <c r="CV55" s="325"/>
      <c r="CW55" s="325"/>
      <c r="CX55" s="325"/>
      <c r="CY55" s="325"/>
      <c r="CZ55" s="325"/>
      <c r="DA55" s="325"/>
      <c r="DB55" s="325"/>
      <c r="DC55" s="325"/>
      <c r="DD55" s="325"/>
      <c r="DE55" s="325"/>
      <c r="DF55" s="325"/>
      <c r="DG55" s="325"/>
      <c r="DH55" s="325"/>
      <c r="DI55" s="325"/>
      <c r="DJ55" s="325"/>
      <c r="DK55" s="325"/>
      <c r="DL55" s="325"/>
      <c r="DM55" s="325"/>
      <c r="DN55" s="325"/>
      <c r="DO55" s="325"/>
      <c r="DP55" s="325"/>
      <c r="DQ55" s="325"/>
      <c r="DR55" s="325"/>
      <c r="DS55" s="325"/>
      <c r="DT55" s="325"/>
      <c r="DU55" s="325"/>
      <c r="DV55" s="325"/>
      <c r="DW55" s="325"/>
      <c r="DX55" s="325"/>
      <c r="DY55" s="325"/>
      <c r="DZ55" s="325"/>
      <c r="EA55" s="325"/>
      <c r="EB55" s="325"/>
      <c r="EC55" s="325"/>
      <c r="ED55" s="325"/>
      <c r="EE55" s="325"/>
      <c r="EF55" s="325"/>
      <c r="EG55" s="325"/>
      <c r="EH55" s="325"/>
      <c r="EI55" s="325"/>
      <c r="EJ55" s="325"/>
      <c r="EK55" s="325"/>
      <c r="EL55" s="325"/>
      <c r="EM55" s="325"/>
      <c r="EN55" s="325"/>
      <c r="EO55" s="325"/>
      <c r="EP55" s="325"/>
      <c r="EQ55" s="325"/>
      <c r="ER55" s="325"/>
      <c r="ES55" s="325"/>
      <c r="ET55" s="325"/>
      <c r="EU55" s="325"/>
      <c r="EV55" s="325"/>
      <c r="EW55" s="325"/>
      <c r="EX55" s="325"/>
      <c r="EY55" s="325"/>
      <c r="EZ55" s="325"/>
      <c r="FA55" s="325"/>
      <c r="FB55" s="325"/>
      <c r="FC55" s="325"/>
      <c r="FD55" s="325"/>
      <c r="FE55" s="325"/>
      <c r="FF55" s="325"/>
      <c r="FG55" s="325"/>
      <c r="FH55" s="325"/>
      <c r="FI55" s="325"/>
      <c r="FJ55" s="325"/>
      <c r="FK55" s="325"/>
      <c r="FL55" s="325"/>
      <c r="FM55" s="325"/>
      <c r="FN55" s="325"/>
      <c r="FO55" s="325"/>
      <c r="FP55" s="325"/>
      <c r="FQ55" s="325"/>
      <c r="FR55" s="325"/>
      <c r="FS55" s="325"/>
      <c r="FT55" s="325"/>
      <c r="FU55" s="325"/>
      <c r="FV55" s="325"/>
      <c r="FW55" s="325"/>
      <c r="FX55" s="325"/>
      <c r="FY55" s="325"/>
      <c r="FZ55" s="325"/>
      <c r="GA55" s="325"/>
      <c r="GB55" s="325"/>
      <c r="GC55" s="325"/>
      <c r="GD55" s="325"/>
      <c r="GE55" s="325"/>
      <c r="GF55" s="325"/>
      <c r="GG55" s="325"/>
      <c r="GH55" s="325"/>
      <c r="GI55" s="325"/>
      <c r="GJ55" s="325"/>
      <c r="GK55" s="325"/>
      <c r="GL55" s="325"/>
      <c r="GM55" s="325"/>
      <c r="GN55" s="325"/>
      <c r="GO55" s="325"/>
      <c r="GP55" s="325"/>
      <c r="GQ55" s="325"/>
      <c r="GR55" s="325"/>
    </row>
    <row r="56" spans="1:200" ht="13.5" thickBot="1" x14ac:dyDescent="0.45">
      <c r="B56" s="328" t="s">
        <v>146</v>
      </c>
      <c r="C56" s="362"/>
      <c r="D56" s="354">
        <f t="shared" ref="D56:I56" si="13">D14-D50-D53</f>
        <v>-4341736.4000000004</v>
      </c>
      <c r="E56" s="354">
        <f t="shared" si="13"/>
        <v>-2232040.1116829128</v>
      </c>
      <c r="F56" s="354">
        <f t="shared" si="13"/>
        <v>12620828.953075999</v>
      </c>
      <c r="G56" s="354">
        <f t="shared" si="13"/>
        <v>53212391.561738364</v>
      </c>
      <c r="H56" s="354">
        <f t="shared" si="13"/>
        <v>126333501.34347436</v>
      </c>
      <c r="I56" s="354">
        <f t="shared" si="13"/>
        <v>811465126.08442116</v>
      </c>
      <c r="J56" s="365"/>
      <c r="K56" s="354">
        <f>K14-K50-K53</f>
        <v>997058071.43102705</v>
      </c>
      <c r="L56" s="365"/>
      <c r="M56" s="770">
        <f>SUM(D56:I56)-K56</f>
        <v>0</v>
      </c>
      <c r="N56" s="771"/>
      <c r="O56" s="771"/>
    </row>
    <row r="57" spans="1:200" ht="13.15" thickBot="1" x14ac:dyDescent="0.4">
      <c r="B57" s="331"/>
    </row>
    <row r="58" spans="1:200" ht="13.5" thickBot="1" x14ac:dyDescent="0.45">
      <c r="B58" s="698" t="s">
        <v>145</v>
      </c>
      <c r="D58" s="351">
        <f>D7+D56</f>
        <v>5658263.5999999996</v>
      </c>
      <c r="E58" s="351">
        <f>+D58+E7+E56</f>
        <v>13426223.488317087</v>
      </c>
      <c r="F58" s="351">
        <f>+E58+F7+F56</f>
        <v>26047052.441393085</v>
      </c>
      <c r="G58" s="351">
        <f>+F58+G7+G56</f>
        <v>179259444.00313145</v>
      </c>
      <c r="H58" s="351">
        <f>+G58+H7+H56</f>
        <v>305592945.34660578</v>
      </c>
      <c r="I58" s="351">
        <f>+H58+I7+I56</f>
        <v>1117058071.4310269</v>
      </c>
      <c r="J58" s="645">
        <f>I58+J7+J56</f>
        <v>1117058071.4310269</v>
      </c>
      <c r="K58" s="351">
        <f>K7+K56</f>
        <v>1117058071.4310269</v>
      </c>
      <c r="L58" s="645"/>
      <c r="M58" s="770">
        <f>I58-K58</f>
        <v>0</v>
      </c>
    </row>
    <row r="59" spans="1:200" x14ac:dyDescent="0.35">
      <c r="B59" s="331"/>
      <c r="D59" s="697"/>
      <c r="E59" s="697"/>
      <c r="F59" s="697"/>
      <c r="G59" s="697"/>
      <c r="H59" s="697"/>
      <c r="I59" s="697"/>
    </row>
    <row r="60" spans="1:200" x14ac:dyDescent="0.35">
      <c r="B60" s="331"/>
    </row>
    <row r="61" spans="1:200" ht="13.15" x14ac:dyDescent="0.4">
      <c r="B61" s="688" t="s">
        <v>310</v>
      </c>
    </row>
    <row r="62" spans="1:200" x14ac:dyDescent="0.35">
      <c r="B62" s="331"/>
    </row>
    <row r="63" spans="1:200" ht="13.15" thickBot="1" x14ac:dyDescent="0.4">
      <c r="B63" s="331"/>
    </row>
    <row r="64" spans="1:200" ht="13.15" thickBot="1" x14ac:dyDescent="0.4">
      <c r="B64" s="331"/>
      <c r="H64" s="608"/>
    </row>
    <row r="65" spans="2:2" x14ac:dyDescent="0.35">
      <c r="B65" s="331"/>
    </row>
    <row r="66" spans="2:2" x14ac:dyDescent="0.35">
      <c r="B66" s="331"/>
    </row>
    <row r="67" spans="2:2" x14ac:dyDescent="0.35">
      <c r="B67" s="331"/>
    </row>
    <row r="68" spans="2:2" x14ac:dyDescent="0.35">
      <c r="B68" s="331"/>
    </row>
    <row r="69" spans="2:2" x14ac:dyDescent="0.35">
      <c r="B69" s="331"/>
    </row>
    <row r="70" spans="2:2" x14ac:dyDescent="0.35">
      <c r="B70" s="331"/>
    </row>
    <row r="71" spans="2:2" x14ac:dyDescent="0.35">
      <c r="B71" s="331"/>
    </row>
    <row r="72" spans="2:2" x14ac:dyDescent="0.35">
      <c r="B72" s="331"/>
    </row>
  </sheetData>
  <pageMargins left="0.75" right="0.75" top="1" bottom="1" header="0.5" footer="0.5"/>
  <pageSetup paperSize="9" scale="67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1">
    <pageSetUpPr fitToPage="1"/>
  </sheetPr>
  <dimension ref="B2:Z27"/>
  <sheetViews>
    <sheetView topLeftCell="C7" workbookViewId="0">
      <selection activeCell="C28" sqref="C28:O28"/>
    </sheetView>
  </sheetViews>
  <sheetFormatPr defaultColWidth="8.86328125" defaultRowHeight="12.75" x14ac:dyDescent="0.35"/>
  <cols>
    <col min="1" max="1" width="4.46484375" style="181" customWidth="1"/>
    <col min="2" max="2" width="3.6640625" style="181" customWidth="1"/>
    <col min="3" max="15" width="8.86328125" style="181" customWidth="1"/>
    <col min="16" max="18" width="11.19921875" style="181" customWidth="1"/>
    <col min="19" max="19" width="8.86328125" style="181"/>
    <col min="20" max="20" width="9.6640625" style="181" bestFit="1" customWidth="1"/>
    <col min="21" max="21" width="22.19921875" style="181" customWidth="1"/>
    <col min="22" max="16384" width="8.86328125" style="181"/>
  </cols>
  <sheetData>
    <row r="2" spans="2:26" x14ac:dyDescent="0.35">
      <c r="U2" s="313" t="s">
        <v>126</v>
      </c>
    </row>
    <row r="3" spans="2:26" x14ac:dyDescent="0.35">
      <c r="D3" s="829" t="s">
        <v>76</v>
      </c>
      <c r="E3" s="829"/>
      <c r="F3" s="829"/>
      <c r="G3" s="829"/>
      <c r="H3" s="829"/>
      <c r="I3" s="829"/>
      <c r="J3" s="829"/>
      <c r="K3" s="829"/>
      <c r="L3" s="829"/>
      <c r="M3" s="829"/>
      <c r="N3" s="829"/>
      <c r="O3" s="829"/>
      <c r="U3" s="314"/>
    </row>
    <row r="4" spans="2:26" x14ac:dyDescent="0.35">
      <c r="B4" s="829" t="s">
        <v>77</v>
      </c>
      <c r="C4" s="829"/>
      <c r="D4" s="304">
        <v>1</v>
      </c>
      <c r="E4" s="302">
        <v>1</v>
      </c>
      <c r="F4" s="310">
        <v>1</v>
      </c>
      <c r="G4" s="302">
        <v>1</v>
      </c>
      <c r="H4" s="310">
        <v>1</v>
      </c>
      <c r="I4" s="302">
        <v>1</v>
      </c>
      <c r="J4" s="310">
        <v>1</v>
      </c>
      <c r="K4" s="302">
        <v>1</v>
      </c>
      <c r="L4" s="310">
        <v>1</v>
      </c>
      <c r="M4" s="302">
        <v>1</v>
      </c>
      <c r="N4" s="302">
        <v>1</v>
      </c>
      <c r="O4" s="305">
        <v>1</v>
      </c>
      <c r="U4" s="314"/>
    </row>
    <row r="5" spans="2:26" x14ac:dyDescent="0.35">
      <c r="B5" s="182"/>
      <c r="C5" s="303">
        <v>43831</v>
      </c>
      <c r="D5" s="291">
        <f>1/12</f>
        <v>8.3333333333333329E-2</v>
      </c>
      <c r="E5" s="306"/>
      <c r="F5" s="292"/>
      <c r="G5" s="306"/>
      <c r="H5" s="292"/>
      <c r="I5" s="306"/>
      <c r="J5" s="292"/>
      <c r="K5" s="306"/>
      <c r="L5" s="292"/>
      <c r="M5" s="306"/>
      <c r="N5" s="306"/>
      <c r="O5" s="293"/>
      <c r="P5" s="184">
        <f t="shared" ref="P5:P27" si="0">SUM(D5:O5)</f>
        <v>8.3333333333333329E-2</v>
      </c>
      <c r="Q5" s="184">
        <f>P5</f>
        <v>8.3333333333333329E-2</v>
      </c>
      <c r="R5" s="183">
        <f>Q5/$Q$27</f>
        <v>6.9444444444444441E-3</v>
      </c>
      <c r="U5" s="314"/>
    </row>
    <row r="6" spans="2:26" x14ac:dyDescent="0.35">
      <c r="B6" s="182"/>
      <c r="C6" s="303">
        <f t="shared" ref="C6:C27" si="1">EDATE(C5,1)</f>
        <v>43862</v>
      </c>
      <c r="D6" s="294">
        <f t="shared" ref="D6:O21" si="2">1/12</f>
        <v>8.3333333333333329E-2</v>
      </c>
      <c r="E6" s="307">
        <f>1/12</f>
        <v>8.3333333333333329E-2</v>
      </c>
      <c r="F6" s="184"/>
      <c r="G6" s="308"/>
      <c r="H6" s="184"/>
      <c r="I6" s="308"/>
      <c r="J6" s="184"/>
      <c r="K6" s="308"/>
      <c r="L6" s="184"/>
      <c r="M6" s="308"/>
      <c r="N6" s="308"/>
      <c r="O6" s="296"/>
      <c r="P6" s="184">
        <f t="shared" si="0"/>
        <v>0.16666666666666666</v>
      </c>
      <c r="Q6" s="184">
        <f>P6+Q5</f>
        <v>0.25</v>
      </c>
      <c r="R6" s="183">
        <f t="shared" ref="R6:R27" si="3">Q6/$Q$27</f>
        <v>2.0833333333333332E-2</v>
      </c>
      <c r="U6" s="314"/>
      <c r="V6" s="181" t="s">
        <v>124</v>
      </c>
    </row>
    <row r="7" spans="2:26" ht="13.15" x14ac:dyDescent="0.4">
      <c r="B7" s="182"/>
      <c r="C7" s="303">
        <f t="shared" si="1"/>
        <v>43891</v>
      </c>
      <c r="D7" s="294">
        <f t="shared" si="2"/>
        <v>8.3333333333333329E-2</v>
      </c>
      <c r="E7" s="307">
        <f t="shared" si="2"/>
        <v>8.3333333333333329E-2</v>
      </c>
      <c r="F7" s="295">
        <f>1/12</f>
        <v>8.3333333333333329E-2</v>
      </c>
      <c r="G7" s="308"/>
      <c r="H7" s="184"/>
      <c r="I7" s="308"/>
      <c r="J7" s="184"/>
      <c r="K7" s="308"/>
      <c r="L7" s="184"/>
      <c r="M7" s="308"/>
      <c r="N7" s="308"/>
      <c r="O7" s="296"/>
      <c r="P7" s="184">
        <f t="shared" si="0"/>
        <v>0.25</v>
      </c>
      <c r="Q7" s="184">
        <f t="shared" ref="Q7:Q27" si="4">P7+Q6</f>
        <v>0.5</v>
      </c>
      <c r="R7" s="183">
        <f t="shared" si="3"/>
        <v>4.1666666666666664E-2</v>
      </c>
      <c r="S7" s="289">
        <f>R7</f>
        <v>4.1666666666666664E-2</v>
      </c>
      <c r="T7" s="181" t="s">
        <v>119</v>
      </c>
      <c r="U7" s="315">
        <f>S7/U11</f>
        <v>0.22222222222222221</v>
      </c>
      <c r="V7" s="184">
        <f>S7/$U$16</f>
        <v>0.04</v>
      </c>
      <c r="W7" s="184">
        <f>V10</f>
        <v>0.14000000000000004</v>
      </c>
      <c r="X7" s="184">
        <f>V13</f>
        <v>0.3</v>
      </c>
      <c r="Y7" s="184">
        <f>V16</f>
        <v>0.52</v>
      </c>
      <c r="Z7" s="311">
        <f>SUM(V7:Y7)</f>
        <v>1</v>
      </c>
    </row>
    <row r="8" spans="2:26" x14ac:dyDescent="0.35">
      <c r="B8" s="182"/>
      <c r="C8" s="303">
        <f t="shared" si="1"/>
        <v>43922</v>
      </c>
      <c r="D8" s="294">
        <f t="shared" si="2"/>
        <v>8.3333333333333329E-2</v>
      </c>
      <c r="E8" s="307">
        <f t="shared" si="2"/>
        <v>8.3333333333333329E-2</v>
      </c>
      <c r="F8" s="295">
        <f t="shared" si="2"/>
        <v>8.3333333333333329E-2</v>
      </c>
      <c r="G8" s="307">
        <f>1/12</f>
        <v>8.3333333333333329E-2</v>
      </c>
      <c r="H8" s="184"/>
      <c r="I8" s="308"/>
      <c r="J8" s="184"/>
      <c r="K8" s="308"/>
      <c r="L8" s="184"/>
      <c r="M8" s="308"/>
      <c r="N8" s="308"/>
      <c r="O8" s="296"/>
      <c r="P8" s="184">
        <f t="shared" si="0"/>
        <v>0.33333333333333331</v>
      </c>
      <c r="Q8" s="184">
        <f t="shared" si="4"/>
        <v>0.83333333333333326</v>
      </c>
      <c r="R8" s="183">
        <f t="shared" si="3"/>
        <v>6.9444444444444434E-2</v>
      </c>
      <c r="U8" s="314"/>
    </row>
    <row r="9" spans="2:26" x14ac:dyDescent="0.35">
      <c r="B9" s="182"/>
      <c r="C9" s="303">
        <f t="shared" si="1"/>
        <v>43952</v>
      </c>
      <c r="D9" s="294">
        <f t="shared" si="2"/>
        <v>8.3333333333333329E-2</v>
      </c>
      <c r="E9" s="307">
        <f t="shared" si="2"/>
        <v>8.3333333333333329E-2</v>
      </c>
      <c r="F9" s="295">
        <f t="shared" si="2"/>
        <v>8.3333333333333329E-2</v>
      </c>
      <c r="G9" s="307">
        <f t="shared" si="2"/>
        <v>8.3333333333333329E-2</v>
      </c>
      <c r="H9" s="295">
        <f>1/12</f>
        <v>8.3333333333333329E-2</v>
      </c>
      <c r="I9" s="308"/>
      <c r="J9" s="184"/>
      <c r="K9" s="308"/>
      <c r="L9" s="184"/>
      <c r="M9" s="308"/>
      <c r="N9" s="308"/>
      <c r="O9" s="296"/>
      <c r="P9" s="184">
        <f t="shared" si="0"/>
        <v>0.41666666666666663</v>
      </c>
      <c r="Q9" s="184">
        <f t="shared" si="4"/>
        <v>1.25</v>
      </c>
      <c r="R9" s="183">
        <f t="shared" si="3"/>
        <v>0.10416666666666667</v>
      </c>
      <c r="U9" s="314"/>
    </row>
    <row r="10" spans="2:26" ht="13.15" x14ac:dyDescent="0.4">
      <c r="B10" s="182"/>
      <c r="C10" s="303">
        <f t="shared" si="1"/>
        <v>43983</v>
      </c>
      <c r="D10" s="294">
        <f t="shared" si="2"/>
        <v>8.3333333333333329E-2</v>
      </c>
      <c r="E10" s="307">
        <f t="shared" si="2"/>
        <v>8.3333333333333329E-2</v>
      </c>
      <c r="F10" s="295">
        <f t="shared" si="2"/>
        <v>8.3333333333333329E-2</v>
      </c>
      <c r="G10" s="307">
        <f t="shared" si="2"/>
        <v>8.3333333333333329E-2</v>
      </c>
      <c r="H10" s="295">
        <f t="shared" si="2"/>
        <v>8.3333333333333329E-2</v>
      </c>
      <c r="I10" s="307">
        <f>1/12</f>
        <v>8.3333333333333329E-2</v>
      </c>
      <c r="J10" s="184"/>
      <c r="K10" s="308"/>
      <c r="L10" s="184"/>
      <c r="M10" s="308"/>
      <c r="N10" s="308"/>
      <c r="O10" s="296"/>
      <c r="P10" s="184">
        <f t="shared" si="0"/>
        <v>0.49999999999999994</v>
      </c>
      <c r="Q10" s="184">
        <f t="shared" si="4"/>
        <v>1.75</v>
      </c>
      <c r="R10" s="183">
        <f t="shared" si="3"/>
        <v>0.14583333333333334</v>
      </c>
      <c r="S10" s="289">
        <f>R10</f>
        <v>0.14583333333333334</v>
      </c>
      <c r="T10" s="181" t="s">
        <v>120</v>
      </c>
      <c r="U10" s="315">
        <f>S10/U11</f>
        <v>0.77777777777777779</v>
      </c>
      <c r="V10" s="184">
        <f>S10/$U$16</f>
        <v>0.14000000000000004</v>
      </c>
    </row>
    <row r="11" spans="2:26" x14ac:dyDescent="0.35">
      <c r="B11" s="182"/>
      <c r="C11" s="303">
        <f t="shared" si="1"/>
        <v>44013</v>
      </c>
      <c r="D11" s="294">
        <f t="shared" si="2"/>
        <v>8.3333333333333329E-2</v>
      </c>
      <c r="E11" s="307">
        <f t="shared" si="2"/>
        <v>8.3333333333333329E-2</v>
      </c>
      <c r="F11" s="295">
        <f t="shared" si="2"/>
        <v>8.3333333333333329E-2</v>
      </c>
      <c r="G11" s="307">
        <f t="shared" si="2"/>
        <v>8.3333333333333329E-2</v>
      </c>
      <c r="H11" s="295">
        <f t="shared" si="2"/>
        <v>8.3333333333333329E-2</v>
      </c>
      <c r="I11" s="307">
        <f t="shared" si="2"/>
        <v>8.3333333333333329E-2</v>
      </c>
      <c r="J11" s="295">
        <f>1/12</f>
        <v>8.3333333333333329E-2</v>
      </c>
      <c r="K11" s="308"/>
      <c r="L11" s="184"/>
      <c r="M11" s="308"/>
      <c r="N11" s="308"/>
      <c r="O11" s="296"/>
      <c r="P11" s="184">
        <f t="shared" si="0"/>
        <v>0.58333333333333326</v>
      </c>
      <c r="Q11" s="184">
        <f t="shared" si="4"/>
        <v>2.333333333333333</v>
      </c>
      <c r="R11" s="183">
        <f t="shared" si="3"/>
        <v>0.19444444444444442</v>
      </c>
      <c r="T11" s="312" t="s">
        <v>125</v>
      </c>
      <c r="U11" s="316">
        <f>S7+S10</f>
        <v>0.1875</v>
      </c>
    </row>
    <row r="12" spans="2:26" x14ac:dyDescent="0.35">
      <c r="B12" s="182"/>
      <c r="C12" s="303">
        <f t="shared" si="1"/>
        <v>44044</v>
      </c>
      <c r="D12" s="294">
        <f t="shared" si="2"/>
        <v>8.3333333333333329E-2</v>
      </c>
      <c r="E12" s="307">
        <f t="shared" si="2"/>
        <v>8.3333333333333329E-2</v>
      </c>
      <c r="F12" s="295">
        <f t="shared" si="2"/>
        <v>8.3333333333333329E-2</v>
      </c>
      <c r="G12" s="307">
        <f t="shared" si="2"/>
        <v>8.3333333333333329E-2</v>
      </c>
      <c r="H12" s="295">
        <f t="shared" si="2"/>
        <v>8.3333333333333329E-2</v>
      </c>
      <c r="I12" s="307">
        <f t="shared" si="2"/>
        <v>8.3333333333333329E-2</v>
      </c>
      <c r="J12" s="295">
        <f t="shared" si="2"/>
        <v>8.3333333333333329E-2</v>
      </c>
      <c r="K12" s="307">
        <f>1/12</f>
        <v>8.3333333333333329E-2</v>
      </c>
      <c r="L12" s="184"/>
      <c r="M12" s="308"/>
      <c r="N12" s="308"/>
      <c r="O12" s="296"/>
      <c r="P12" s="184">
        <f t="shared" si="0"/>
        <v>0.66666666666666663</v>
      </c>
      <c r="Q12" s="184">
        <f t="shared" si="4"/>
        <v>2.9999999999999996</v>
      </c>
      <c r="R12" s="183">
        <f t="shared" si="3"/>
        <v>0.24999999999999997</v>
      </c>
      <c r="U12" s="314"/>
    </row>
    <row r="13" spans="2:26" ht="13.15" x14ac:dyDescent="0.4">
      <c r="B13" s="182"/>
      <c r="C13" s="303">
        <f t="shared" si="1"/>
        <v>44075</v>
      </c>
      <c r="D13" s="294">
        <f t="shared" si="2"/>
        <v>8.3333333333333329E-2</v>
      </c>
      <c r="E13" s="307">
        <f t="shared" si="2"/>
        <v>8.3333333333333329E-2</v>
      </c>
      <c r="F13" s="295">
        <f t="shared" si="2"/>
        <v>8.3333333333333329E-2</v>
      </c>
      <c r="G13" s="307">
        <f t="shared" si="2"/>
        <v>8.3333333333333329E-2</v>
      </c>
      <c r="H13" s="295">
        <f t="shared" si="2"/>
        <v>8.3333333333333329E-2</v>
      </c>
      <c r="I13" s="307">
        <f t="shared" si="2"/>
        <v>8.3333333333333329E-2</v>
      </c>
      <c r="J13" s="295">
        <f t="shared" si="2"/>
        <v>8.3333333333333329E-2</v>
      </c>
      <c r="K13" s="307">
        <f t="shared" si="2"/>
        <v>8.3333333333333329E-2</v>
      </c>
      <c r="L13" s="295">
        <f>1/12</f>
        <v>8.3333333333333329E-2</v>
      </c>
      <c r="M13" s="308"/>
      <c r="N13" s="308"/>
      <c r="O13" s="296"/>
      <c r="P13" s="184">
        <f t="shared" si="0"/>
        <v>0.75</v>
      </c>
      <c r="Q13" s="184">
        <f t="shared" si="4"/>
        <v>3.7499999999999996</v>
      </c>
      <c r="R13" s="183">
        <f t="shared" si="3"/>
        <v>0.31249999999999994</v>
      </c>
      <c r="S13" s="289">
        <f>R13</f>
        <v>0.31249999999999994</v>
      </c>
      <c r="T13" s="181" t="s">
        <v>121</v>
      </c>
      <c r="U13" s="314"/>
      <c r="V13" s="184">
        <f>S13/$U$16</f>
        <v>0.3</v>
      </c>
    </row>
    <row r="14" spans="2:26" x14ac:dyDescent="0.35">
      <c r="B14" s="182"/>
      <c r="C14" s="303">
        <f t="shared" si="1"/>
        <v>44105</v>
      </c>
      <c r="D14" s="294">
        <f t="shared" si="2"/>
        <v>8.3333333333333329E-2</v>
      </c>
      <c r="E14" s="307">
        <f t="shared" si="2"/>
        <v>8.3333333333333329E-2</v>
      </c>
      <c r="F14" s="295">
        <f t="shared" si="2"/>
        <v>8.3333333333333329E-2</v>
      </c>
      <c r="G14" s="307">
        <f t="shared" si="2"/>
        <v>8.3333333333333329E-2</v>
      </c>
      <c r="H14" s="295">
        <f t="shared" si="2"/>
        <v>8.3333333333333329E-2</v>
      </c>
      <c r="I14" s="307">
        <f t="shared" si="2"/>
        <v>8.3333333333333329E-2</v>
      </c>
      <c r="J14" s="295">
        <f t="shared" si="2"/>
        <v>8.3333333333333329E-2</v>
      </c>
      <c r="K14" s="307">
        <f t="shared" si="2"/>
        <v>8.3333333333333329E-2</v>
      </c>
      <c r="L14" s="295">
        <f t="shared" si="2"/>
        <v>8.3333333333333329E-2</v>
      </c>
      <c r="M14" s="307">
        <f>1/12</f>
        <v>8.3333333333333329E-2</v>
      </c>
      <c r="N14" s="308"/>
      <c r="O14" s="296"/>
      <c r="P14" s="184">
        <f t="shared" si="0"/>
        <v>0.83333333333333337</v>
      </c>
      <c r="Q14" s="184">
        <f t="shared" si="4"/>
        <v>4.583333333333333</v>
      </c>
      <c r="R14" s="183">
        <f t="shared" si="3"/>
        <v>0.38194444444444442</v>
      </c>
      <c r="U14" s="314"/>
    </row>
    <row r="15" spans="2:26" x14ac:dyDescent="0.35">
      <c r="B15" s="182"/>
      <c r="C15" s="303">
        <f t="shared" si="1"/>
        <v>44136</v>
      </c>
      <c r="D15" s="294">
        <f>1/12</f>
        <v>8.3333333333333329E-2</v>
      </c>
      <c r="E15" s="307">
        <f t="shared" si="2"/>
        <v>8.3333333333333329E-2</v>
      </c>
      <c r="F15" s="295">
        <f t="shared" si="2"/>
        <v>8.3333333333333329E-2</v>
      </c>
      <c r="G15" s="307">
        <f t="shared" si="2"/>
        <v>8.3333333333333329E-2</v>
      </c>
      <c r="H15" s="295">
        <f t="shared" si="2"/>
        <v>8.3333333333333329E-2</v>
      </c>
      <c r="I15" s="307">
        <f t="shared" si="2"/>
        <v>8.3333333333333329E-2</v>
      </c>
      <c r="J15" s="295">
        <f t="shared" si="2"/>
        <v>8.3333333333333329E-2</v>
      </c>
      <c r="K15" s="307">
        <f t="shared" si="2"/>
        <v>8.3333333333333329E-2</v>
      </c>
      <c r="L15" s="295">
        <f t="shared" si="2"/>
        <v>8.3333333333333329E-2</v>
      </c>
      <c r="M15" s="307">
        <f t="shared" si="2"/>
        <v>8.3333333333333329E-2</v>
      </c>
      <c r="N15" s="307">
        <f>1/12</f>
        <v>8.3333333333333329E-2</v>
      </c>
      <c r="O15" s="296"/>
      <c r="P15" s="184">
        <f t="shared" si="0"/>
        <v>0.91666666666666674</v>
      </c>
      <c r="Q15" s="184">
        <f t="shared" si="4"/>
        <v>5.5</v>
      </c>
      <c r="R15" s="183">
        <f t="shared" si="3"/>
        <v>0.45833333333333331</v>
      </c>
      <c r="U15" s="314"/>
    </row>
    <row r="16" spans="2:26" ht="13.15" x14ac:dyDescent="0.4">
      <c r="B16" s="182"/>
      <c r="C16" s="303">
        <f t="shared" si="1"/>
        <v>44166</v>
      </c>
      <c r="D16" s="294">
        <f t="shared" si="2"/>
        <v>8.3333333333333329E-2</v>
      </c>
      <c r="E16" s="307">
        <f>1/12</f>
        <v>8.3333333333333329E-2</v>
      </c>
      <c r="F16" s="295">
        <f t="shared" si="2"/>
        <v>8.3333333333333329E-2</v>
      </c>
      <c r="G16" s="307">
        <f t="shared" si="2"/>
        <v>8.3333333333333329E-2</v>
      </c>
      <c r="H16" s="295">
        <f t="shared" si="2"/>
        <v>8.3333333333333329E-2</v>
      </c>
      <c r="I16" s="307">
        <f t="shared" si="2"/>
        <v>8.3333333333333329E-2</v>
      </c>
      <c r="J16" s="295">
        <f t="shared" si="2"/>
        <v>8.3333333333333329E-2</v>
      </c>
      <c r="K16" s="307">
        <f t="shared" si="2"/>
        <v>8.3333333333333329E-2</v>
      </c>
      <c r="L16" s="295">
        <f t="shared" si="2"/>
        <v>8.3333333333333329E-2</v>
      </c>
      <c r="M16" s="307">
        <f t="shared" si="2"/>
        <v>8.3333333333333329E-2</v>
      </c>
      <c r="N16" s="307">
        <f t="shared" si="2"/>
        <v>8.3333333333333329E-2</v>
      </c>
      <c r="O16" s="297">
        <f>1/12</f>
        <v>8.3333333333333329E-2</v>
      </c>
      <c r="P16" s="184">
        <f t="shared" si="0"/>
        <v>1</v>
      </c>
      <c r="Q16" s="184">
        <f t="shared" si="4"/>
        <v>6.5</v>
      </c>
      <c r="R16" s="183">
        <f t="shared" si="3"/>
        <v>0.54166666666666663</v>
      </c>
      <c r="S16" s="289">
        <f>R16</f>
        <v>0.54166666666666663</v>
      </c>
      <c r="T16" s="181" t="s">
        <v>122</v>
      </c>
      <c r="U16" s="317">
        <f>S16+S13+S10+S7</f>
        <v>1.0416666666666665</v>
      </c>
      <c r="V16" s="184">
        <f>S16/$U$16</f>
        <v>0.52</v>
      </c>
    </row>
    <row r="17" spans="2:22" x14ac:dyDescent="0.35">
      <c r="B17" s="182"/>
      <c r="C17" s="303">
        <f t="shared" si="1"/>
        <v>44197</v>
      </c>
      <c r="D17" s="298"/>
      <c r="E17" s="307">
        <f t="shared" si="2"/>
        <v>8.3333333333333329E-2</v>
      </c>
      <c r="F17" s="295">
        <f>1/12</f>
        <v>8.3333333333333329E-2</v>
      </c>
      <c r="G17" s="307">
        <f t="shared" si="2"/>
        <v>8.3333333333333329E-2</v>
      </c>
      <c r="H17" s="295">
        <f t="shared" si="2"/>
        <v>8.3333333333333329E-2</v>
      </c>
      <c r="I17" s="307">
        <f t="shared" si="2"/>
        <v>8.3333333333333329E-2</v>
      </c>
      <c r="J17" s="295">
        <f t="shared" si="2"/>
        <v>8.3333333333333329E-2</v>
      </c>
      <c r="K17" s="307">
        <f t="shared" si="2"/>
        <v>8.3333333333333329E-2</v>
      </c>
      <c r="L17" s="295">
        <f t="shared" si="2"/>
        <v>8.3333333333333329E-2</v>
      </c>
      <c r="M17" s="307">
        <f t="shared" si="2"/>
        <v>8.3333333333333329E-2</v>
      </c>
      <c r="N17" s="307">
        <f t="shared" si="2"/>
        <v>8.3333333333333329E-2</v>
      </c>
      <c r="O17" s="297">
        <f t="shared" si="2"/>
        <v>8.3333333333333329E-2</v>
      </c>
      <c r="P17" s="184">
        <f t="shared" si="0"/>
        <v>0.91666666666666674</v>
      </c>
      <c r="Q17" s="184">
        <f t="shared" si="4"/>
        <v>7.416666666666667</v>
      </c>
      <c r="R17" s="183">
        <f t="shared" si="3"/>
        <v>0.61805555555555558</v>
      </c>
      <c r="V17" s="311">
        <f>SUM(V7:V16)</f>
        <v>1</v>
      </c>
    </row>
    <row r="18" spans="2:22" x14ac:dyDescent="0.35">
      <c r="B18" s="182"/>
      <c r="C18" s="303">
        <f t="shared" si="1"/>
        <v>44228</v>
      </c>
      <c r="D18" s="298"/>
      <c r="E18" s="308"/>
      <c r="F18" s="295">
        <f t="shared" si="2"/>
        <v>8.3333333333333329E-2</v>
      </c>
      <c r="G18" s="307">
        <f>1/12</f>
        <v>8.3333333333333329E-2</v>
      </c>
      <c r="H18" s="295">
        <f t="shared" si="2"/>
        <v>8.3333333333333329E-2</v>
      </c>
      <c r="I18" s="307">
        <f t="shared" si="2"/>
        <v>8.3333333333333329E-2</v>
      </c>
      <c r="J18" s="295">
        <f t="shared" si="2"/>
        <v>8.3333333333333329E-2</v>
      </c>
      <c r="K18" s="307">
        <f t="shared" si="2"/>
        <v>8.3333333333333329E-2</v>
      </c>
      <c r="L18" s="295">
        <f t="shared" si="2"/>
        <v>8.3333333333333329E-2</v>
      </c>
      <c r="M18" s="307">
        <f t="shared" si="2"/>
        <v>8.3333333333333329E-2</v>
      </c>
      <c r="N18" s="307">
        <f t="shared" si="2"/>
        <v>8.3333333333333329E-2</v>
      </c>
      <c r="O18" s="297">
        <f t="shared" si="2"/>
        <v>8.3333333333333329E-2</v>
      </c>
      <c r="P18" s="184">
        <f t="shared" si="0"/>
        <v>0.83333333333333337</v>
      </c>
      <c r="Q18" s="184">
        <f t="shared" si="4"/>
        <v>8.25</v>
      </c>
      <c r="R18" s="183">
        <f t="shared" si="3"/>
        <v>0.6875</v>
      </c>
    </row>
    <row r="19" spans="2:22" ht="13.15" x14ac:dyDescent="0.4">
      <c r="B19" s="182"/>
      <c r="C19" s="303">
        <f t="shared" si="1"/>
        <v>44256</v>
      </c>
      <c r="D19" s="298"/>
      <c r="E19" s="308"/>
      <c r="F19" s="184"/>
      <c r="G19" s="307">
        <f t="shared" si="2"/>
        <v>8.3333333333333329E-2</v>
      </c>
      <c r="H19" s="295">
        <f>1/12</f>
        <v>8.3333333333333329E-2</v>
      </c>
      <c r="I19" s="307">
        <f t="shared" si="2"/>
        <v>8.3333333333333329E-2</v>
      </c>
      <c r="J19" s="295">
        <f t="shared" si="2"/>
        <v>8.3333333333333329E-2</v>
      </c>
      <c r="K19" s="307">
        <f t="shared" si="2"/>
        <v>8.3333333333333329E-2</v>
      </c>
      <c r="L19" s="295">
        <f t="shared" si="2"/>
        <v>8.3333333333333329E-2</v>
      </c>
      <c r="M19" s="307">
        <f t="shared" si="2"/>
        <v>8.3333333333333329E-2</v>
      </c>
      <c r="N19" s="307">
        <f t="shared" si="2"/>
        <v>8.3333333333333329E-2</v>
      </c>
      <c r="O19" s="297">
        <f t="shared" si="2"/>
        <v>8.3333333333333329E-2</v>
      </c>
      <c r="P19" s="184">
        <f t="shared" si="0"/>
        <v>0.75</v>
      </c>
      <c r="Q19" s="184">
        <f t="shared" si="4"/>
        <v>9</v>
      </c>
      <c r="R19" s="183">
        <f t="shared" si="3"/>
        <v>0.75</v>
      </c>
      <c r="S19" s="289">
        <f>R19</f>
        <v>0.75</v>
      </c>
      <c r="T19" s="290" t="s">
        <v>123</v>
      </c>
    </row>
    <row r="20" spans="2:22" x14ac:dyDescent="0.35">
      <c r="B20" s="182"/>
      <c r="C20" s="303">
        <f t="shared" si="1"/>
        <v>44287</v>
      </c>
      <c r="D20" s="298"/>
      <c r="E20" s="308"/>
      <c r="F20" s="184"/>
      <c r="G20" s="308"/>
      <c r="H20" s="295">
        <f t="shared" si="2"/>
        <v>8.3333333333333329E-2</v>
      </c>
      <c r="I20" s="307">
        <f>1/12</f>
        <v>8.3333333333333329E-2</v>
      </c>
      <c r="J20" s="295">
        <f t="shared" si="2"/>
        <v>8.3333333333333329E-2</v>
      </c>
      <c r="K20" s="307">
        <f t="shared" si="2"/>
        <v>8.3333333333333329E-2</v>
      </c>
      <c r="L20" s="295">
        <f t="shared" si="2"/>
        <v>8.3333333333333329E-2</v>
      </c>
      <c r="M20" s="307">
        <f t="shared" si="2"/>
        <v>8.3333333333333329E-2</v>
      </c>
      <c r="N20" s="307">
        <f t="shared" si="2"/>
        <v>8.3333333333333329E-2</v>
      </c>
      <c r="O20" s="297">
        <f t="shared" si="2"/>
        <v>8.3333333333333329E-2</v>
      </c>
      <c r="P20" s="184">
        <f t="shared" si="0"/>
        <v>0.66666666666666663</v>
      </c>
      <c r="Q20" s="184">
        <f t="shared" si="4"/>
        <v>9.6666666666666661</v>
      </c>
      <c r="R20" s="183">
        <f t="shared" si="3"/>
        <v>0.80555555555555547</v>
      </c>
    </row>
    <row r="21" spans="2:22" x14ac:dyDescent="0.35">
      <c r="B21" s="182"/>
      <c r="C21" s="303">
        <f t="shared" si="1"/>
        <v>44317</v>
      </c>
      <c r="D21" s="298"/>
      <c r="E21" s="308"/>
      <c r="F21" s="184"/>
      <c r="G21" s="308"/>
      <c r="H21" s="184"/>
      <c r="I21" s="307">
        <f t="shared" si="2"/>
        <v>8.3333333333333329E-2</v>
      </c>
      <c r="J21" s="295">
        <f>1/12</f>
        <v>8.3333333333333329E-2</v>
      </c>
      <c r="K21" s="307">
        <f t="shared" si="2"/>
        <v>8.3333333333333329E-2</v>
      </c>
      <c r="L21" s="295">
        <f t="shared" si="2"/>
        <v>8.3333333333333329E-2</v>
      </c>
      <c r="M21" s="307">
        <f t="shared" si="2"/>
        <v>8.3333333333333329E-2</v>
      </c>
      <c r="N21" s="307">
        <f t="shared" si="2"/>
        <v>8.3333333333333329E-2</v>
      </c>
      <c r="O21" s="297">
        <f t="shared" si="2"/>
        <v>8.3333333333333329E-2</v>
      </c>
      <c r="P21" s="184">
        <f t="shared" si="0"/>
        <v>0.58333333333333326</v>
      </c>
      <c r="Q21" s="184">
        <f t="shared" si="4"/>
        <v>10.25</v>
      </c>
      <c r="R21" s="183">
        <f t="shared" si="3"/>
        <v>0.85416666666666663</v>
      </c>
    </row>
    <row r="22" spans="2:22" x14ac:dyDescent="0.35">
      <c r="B22" s="182"/>
      <c r="C22" s="303">
        <f t="shared" si="1"/>
        <v>44348</v>
      </c>
      <c r="D22" s="298"/>
      <c r="E22" s="308"/>
      <c r="F22" s="184"/>
      <c r="G22" s="308"/>
      <c r="H22" s="184"/>
      <c r="I22" s="308"/>
      <c r="J22" s="295">
        <f>1/12</f>
        <v>8.3333333333333329E-2</v>
      </c>
      <c r="K22" s="307">
        <f>1/12</f>
        <v>8.3333333333333329E-2</v>
      </c>
      <c r="L22" s="295">
        <f t="shared" ref="L22:O27" si="5">1/12</f>
        <v>8.3333333333333329E-2</v>
      </c>
      <c r="M22" s="307">
        <f t="shared" si="5"/>
        <v>8.3333333333333329E-2</v>
      </c>
      <c r="N22" s="307">
        <f t="shared" si="5"/>
        <v>8.3333333333333329E-2</v>
      </c>
      <c r="O22" s="297">
        <f t="shared" si="5"/>
        <v>8.3333333333333329E-2</v>
      </c>
      <c r="P22" s="184">
        <f t="shared" si="0"/>
        <v>0.49999999999999994</v>
      </c>
      <c r="Q22" s="184">
        <f t="shared" si="4"/>
        <v>10.75</v>
      </c>
      <c r="R22" s="183">
        <f t="shared" si="3"/>
        <v>0.89583333333333337</v>
      </c>
    </row>
    <row r="23" spans="2:22" x14ac:dyDescent="0.35">
      <c r="B23" s="182"/>
      <c r="C23" s="303">
        <f t="shared" si="1"/>
        <v>44378</v>
      </c>
      <c r="D23" s="298"/>
      <c r="E23" s="308"/>
      <c r="F23" s="184"/>
      <c r="G23" s="308"/>
      <c r="H23" s="184"/>
      <c r="I23" s="308"/>
      <c r="J23" s="184"/>
      <c r="K23" s="307">
        <f>1/12</f>
        <v>8.3333333333333329E-2</v>
      </c>
      <c r="L23" s="295">
        <f>1/12</f>
        <v>8.3333333333333329E-2</v>
      </c>
      <c r="M23" s="307">
        <f t="shared" si="5"/>
        <v>8.3333333333333329E-2</v>
      </c>
      <c r="N23" s="307">
        <f t="shared" si="5"/>
        <v>8.3333333333333329E-2</v>
      </c>
      <c r="O23" s="297">
        <f t="shared" si="5"/>
        <v>8.3333333333333329E-2</v>
      </c>
      <c r="P23" s="184">
        <f t="shared" si="0"/>
        <v>0.41666666666666663</v>
      </c>
      <c r="Q23" s="184">
        <f t="shared" si="4"/>
        <v>11.166666666666666</v>
      </c>
      <c r="R23" s="183">
        <f t="shared" si="3"/>
        <v>0.93055555555555547</v>
      </c>
    </row>
    <row r="24" spans="2:22" x14ac:dyDescent="0.35">
      <c r="B24" s="182"/>
      <c r="C24" s="303">
        <f t="shared" si="1"/>
        <v>44409</v>
      </c>
      <c r="D24" s="298"/>
      <c r="E24" s="308"/>
      <c r="F24" s="184"/>
      <c r="G24" s="308"/>
      <c r="H24" s="184"/>
      <c r="I24" s="308"/>
      <c r="J24" s="184"/>
      <c r="K24" s="308"/>
      <c r="L24" s="295">
        <f t="shared" si="5"/>
        <v>8.3333333333333329E-2</v>
      </c>
      <c r="M24" s="307">
        <f>1/12</f>
        <v>8.3333333333333329E-2</v>
      </c>
      <c r="N24" s="307">
        <f t="shared" si="5"/>
        <v>8.3333333333333329E-2</v>
      </c>
      <c r="O24" s="297">
        <f t="shared" si="5"/>
        <v>8.3333333333333329E-2</v>
      </c>
      <c r="P24" s="184">
        <f t="shared" si="0"/>
        <v>0.33333333333333331</v>
      </c>
      <c r="Q24" s="184">
        <f t="shared" si="4"/>
        <v>11.5</v>
      </c>
      <c r="R24" s="183">
        <f t="shared" si="3"/>
        <v>0.95833333333333337</v>
      </c>
    </row>
    <row r="25" spans="2:22" x14ac:dyDescent="0.35">
      <c r="B25" s="182"/>
      <c r="C25" s="303">
        <f t="shared" si="1"/>
        <v>44440</v>
      </c>
      <c r="D25" s="298"/>
      <c r="E25" s="308"/>
      <c r="F25" s="184"/>
      <c r="G25" s="308"/>
      <c r="H25" s="184"/>
      <c r="I25" s="308"/>
      <c r="J25" s="184"/>
      <c r="K25" s="308"/>
      <c r="L25" s="184"/>
      <c r="M25" s="307">
        <f t="shared" si="5"/>
        <v>8.3333333333333329E-2</v>
      </c>
      <c r="N25" s="307">
        <f>1/12</f>
        <v>8.3333333333333329E-2</v>
      </c>
      <c r="O25" s="297">
        <f t="shared" si="5"/>
        <v>8.3333333333333329E-2</v>
      </c>
      <c r="P25" s="184">
        <f t="shared" si="0"/>
        <v>0.25</v>
      </c>
      <c r="Q25" s="184">
        <f t="shared" si="4"/>
        <v>11.75</v>
      </c>
      <c r="R25" s="183">
        <f t="shared" si="3"/>
        <v>0.97916666666666663</v>
      </c>
    </row>
    <row r="26" spans="2:22" x14ac:dyDescent="0.35">
      <c r="B26" s="182"/>
      <c r="C26" s="303">
        <f t="shared" si="1"/>
        <v>44470</v>
      </c>
      <c r="D26" s="298"/>
      <c r="E26" s="308"/>
      <c r="F26" s="184"/>
      <c r="G26" s="308"/>
      <c r="H26" s="184"/>
      <c r="I26" s="308"/>
      <c r="J26" s="184"/>
      <c r="K26" s="308"/>
      <c r="L26" s="184"/>
      <c r="M26" s="308"/>
      <c r="N26" s="307">
        <f t="shared" si="5"/>
        <v>8.3333333333333329E-2</v>
      </c>
      <c r="O26" s="297">
        <f>1/12</f>
        <v>8.3333333333333329E-2</v>
      </c>
      <c r="P26" s="184">
        <f t="shared" si="0"/>
        <v>0.16666666666666666</v>
      </c>
      <c r="Q26" s="184">
        <f t="shared" si="4"/>
        <v>11.916666666666666</v>
      </c>
      <c r="R26" s="183">
        <f t="shared" si="3"/>
        <v>0.99305555555555547</v>
      </c>
    </row>
    <row r="27" spans="2:22" x14ac:dyDescent="0.35">
      <c r="B27" s="182"/>
      <c r="C27" s="303">
        <f t="shared" si="1"/>
        <v>44501</v>
      </c>
      <c r="D27" s="299"/>
      <c r="E27" s="309"/>
      <c r="F27" s="300"/>
      <c r="G27" s="309"/>
      <c r="H27" s="300"/>
      <c r="I27" s="309"/>
      <c r="J27" s="300"/>
      <c r="K27" s="309"/>
      <c r="L27" s="300"/>
      <c r="M27" s="309"/>
      <c r="N27" s="309"/>
      <c r="O27" s="301">
        <f t="shared" si="5"/>
        <v>8.3333333333333329E-2</v>
      </c>
      <c r="P27" s="184">
        <f t="shared" si="0"/>
        <v>8.3333333333333329E-2</v>
      </c>
      <c r="Q27" s="184">
        <f t="shared" si="4"/>
        <v>12</v>
      </c>
      <c r="R27" s="183">
        <f t="shared" si="3"/>
        <v>1</v>
      </c>
      <c r="S27" s="184"/>
    </row>
  </sheetData>
  <mergeCells count="2">
    <mergeCell ref="D3:O3"/>
    <mergeCell ref="B4:C4"/>
  </mergeCells>
  <phoneticPr fontId="14" type="noConversion"/>
  <pageMargins left="0.39370078740157483" right="0.39370078740157483" top="0.98425196850393704" bottom="0.98425196850393704" header="0.51181102362204722" footer="0.51181102362204722"/>
  <pageSetup paperSize="9" scale="59" orientation="landscape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pageSetUpPr fitToPage="1"/>
  </sheetPr>
  <dimension ref="B1:R163"/>
  <sheetViews>
    <sheetView topLeftCell="B47" zoomScaleNormal="100" workbookViewId="0">
      <selection activeCell="F92" sqref="F92:J92"/>
    </sheetView>
  </sheetViews>
  <sheetFormatPr defaultColWidth="9.1328125" defaultRowHeight="12.75" x14ac:dyDescent="0.35"/>
  <cols>
    <col min="1" max="1" width="2" style="30" customWidth="1"/>
    <col min="2" max="2" width="8.06640625" style="29" customWidth="1"/>
    <col min="3" max="3" width="30.86328125" style="30" customWidth="1"/>
    <col min="4" max="4" width="14.46484375" style="30" customWidth="1"/>
    <col min="5" max="6" width="16.46484375" style="31" customWidth="1"/>
    <col min="7" max="11" width="13.53125" style="30" customWidth="1"/>
    <col min="12" max="12" width="18.86328125" style="30" customWidth="1"/>
    <col min="13" max="14" width="11.1328125" style="30" bestFit="1" customWidth="1"/>
    <col min="15" max="17" width="9.1328125" style="30"/>
    <col min="18" max="18" width="14.86328125" style="30" customWidth="1"/>
    <col min="19" max="16384" width="9.1328125" style="30"/>
  </cols>
  <sheetData>
    <row r="1" spans="2:18" x14ac:dyDescent="0.35">
      <c r="D1" s="31"/>
      <c r="E1" s="609"/>
      <c r="F1" s="609"/>
    </row>
    <row r="2" spans="2:18" ht="20.65" x14ac:dyDescent="0.4">
      <c r="C2" s="140" t="s">
        <v>26</v>
      </c>
      <c r="D2" s="631" t="s">
        <v>265</v>
      </c>
      <c r="E2" s="632">
        <v>0</v>
      </c>
      <c r="F2" s="632"/>
      <c r="G2" s="633">
        <v>0</v>
      </c>
      <c r="H2" s="634">
        <v>0</v>
      </c>
      <c r="I2" s="634">
        <v>0</v>
      </c>
      <c r="J2" s="634">
        <v>0</v>
      </c>
      <c r="K2" s="634">
        <v>0</v>
      </c>
      <c r="R2" s="30" t="s">
        <v>27</v>
      </c>
    </row>
    <row r="3" spans="2:18" ht="21.95" customHeight="1" thickBot="1" x14ac:dyDescent="0.4">
      <c r="C3" s="140"/>
      <c r="D3" s="622" t="s">
        <v>272</v>
      </c>
      <c r="E3" s="629">
        <v>0.04</v>
      </c>
      <c r="F3" s="629"/>
      <c r="G3" s="601"/>
      <c r="H3" s="601"/>
      <c r="I3" s="601"/>
      <c r="J3" s="601"/>
      <c r="K3" s="601"/>
    </row>
    <row r="4" spans="2:18" ht="13.15" x14ac:dyDescent="0.4">
      <c r="C4" s="34" t="s">
        <v>1</v>
      </c>
      <c r="D4" s="35" t="s">
        <v>27</v>
      </c>
      <c r="E4" s="36" t="s">
        <v>28</v>
      </c>
      <c r="F4" s="35" t="str">
        <f>'P&amp;L'!C5</f>
        <v>Year 0</v>
      </c>
      <c r="G4" s="35" t="str">
        <f>'P&amp;L'!D5</f>
        <v>Year 1</v>
      </c>
      <c r="H4" s="35" t="str">
        <f>'P&amp;L'!E5</f>
        <v>Year 2</v>
      </c>
      <c r="I4" s="35" t="str">
        <f>'P&amp;L'!F5</f>
        <v>Year 3</v>
      </c>
      <c r="J4" s="35" t="str">
        <f>'P&amp;L'!G5</f>
        <v>Year 4</v>
      </c>
      <c r="K4" s="35" t="str">
        <f>'P&amp;L'!H5</f>
        <v>Year 5</v>
      </c>
      <c r="R4" s="284" t="s">
        <v>243</v>
      </c>
    </row>
    <row r="5" spans="2:18" ht="12.5" customHeight="1" x14ac:dyDescent="0.35">
      <c r="B5" s="29">
        <v>1</v>
      </c>
      <c r="C5" s="318" t="s">
        <v>280</v>
      </c>
      <c r="D5" s="251" t="s">
        <v>243</v>
      </c>
      <c r="E5" s="379">
        <f>500000</f>
        <v>500000</v>
      </c>
      <c r="F5" s="49">
        <v>0</v>
      </c>
      <c r="G5" s="49">
        <v>0</v>
      </c>
      <c r="H5" s="49">
        <f t="shared" ref="H5:H10" si="0">($E5*(1-$H$2)) *(1+$E$3*1)</f>
        <v>520000</v>
      </c>
      <c r="I5" s="49">
        <f t="shared" ref="I5:I10" si="1">($E5*(1-$I$2)) *(1+$E$3*2)</f>
        <v>540000</v>
      </c>
      <c r="J5" s="49">
        <f t="shared" ref="J5:J10" si="2">($E5*(1-$J$2)) *(1+$E$3*3)</f>
        <v>560000</v>
      </c>
      <c r="K5" s="49">
        <f t="shared" ref="K5:K10" si="3">($E5*(1-$K$2)) *(1+$E$3*4)</f>
        <v>580000</v>
      </c>
      <c r="L5" s="830" t="s">
        <v>312</v>
      </c>
      <c r="R5" s="39" t="s">
        <v>233</v>
      </c>
    </row>
    <row r="6" spans="2:18" x14ac:dyDescent="0.35">
      <c r="B6" s="29">
        <f>B5+1</f>
        <v>2</v>
      </c>
      <c r="C6" s="318" t="s">
        <v>153</v>
      </c>
      <c r="D6" s="251" t="s">
        <v>243</v>
      </c>
      <c r="E6" s="319">
        <f>350000</f>
        <v>350000</v>
      </c>
      <c r="F6" s="49">
        <f>6500*12</f>
        <v>78000</v>
      </c>
      <c r="G6" s="49">
        <f>($E6*(1-$G$2))</f>
        <v>350000</v>
      </c>
      <c r="H6" s="49">
        <f t="shared" si="0"/>
        <v>364000</v>
      </c>
      <c r="I6" s="49">
        <f t="shared" si="1"/>
        <v>378000</v>
      </c>
      <c r="J6" s="49">
        <f t="shared" si="2"/>
        <v>392000.00000000006</v>
      </c>
      <c r="K6" s="49">
        <f t="shared" si="3"/>
        <v>406000</v>
      </c>
      <c r="L6" s="830"/>
      <c r="R6" s="39" t="s">
        <v>293</v>
      </c>
    </row>
    <row r="7" spans="2:18" x14ac:dyDescent="0.35">
      <c r="B7" s="29">
        <f t="shared" ref="B7:B45" si="4">B6+1</f>
        <v>3</v>
      </c>
      <c r="C7" s="318" t="s">
        <v>314</v>
      </c>
      <c r="D7" s="251" t="s">
        <v>243</v>
      </c>
      <c r="E7" s="319">
        <v>450000</v>
      </c>
      <c r="F7" s="49">
        <f t="shared" ref="F7:F14" si="5">6500*12</f>
        <v>78000</v>
      </c>
      <c r="G7" s="49">
        <f>($E7*(1-$G$2))</f>
        <v>450000</v>
      </c>
      <c r="H7" s="49">
        <f t="shared" si="0"/>
        <v>468000</v>
      </c>
      <c r="I7" s="49">
        <f t="shared" si="1"/>
        <v>486000.00000000006</v>
      </c>
      <c r="J7" s="49">
        <f t="shared" si="2"/>
        <v>504000.00000000006</v>
      </c>
      <c r="K7" s="49">
        <f t="shared" si="3"/>
        <v>521999.99999999994</v>
      </c>
      <c r="L7" s="830"/>
      <c r="R7" s="284"/>
    </row>
    <row r="8" spans="2:18" x14ac:dyDescent="0.35">
      <c r="B8" s="29">
        <f t="shared" si="4"/>
        <v>4</v>
      </c>
      <c r="C8" s="318" t="s">
        <v>150</v>
      </c>
      <c r="D8" s="251" t="s">
        <v>243</v>
      </c>
      <c r="E8" s="319">
        <f t="shared" ref="E8:E15" si="6">350000</f>
        <v>350000</v>
      </c>
      <c r="F8" s="49">
        <f t="shared" si="5"/>
        <v>78000</v>
      </c>
      <c r="G8" s="49">
        <f>($E8*(1-$G$2))</f>
        <v>350000</v>
      </c>
      <c r="H8" s="49">
        <f t="shared" si="0"/>
        <v>364000</v>
      </c>
      <c r="I8" s="49">
        <f t="shared" si="1"/>
        <v>378000</v>
      </c>
      <c r="J8" s="49">
        <f t="shared" si="2"/>
        <v>392000.00000000006</v>
      </c>
      <c r="K8" s="49">
        <f t="shared" si="3"/>
        <v>406000</v>
      </c>
      <c r="L8" s="830"/>
      <c r="R8" s="284" t="s">
        <v>29</v>
      </c>
    </row>
    <row r="9" spans="2:18" x14ac:dyDescent="0.35">
      <c r="B9" s="29">
        <f t="shared" si="4"/>
        <v>5</v>
      </c>
      <c r="C9" s="318" t="s">
        <v>283</v>
      </c>
      <c r="D9" s="251" t="s">
        <v>243</v>
      </c>
      <c r="E9" s="319">
        <f t="shared" si="6"/>
        <v>350000</v>
      </c>
      <c r="F9" s="49">
        <f t="shared" si="5"/>
        <v>78000</v>
      </c>
      <c r="G9" s="49">
        <f t="shared" ref="G9:G10" si="7">($E9*(1-$G$2)*(1+G$3*2))</f>
        <v>350000</v>
      </c>
      <c r="H9" s="49">
        <f t="shared" si="0"/>
        <v>364000</v>
      </c>
      <c r="I9" s="49">
        <f t="shared" si="1"/>
        <v>378000</v>
      </c>
      <c r="J9" s="49">
        <f t="shared" si="2"/>
        <v>392000.00000000006</v>
      </c>
      <c r="K9" s="49">
        <f t="shared" si="3"/>
        <v>406000</v>
      </c>
      <c r="L9" s="830"/>
    </row>
    <row r="10" spans="2:18" x14ac:dyDescent="0.35">
      <c r="B10" s="29">
        <f t="shared" si="4"/>
        <v>6</v>
      </c>
      <c r="C10" s="318" t="s">
        <v>311</v>
      </c>
      <c r="D10" s="251" t="s">
        <v>243</v>
      </c>
      <c r="E10" s="319">
        <f t="shared" si="6"/>
        <v>350000</v>
      </c>
      <c r="F10" s="49">
        <f t="shared" si="5"/>
        <v>78000</v>
      </c>
      <c r="G10" s="49">
        <f t="shared" si="7"/>
        <v>350000</v>
      </c>
      <c r="H10" s="49">
        <f t="shared" si="0"/>
        <v>364000</v>
      </c>
      <c r="I10" s="49">
        <f t="shared" si="1"/>
        <v>378000</v>
      </c>
      <c r="J10" s="49">
        <f t="shared" si="2"/>
        <v>392000.00000000006</v>
      </c>
      <c r="K10" s="49">
        <f t="shared" si="3"/>
        <v>406000</v>
      </c>
      <c r="L10" s="830"/>
    </row>
    <row r="11" spans="2:18" x14ac:dyDescent="0.35">
      <c r="B11" s="29">
        <f t="shared" si="4"/>
        <v>7</v>
      </c>
      <c r="C11" s="318" t="s">
        <v>151</v>
      </c>
      <c r="D11" s="251" t="s">
        <v>243</v>
      </c>
      <c r="E11" s="319">
        <f t="shared" si="6"/>
        <v>350000</v>
      </c>
      <c r="F11" s="49">
        <f t="shared" si="5"/>
        <v>78000</v>
      </c>
      <c r="G11" s="49">
        <f t="shared" ref="G11:G18" si="8">($E11*(1-$G$2))</f>
        <v>350000</v>
      </c>
      <c r="H11" s="49">
        <f t="shared" ref="G11:H28" si="9">($E11*(1-$H$2)) *(1+$E$3*1)</f>
        <v>364000</v>
      </c>
      <c r="I11" s="49">
        <f t="shared" ref="I11:I27" si="10">($E11*(1-$I$2)) *(1+$E$3*2)</f>
        <v>378000</v>
      </c>
      <c r="J11" s="49">
        <f t="shared" ref="J11:J27" si="11">($E11*(1-$J$2)) *(1+$E$3*3)</f>
        <v>392000.00000000006</v>
      </c>
      <c r="K11" s="49">
        <f t="shared" ref="K11:K27" si="12">($E11*(1-$K$2)) *(1+$E$3*4)</f>
        <v>406000</v>
      </c>
      <c r="L11" s="830"/>
    </row>
    <row r="12" spans="2:18" x14ac:dyDescent="0.35">
      <c r="B12" s="29">
        <f t="shared" si="4"/>
        <v>8</v>
      </c>
      <c r="C12" s="318" t="s">
        <v>297</v>
      </c>
      <c r="D12" s="251" t="s">
        <v>243</v>
      </c>
      <c r="E12" s="319">
        <f t="shared" si="6"/>
        <v>350000</v>
      </c>
      <c r="F12" s="49">
        <f t="shared" si="5"/>
        <v>78000</v>
      </c>
      <c r="G12" s="49">
        <f t="shared" si="8"/>
        <v>350000</v>
      </c>
      <c r="H12" s="49">
        <f t="shared" si="9"/>
        <v>364000</v>
      </c>
      <c r="I12" s="49">
        <f t="shared" si="10"/>
        <v>378000</v>
      </c>
      <c r="J12" s="49">
        <f t="shared" si="11"/>
        <v>392000.00000000006</v>
      </c>
      <c r="K12" s="49">
        <f t="shared" si="12"/>
        <v>406000</v>
      </c>
      <c r="L12" s="830"/>
    </row>
    <row r="13" spans="2:18" x14ac:dyDescent="0.35">
      <c r="B13" s="29">
        <f t="shared" si="4"/>
        <v>9</v>
      </c>
      <c r="C13" s="318" t="s">
        <v>305</v>
      </c>
      <c r="D13" s="251" t="s">
        <v>243</v>
      </c>
      <c r="E13" s="319">
        <f t="shared" si="6"/>
        <v>350000</v>
      </c>
      <c r="F13" s="49">
        <f t="shared" si="5"/>
        <v>78000</v>
      </c>
      <c r="G13" s="49">
        <f t="shared" si="8"/>
        <v>350000</v>
      </c>
      <c r="H13" s="49">
        <f t="shared" si="9"/>
        <v>364000</v>
      </c>
      <c r="I13" s="49">
        <f t="shared" si="10"/>
        <v>378000</v>
      </c>
      <c r="J13" s="49">
        <f t="shared" si="11"/>
        <v>392000.00000000006</v>
      </c>
      <c r="K13" s="49">
        <f t="shared" si="12"/>
        <v>406000</v>
      </c>
      <c r="L13" s="830"/>
    </row>
    <row r="14" spans="2:18" x14ac:dyDescent="0.35">
      <c r="B14" s="29">
        <f>B13+1</f>
        <v>10</v>
      </c>
      <c r="C14" s="318" t="s">
        <v>300</v>
      </c>
      <c r="D14" s="251" t="s">
        <v>243</v>
      </c>
      <c r="E14" s="319">
        <f t="shared" si="6"/>
        <v>350000</v>
      </c>
      <c r="F14" s="49">
        <f t="shared" si="5"/>
        <v>78000</v>
      </c>
      <c r="G14" s="49">
        <f t="shared" si="8"/>
        <v>350000</v>
      </c>
      <c r="H14" s="49">
        <f t="shared" si="9"/>
        <v>364000</v>
      </c>
      <c r="I14" s="49">
        <f t="shared" si="10"/>
        <v>378000</v>
      </c>
      <c r="J14" s="49">
        <f t="shared" si="11"/>
        <v>392000.00000000006</v>
      </c>
      <c r="K14" s="49">
        <f t="shared" si="12"/>
        <v>406000</v>
      </c>
      <c r="L14" s="830"/>
    </row>
    <row r="15" spans="2:18" x14ac:dyDescent="0.35">
      <c r="B15" s="29">
        <v>11</v>
      </c>
      <c r="C15" s="318" t="s">
        <v>154</v>
      </c>
      <c r="D15" s="251" t="s">
        <v>243</v>
      </c>
      <c r="E15" s="319">
        <f t="shared" si="6"/>
        <v>350000</v>
      </c>
      <c r="F15" s="49"/>
      <c r="G15" s="49">
        <f t="shared" si="8"/>
        <v>350000</v>
      </c>
      <c r="H15" s="49">
        <f t="shared" si="9"/>
        <v>364000</v>
      </c>
      <c r="I15" s="49">
        <f t="shared" si="10"/>
        <v>378000</v>
      </c>
      <c r="J15" s="49">
        <f t="shared" si="11"/>
        <v>392000.00000000006</v>
      </c>
      <c r="K15" s="49">
        <f t="shared" si="12"/>
        <v>406000</v>
      </c>
      <c r="L15" s="778"/>
    </row>
    <row r="16" spans="2:18" x14ac:dyDescent="0.35">
      <c r="B16" s="29">
        <v>12</v>
      </c>
      <c r="C16" s="318" t="s">
        <v>284</v>
      </c>
      <c r="D16" s="251" t="s">
        <v>243</v>
      </c>
      <c r="E16" s="319">
        <v>250000</v>
      </c>
      <c r="F16" s="49">
        <f>6500*12</f>
        <v>78000</v>
      </c>
      <c r="G16" s="49">
        <f t="shared" si="8"/>
        <v>250000</v>
      </c>
      <c r="H16" s="49">
        <f t="shared" si="9"/>
        <v>260000</v>
      </c>
      <c r="I16" s="49">
        <f t="shared" si="10"/>
        <v>270000</v>
      </c>
      <c r="J16" s="49">
        <f t="shared" si="11"/>
        <v>280000</v>
      </c>
      <c r="K16" s="49">
        <f t="shared" si="12"/>
        <v>290000</v>
      </c>
      <c r="L16" s="777" t="s">
        <v>313</v>
      </c>
    </row>
    <row r="17" spans="2:12" x14ac:dyDescent="0.35">
      <c r="B17" s="29">
        <v>13</v>
      </c>
      <c r="C17" s="318" t="s">
        <v>298</v>
      </c>
      <c r="D17" s="251" t="s">
        <v>243</v>
      </c>
      <c r="E17" s="319">
        <v>250000</v>
      </c>
      <c r="F17" s="49"/>
      <c r="G17" s="49">
        <f t="shared" si="8"/>
        <v>250000</v>
      </c>
      <c r="H17" s="49">
        <f t="shared" si="9"/>
        <v>260000</v>
      </c>
      <c r="I17" s="49">
        <f t="shared" si="10"/>
        <v>270000</v>
      </c>
      <c r="J17" s="49">
        <f t="shared" si="11"/>
        <v>280000</v>
      </c>
      <c r="K17" s="49">
        <f t="shared" si="12"/>
        <v>290000</v>
      </c>
      <c r="L17" s="777" t="s">
        <v>303</v>
      </c>
    </row>
    <row r="18" spans="2:12" x14ac:dyDescent="0.35">
      <c r="B18" s="29">
        <v>14</v>
      </c>
      <c r="C18" s="318" t="s">
        <v>301</v>
      </c>
      <c r="D18" s="251" t="s">
        <v>243</v>
      </c>
      <c r="E18" s="319">
        <v>250000</v>
      </c>
      <c r="F18" s="49"/>
      <c r="G18" s="49">
        <f t="shared" si="8"/>
        <v>250000</v>
      </c>
      <c r="H18" s="49">
        <f t="shared" si="9"/>
        <v>260000</v>
      </c>
      <c r="I18" s="49">
        <f t="shared" si="10"/>
        <v>270000</v>
      </c>
      <c r="J18" s="49">
        <f t="shared" si="11"/>
        <v>280000</v>
      </c>
      <c r="K18" s="49">
        <f t="shared" si="12"/>
        <v>290000</v>
      </c>
      <c r="L18" s="777" t="s">
        <v>303</v>
      </c>
    </row>
    <row r="19" spans="2:12" x14ac:dyDescent="0.35">
      <c r="B19" s="29">
        <v>15</v>
      </c>
      <c r="C19" s="318" t="s">
        <v>302</v>
      </c>
      <c r="D19" s="251" t="s">
        <v>243</v>
      </c>
      <c r="E19" s="319">
        <v>200000</v>
      </c>
      <c r="F19" s="49">
        <f>6500*12</f>
        <v>78000</v>
      </c>
      <c r="G19" s="49">
        <f>($E19*(1-$H$2))</f>
        <v>200000</v>
      </c>
      <c r="H19" s="49">
        <f t="shared" si="9"/>
        <v>208000</v>
      </c>
      <c r="I19" s="49">
        <f t="shared" si="10"/>
        <v>216000</v>
      </c>
      <c r="J19" s="49">
        <f t="shared" si="11"/>
        <v>224000.00000000003</v>
      </c>
      <c r="K19" s="49">
        <f t="shared" si="12"/>
        <v>231999.99999999997</v>
      </c>
      <c r="L19" s="777" t="s">
        <v>303</v>
      </c>
    </row>
    <row r="20" spans="2:12" x14ac:dyDescent="0.35">
      <c r="B20" s="29">
        <f t="shared" si="4"/>
        <v>16</v>
      </c>
      <c r="C20" s="318" t="s">
        <v>285</v>
      </c>
      <c r="D20" s="251" t="s">
        <v>243</v>
      </c>
      <c r="E20" s="319">
        <f>75000*1.3</f>
        <v>97500</v>
      </c>
      <c r="F20" s="49"/>
      <c r="G20" s="49">
        <f t="shared" si="9"/>
        <v>101400</v>
      </c>
      <c r="H20" s="49">
        <f t="shared" si="9"/>
        <v>101400</v>
      </c>
      <c r="I20" s="49">
        <f t="shared" si="10"/>
        <v>105300</v>
      </c>
      <c r="J20" s="49">
        <f t="shared" si="11"/>
        <v>109200.00000000001</v>
      </c>
      <c r="K20" s="49">
        <f t="shared" si="12"/>
        <v>113099.99999999999</v>
      </c>
      <c r="L20" s="777" t="s">
        <v>303</v>
      </c>
    </row>
    <row r="21" spans="2:12" ht="13.15" x14ac:dyDescent="0.4">
      <c r="B21" s="29">
        <f t="shared" si="4"/>
        <v>17</v>
      </c>
      <c r="C21" s="382" t="s">
        <v>294</v>
      </c>
      <c r="D21" s="383" t="s">
        <v>293</v>
      </c>
      <c r="E21" s="319">
        <v>400000</v>
      </c>
      <c r="F21" s="49">
        <f>6500*12</f>
        <v>78000</v>
      </c>
      <c r="G21" s="49">
        <f>($E21*(1-$G$2))</f>
        <v>400000</v>
      </c>
      <c r="H21" s="49">
        <f>($E21*(1-$H$2)) *(1+$E$3*1)</f>
        <v>416000</v>
      </c>
      <c r="I21" s="49">
        <f t="shared" si="10"/>
        <v>432000</v>
      </c>
      <c r="J21" s="49">
        <f t="shared" si="11"/>
        <v>448000.00000000006</v>
      </c>
      <c r="K21" s="49">
        <f t="shared" si="12"/>
        <v>463999.99999999994</v>
      </c>
      <c r="L21" s="777" t="s">
        <v>303</v>
      </c>
    </row>
    <row r="22" spans="2:12" ht="13.15" x14ac:dyDescent="0.4">
      <c r="B22" s="29">
        <f t="shared" si="4"/>
        <v>18</v>
      </c>
      <c r="C22" s="318" t="s">
        <v>299</v>
      </c>
      <c r="D22" s="383" t="s">
        <v>293</v>
      </c>
      <c r="E22" s="319">
        <v>300000</v>
      </c>
      <c r="F22" s="324"/>
      <c r="G22" s="49">
        <f t="shared" ref="G22:G27" si="13">($E22*(1-$G$2))</f>
        <v>300000</v>
      </c>
      <c r="H22" s="49">
        <f t="shared" ref="H22:H27" si="14">($E22*(1-$H$2)) *(1+$E$3*1)</f>
        <v>312000</v>
      </c>
      <c r="I22" s="49">
        <f t="shared" si="10"/>
        <v>324000</v>
      </c>
      <c r="J22" s="49">
        <f t="shared" si="11"/>
        <v>336000.00000000006</v>
      </c>
      <c r="K22" s="49">
        <f t="shared" si="12"/>
        <v>348000</v>
      </c>
      <c r="L22" s="777" t="s">
        <v>303</v>
      </c>
    </row>
    <row r="23" spans="2:12" ht="13.15" x14ac:dyDescent="0.4">
      <c r="B23" s="29">
        <f t="shared" si="4"/>
        <v>19</v>
      </c>
      <c r="C23" s="318" t="s">
        <v>299</v>
      </c>
      <c r="D23" s="383" t="s">
        <v>293</v>
      </c>
      <c r="E23" s="319">
        <v>300000</v>
      </c>
      <c r="F23" s="324"/>
      <c r="G23" s="49">
        <f t="shared" si="13"/>
        <v>300000</v>
      </c>
      <c r="H23" s="49">
        <f t="shared" si="14"/>
        <v>312000</v>
      </c>
      <c r="I23" s="49">
        <f t="shared" si="10"/>
        <v>324000</v>
      </c>
      <c r="J23" s="49">
        <f t="shared" si="11"/>
        <v>336000.00000000006</v>
      </c>
      <c r="K23" s="49">
        <f t="shared" si="12"/>
        <v>348000</v>
      </c>
      <c r="L23" s="777" t="s">
        <v>303</v>
      </c>
    </row>
    <row r="24" spans="2:12" ht="13.15" x14ac:dyDescent="0.4">
      <c r="B24" s="29">
        <f t="shared" si="4"/>
        <v>20</v>
      </c>
      <c r="C24" s="318" t="s">
        <v>299</v>
      </c>
      <c r="D24" s="383" t="s">
        <v>293</v>
      </c>
      <c r="E24" s="319">
        <v>300000</v>
      </c>
      <c r="F24" s="324"/>
      <c r="G24" s="49">
        <f t="shared" si="13"/>
        <v>300000</v>
      </c>
      <c r="H24" s="49">
        <f t="shared" si="14"/>
        <v>312000</v>
      </c>
      <c r="I24" s="49">
        <f t="shared" si="10"/>
        <v>324000</v>
      </c>
      <c r="J24" s="49">
        <f t="shared" si="11"/>
        <v>336000.00000000006</v>
      </c>
      <c r="K24" s="49">
        <f t="shared" si="12"/>
        <v>348000</v>
      </c>
      <c r="L24" s="777" t="s">
        <v>303</v>
      </c>
    </row>
    <row r="25" spans="2:12" ht="13.15" x14ac:dyDescent="0.4">
      <c r="B25" s="29">
        <f t="shared" si="4"/>
        <v>21</v>
      </c>
      <c r="C25" s="318" t="s">
        <v>299</v>
      </c>
      <c r="D25" s="383" t="s">
        <v>293</v>
      </c>
      <c r="E25" s="319">
        <v>300000</v>
      </c>
      <c r="F25" s="324"/>
      <c r="G25" s="49">
        <f t="shared" si="13"/>
        <v>300000</v>
      </c>
      <c r="H25" s="49">
        <f t="shared" si="14"/>
        <v>312000</v>
      </c>
      <c r="I25" s="49">
        <f t="shared" si="10"/>
        <v>324000</v>
      </c>
      <c r="J25" s="49">
        <f t="shared" si="11"/>
        <v>336000.00000000006</v>
      </c>
      <c r="K25" s="49">
        <f t="shared" si="12"/>
        <v>348000</v>
      </c>
      <c r="L25" s="777" t="s">
        <v>303</v>
      </c>
    </row>
    <row r="26" spans="2:12" ht="13.15" x14ac:dyDescent="0.4">
      <c r="B26" s="29">
        <f t="shared" si="4"/>
        <v>22</v>
      </c>
      <c r="C26" s="318" t="s">
        <v>299</v>
      </c>
      <c r="D26" s="383" t="s">
        <v>293</v>
      </c>
      <c r="E26" s="319">
        <v>300000</v>
      </c>
      <c r="F26" s="324"/>
      <c r="G26" s="49">
        <f t="shared" si="13"/>
        <v>300000</v>
      </c>
      <c r="H26" s="49">
        <f t="shared" si="14"/>
        <v>312000</v>
      </c>
      <c r="I26" s="49">
        <f t="shared" si="10"/>
        <v>324000</v>
      </c>
      <c r="J26" s="49">
        <f t="shared" si="11"/>
        <v>336000.00000000006</v>
      </c>
      <c r="K26" s="49">
        <f t="shared" si="12"/>
        <v>348000</v>
      </c>
      <c r="L26" s="777" t="s">
        <v>303</v>
      </c>
    </row>
    <row r="27" spans="2:12" ht="13.15" x14ac:dyDescent="0.4">
      <c r="B27" s="29">
        <f t="shared" si="4"/>
        <v>23</v>
      </c>
      <c r="C27" s="318" t="s">
        <v>299</v>
      </c>
      <c r="D27" s="383" t="s">
        <v>293</v>
      </c>
      <c r="E27" s="319">
        <v>300000</v>
      </c>
      <c r="F27" s="324"/>
      <c r="G27" s="49">
        <f t="shared" si="13"/>
        <v>300000</v>
      </c>
      <c r="H27" s="49">
        <f t="shared" si="14"/>
        <v>312000</v>
      </c>
      <c r="I27" s="49">
        <f t="shared" si="10"/>
        <v>324000</v>
      </c>
      <c r="J27" s="49">
        <f t="shared" si="11"/>
        <v>336000.00000000006</v>
      </c>
      <c r="K27" s="49">
        <f t="shared" si="12"/>
        <v>348000</v>
      </c>
      <c r="L27" s="777" t="s">
        <v>303</v>
      </c>
    </row>
    <row r="28" spans="2:12" x14ac:dyDescent="0.35">
      <c r="B28" s="29">
        <f t="shared" si="4"/>
        <v>24</v>
      </c>
      <c r="C28" s="318" t="s">
        <v>253</v>
      </c>
      <c r="D28" s="251" t="s">
        <v>293</v>
      </c>
      <c r="E28" s="319">
        <f>250000</f>
        <v>250000</v>
      </c>
      <c r="F28" s="324"/>
      <c r="G28" s="49">
        <f t="shared" si="9"/>
        <v>260000</v>
      </c>
      <c r="H28" s="49">
        <f t="shared" si="9"/>
        <v>260000</v>
      </c>
      <c r="I28" s="49">
        <f>($E28*(1-$I$2)) *(1+$E$3*2)</f>
        <v>270000</v>
      </c>
      <c r="J28" s="49">
        <f>($E28*(1-$J$2)) *(1+$E$3*3)</f>
        <v>280000</v>
      </c>
      <c r="K28" s="49">
        <f t="shared" ref="K28:K45" si="15">($E28*(1-$K$2)) *(1+$E$3*4)</f>
        <v>290000</v>
      </c>
      <c r="L28" s="777" t="s">
        <v>303</v>
      </c>
    </row>
    <row r="29" spans="2:12" x14ac:dyDescent="0.35">
      <c r="B29" s="29">
        <f t="shared" si="4"/>
        <v>25</v>
      </c>
      <c r="C29" s="318" t="s">
        <v>285</v>
      </c>
      <c r="D29" s="251" t="s">
        <v>293</v>
      </c>
      <c r="E29" s="319">
        <f>80000</f>
        <v>80000</v>
      </c>
      <c r="F29" s="324"/>
      <c r="G29" s="49">
        <f t="shared" ref="G29:H29" si="16">($E29*(1-$H$2)) *(1+$E$3*1)</f>
        <v>83200</v>
      </c>
      <c r="H29" s="49">
        <f t="shared" si="16"/>
        <v>83200</v>
      </c>
      <c r="I29" s="49">
        <f>($E29*(1-$I$2)) *(1+$E$3*2)</f>
        <v>86400</v>
      </c>
      <c r="J29" s="49">
        <f>($E29*(1-$J$2)) *(1+$E$3*3)</f>
        <v>89600.000000000015</v>
      </c>
      <c r="K29" s="49">
        <f t="shared" si="15"/>
        <v>92800</v>
      </c>
      <c r="L29" s="777" t="s">
        <v>303</v>
      </c>
    </row>
    <row r="30" spans="2:12" ht="13.15" x14ac:dyDescent="0.4">
      <c r="B30" s="29">
        <f t="shared" si="4"/>
        <v>26</v>
      </c>
      <c r="C30" s="382" t="s">
        <v>155</v>
      </c>
      <c r="D30" s="383" t="s">
        <v>233</v>
      </c>
      <c r="E30" s="319">
        <v>400000</v>
      </c>
      <c r="F30" s="49"/>
      <c r="G30" s="49">
        <f>($E30*(1-$G$2))</f>
        <v>400000</v>
      </c>
      <c r="H30" s="49">
        <f>($E30*(1-$H$2)) *(1+$E$3*1)</f>
        <v>416000</v>
      </c>
      <c r="I30" s="49">
        <f>($E30*(1-$I$2)) *(1+$E$3*2)</f>
        <v>432000</v>
      </c>
      <c r="J30" s="49">
        <f>($E30*(1-$J$2)) *(1+$E$3*3)</f>
        <v>448000.00000000006</v>
      </c>
      <c r="K30" s="49">
        <f t="shared" si="15"/>
        <v>463999.99999999994</v>
      </c>
      <c r="L30" s="777" t="s">
        <v>303</v>
      </c>
    </row>
    <row r="31" spans="2:12" ht="13.15" x14ac:dyDescent="0.4">
      <c r="B31" s="29">
        <f t="shared" si="4"/>
        <v>27</v>
      </c>
      <c r="C31" s="318" t="s">
        <v>299</v>
      </c>
      <c r="D31" s="383" t="s">
        <v>233</v>
      </c>
      <c r="E31" s="319">
        <v>300000</v>
      </c>
      <c r="F31" s="49"/>
      <c r="G31" s="49">
        <f t="shared" ref="G31:G40" si="17">($E31*(1-$G$2))</f>
        <v>300000</v>
      </c>
      <c r="H31" s="49">
        <f t="shared" ref="H31:H40" si="18">($E31*(1-$H$2)) *(1+$E$3*1)</f>
        <v>312000</v>
      </c>
      <c r="I31" s="49">
        <f t="shared" ref="I31:I40" si="19">($E31*(1-$I$2)) *(1+$E$3*2)</f>
        <v>324000</v>
      </c>
      <c r="J31" s="49">
        <f t="shared" ref="J31:J40" si="20">($E31*(1-$J$2)) *(1+$E$3*3)</f>
        <v>336000.00000000006</v>
      </c>
      <c r="K31" s="49">
        <f t="shared" si="15"/>
        <v>348000</v>
      </c>
      <c r="L31" s="777" t="s">
        <v>303</v>
      </c>
    </row>
    <row r="32" spans="2:12" ht="13.15" x14ac:dyDescent="0.4">
      <c r="B32" s="29">
        <f t="shared" si="4"/>
        <v>28</v>
      </c>
      <c r="C32" s="318" t="s">
        <v>299</v>
      </c>
      <c r="D32" s="383" t="s">
        <v>233</v>
      </c>
      <c r="E32" s="319">
        <v>300000</v>
      </c>
      <c r="F32" s="49"/>
      <c r="G32" s="49">
        <f t="shared" si="17"/>
        <v>300000</v>
      </c>
      <c r="H32" s="49">
        <f t="shared" si="18"/>
        <v>312000</v>
      </c>
      <c r="I32" s="49">
        <f t="shared" si="19"/>
        <v>324000</v>
      </c>
      <c r="J32" s="49">
        <f t="shared" si="20"/>
        <v>336000.00000000006</v>
      </c>
      <c r="K32" s="49">
        <f t="shared" si="15"/>
        <v>348000</v>
      </c>
      <c r="L32" s="777" t="s">
        <v>303</v>
      </c>
    </row>
    <row r="33" spans="2:12" ht="13.15" x14ac:dyDescent="0.4">
      <c r="B33" s="29">
        <f t="shared" si="4"/>
        <v>29</v>
      </c>
      <c r="C33" s="318" t="s">
        <v>299</v>
      </c>
      <c r="D33" s="383" t="s">
        <v>233</v>
      </c>
      <c r="E33" s="319">
        <v>300000</v>
      </c>
      <c r="F33" s="49"/>
      <c r="G33" s="49">
        <f t="shared" si="17"/>
        <v>300000</v>
      </c>
      <c r="H33" s="49">
        <f t="shared" si="18"/>
        <v>312000</v>
      </c>
      <c r="I33" s="49">
        <f t="shared" si="19"/>
        <v>324000</v>
      </c>
      <c r="J33" s="49">
        <f t="shared" si="20"/>
        <v>336000.00000000006</v>
      </c>
      <c r="K33" s="49">
        <f t="shared" si="15"/>
        <v>348000</v>
      </c>
      <c r="L33" s="777" t="s">
        <v>303</v>
      </c>
    </row>
    <row r="34" spans="2:12" ht="13.15" x14ac:dyDescent="0.4">
      <c r="B34" s="29">
        <f t="shared" si="4"/>
        <v>30</v>
      </c>
      <c r="C34" s="318" t="s">
        <v>299</v>
      </c>
      <c r="D34" s="383" t="s">
        <v>233</v>
      </c>
      <c r="E34" s="319">
        <v>300000</v>
      </c>
      <c r="F34" s="49"/>
      <c r="G34" s="49">
        <f t="shared" si="17"/>
        <v>300000</v>
      </c>
      <c r="H34" s="49">
        <f t="shared" si="18"/>
        <v>312000</v>
      </c>
      <c r="I34" s="49">
        <f t="shared" si="19"/>
        <v>324000</v>
      </c>
      <c r="J34" s="49">
        <f t="shared" si="20"/>
        <v>336000.00000000006</v>
      </c>
      <c r="K34" s="49">
        <f t="shared" si="15"/>
        <v>348000</v>
      </c>
      <c r="L34" s="777" t="s">
        <v>303</v>
      </c>
    </row>
    <row r="35" spans="2:12" ht="13.15" x14ac:dyDescent="0.4">
      <c r="B35" s="29">
        <f t="shared" si="4"/>
        <v>31</v>
      </c>
      <c r="C35" s="318" t="s">
        <v>299</v>
      </c>
      <c r="D35" s="383" t="s">
        <v>233</v>
      </c>
      <c r="E35" s="319">
        <v>300000</v>
      </c>
      <c r="F35" s="49"/>
      <c r="G35" s="49">
        <f t="shared" si="17"/>
        <v>300000</v>
      </c>
      <c r="H35" s="49">
        <f t="shared" si="18"/>
        <v>312000</v>
      </c>
      <c r="I35" s="49">
        <f t="shared" si="19"/>
        <v>324000</v>
      </c>
      <c r="J35" s="49">
        <f t="shared" si="20"/>
        <v>336000.00000000006</v>
      </c>
      <c r="K35" s="49">
        <f t="shared" si="15"/>
        <v>348000</v>
      </c>
      <c r="L35" s="777" t="s">
        <v>303</v>
      </c>
    </row>
    <row r="36" spans="2:12" ht="13.15" x14ac:dyDescent="0.4">
      <c r="B36" s="29">
        <f t="shared" si="4"/>
        <v>32</v>
      </c>
      <c r="C36" s="318" t="s">
        <v>299</v>
      </c>
      <c r="D36" s="383" t="s">
        <v>233</v>
      </c>
      <c r="E36" s="319">
        <v>300000</v>
      </c>
      <c r="F36" s="49"/>
      <c r="G36" s="49">
        <f t="shared" si="17"/>
        <v>300000</v>
      </c>
      <c r="H36" s="49">
        <f t="shared" si="18"/>
        <v>312000</v>
      </c>
      <c r="I36" s="49">
        <f t="shared" si="19"/>
        <v>324000</v>
      </c>
      <c r="J36" s="49">
        <f t="shared" si="20"/>
        <v>336000.00000000006</v>
      </c>
      <c r="K36" s="49">
        <f t="shared" si="15"/>
        <v>348000</v>
      </c>
      <c r="L36" s="777" t="s">
        <v>303</v>
      </c>
    </row>
    <row r="37" spans="2:12" ht="13.15" x14ac:dyDescent="0.4">
      <c r="B37" s="29">
        <f t="shared" si="4"/>
        <v>33</v>
      </c>
      <c r="C37" s="318" t="s">
        <v>299</v>
      </c>
      <c r="D37" s="383" t="s">
        <v>233</v>
      </c>
      <c r="E37" s="319">
        <v>300000</v>
      </c>
      <c r="F37" s="49"/>
      <c r="G37" s="49">
        <f t="shared" si="17"/>
        <v>300000</v>
      </c>
      <c r="H37" s="49">
        <f t="shared" si="18"/>
        <v>312000</v>
      </c>
      <c r="I37" s="49">
        <f t="shared" si="19"/>
        <v>324000</v>
      </c>
      <c r="J37" s="49">
        <f t="shared" si="20"/>
        <v>336000.00000000006</v>
      </c>
      <c r="K37" s="49">
        <f t="shared" si="15"/>
        <v>348000</v>
      </c>
      <c r="L37" s="777" t="s">
        <v>303</v>
      </c>
    </row>
    <row r="38" spans="2:12" ht="13.15" x14ac:dyDescent="0.4">
      <c r="B38" s="29">
        <f t="shared" si="4"/>
        <v>34</v>
      </c>
      <c r="C38" s="318" t="s">
        <v>299</v>
      </c>
      <c r="D38" s="383" t="s">
        <v>233</v>
      </c>
      <c r="E38" s="319">
        <v>300000</v>
      </c>
      <c r="F38" s="49"/>
      <c r="G38" s="49">
        <f t="shared" si="17"/>
        <v>300000</v>
      </c>
      <c r="H38" s="49">
        <f t="shared" si="18"/>
        <v>312000</v>
      </c>
      <c r="I38" s="49">
        <f t="shared" si="19"/>
        <v>324000</v>
      </c>
      <c r="J38" s="49">
        <f t="shared" si="20"/>
        <v>336000.00000000006</v>
      </c>
      <c r="K38" s="49">
        <f t="shared" si="15"/>
        <v>348000</v>
      </c>
      <c r="L38" s="777" t="s">
        <v>303</v>
      </c>
    </row>
    <row r="39" spans="2:12" ht="13.15" x14ac:dyDescent="0.4">
      <c r="B39" s="29">
        <f t="shared" si="4"/>
        <v>35</v>
      </c>
      <c r="C39" s="318" t="s">
        <v>299</v>
      </c>
      <c r="D39" s="383" t="s">
        <v>233</v>
      </c>
      <c r="E39" s="319">
        <v>300000</v>
      </c>
      <c r="F39" s="49"/>
      <c r="G39" s="49">
        <f t="shared" si="17"/>
        <v>300000</v>
      </c>
      <c r="H39" s="49">
        <f t="shared" si="18"/>
        <v>312000</v>
      </c>
      <c r="I39" s="49">
        <f t="shared" si="19"/>
        <v>324000</v>
      </c>
      <c r="J39" s="49">
        <f t="shared" si="20"/>
        <v>336000.00000000006</v>
      </c>
      <c r="K39" s="49">
        <f t="shared" si="15"/>
        <v>348000</v>
      </c>
      <c r="L39" s="777" t="s">
        <v>303</v>
      </c>
    </row>
    <row r="40" spans="2:12" ht="13.15" x14ac:dyDescent="0.4">
      <c r="B40" s="29">
        <f t="shared" si="4"/>
        <v>36</v>
      </c>
      <c r="C40" s="318" t="s">
        <v>299</v>
      </c>
      <c r="D40" s="383" t="s">
        <v>233</v>
      </c>
      <c r="E40" s="319">
        <v>300000</v>
      </c>
      <c r="F40" s="49"/>
      <c r="G40" s="49">
        <f t="shared" si="17"/>
        <v>300000</v>
      </c>
      <c r="H40" s="49">
        <f t="shared" si="18"/>
        <v>312000</v>
      </c>
      <c r="I40" s="49">
        <f t="shared" si="19"/>
        <v>324000</v>
      </c>
      <c r="J40" s="49">
        <f t="shared" si="20"/>
        <v>336000.00000000006</v>
      </c>
      <c r="K40" s="49">
        <f t="shared" si="15"/>
        <v>348000</v>
      </c>
      <c r="L40" s="777" t="s">
        <v>303</v>
      </c>
    </row>
    <row r="41" spans="2:12" x14ac:dyDescent="0.35">
      <c r="B41" s="29">
        <f t="shared" si="4"/>
        <v>37</v>
      </c>
      <c r="C41" s="318" t="s">
        <v>253</v>
      </c>
      <c r="D41" s="251" t="s">
        <v>233</v>
      </c>
      <c r="E41" s="319">
        <f>250000</f>
        <v>250000</v>
      </c>
      <c r="F41" s="49"/>
      <c r="G41" s="49">
        <f t="shared" ref="G41:H45" si="21">($E41*(1-$H$2)) *(1+$E$3*1)</f>
        <v>260000</v>
      </c>
      <c r="H41" s="49">
        <f t="shared" si="21"/>
        <v>260000</v>
      </c>
      <c r="I41" s="49">
        <f>($E41*(1-$I$2)) *(1+$E$3*2)</f>
        <v>270000</v>
      </c>
      <c r="J41" s="49">
        <f>($E41*(1-$J$2)) *(1+$E$3*3)</f>
        <v>280000</v>
      </c>
      <c r="K41" s="49">
        <f t="shared" si="15"/>
        <v>290000</v>
      </c>
      <c r="L41" s="777" t="s">
        <v>303</v>
      </c>
    </row>
    <row r="42" spans="2:12" x14ac:dyDescent="0.35">
      <c r="B42" s="29">
        <f t="shared" si="4"/>
        <v>38</v>
      </c>
      <c r="C42" s="318" t="s">
        <v>285</v>
      </c>
      <c r="D42" s="251" t="s">
        <v>233</v>
      </c>
      <c r="E42" s="319">
        <v>80000</v>
      </c>
      <c r="F42" s="324"/>
      <c r="G42" s="49">
        <f t="shared" si="21"/>
        <v>83200</v>
      </c>
      <c r="H42" s="49">
        <f t="shared" si="21"/>
        <v>83200</v>
      </c>
      <c r="I42" s="49">
        <f>($E42*(1-$I$2)) *(1+$E$3*2)</f>
        <v>86400</v>
      </c>
      <c r="J42" s="49">
        <f>($E42*(1-$J$2)) *(1+$E$3*3)</f>
        <v>89600.000000000015</v>
      </c>
      <c r="K42" s="49">
        <f t="shared" si="15"/>
        <v>92800</v>
      </c>
      <c r="L42" s="777" t="s">
        <v>303</v>
      </c>
    </row>
    <row r="43" spans="2:12" ht="13.15" x14ac:dyDescent="0.4">
      <c r="B43" s="29">
        <f t="shared" si="4"/>
        <v>39</v>
      </c>
      <c r="C43" s="741"/>
      <c r="D43" s="374"/>
      <c r="E43" s="375"/>
      <c r="F43" s="376"/>
      <c r="G43" s="49">
        <f t="shared" si="21"/>
        <v>0</v>
      </c>
      <c r="H43" s="49">
        <f t="shared" si="21"/>
        <v>0</v>
      </c>
      <c r="I43" s="49">
        <f t="shared" ref="I43:I45" si="22">($E43*(1-$I$2)) *(1+$E$3*2)</f>
        <v>0</v>
      </c>
      <c r="J43" s="49">
        <f t="shared" ref="J43:J45" si="23">($E43*(1-$J$2)) *(1+$E$3*3)</f>
        <v>0</v>
      </c>
      <c r="K43" s="49">
        <f t="shared" si="15"/>
        <v>0</v>
      </c>
      <c r="L43" s="777" t="s">
        <v>303</v>
      </c>
    </row>
    <row r="44" spans="2:12" x14ac:dyDescent="0.35">
      <c r="B44" s="29">
        <f t="shared" si="4"/>
        <v>40</v>
      </c>
      <c r="C44" s="318"/>
      <c r="D44" s="251"/>
      <c r="E44" s="319"/>
      <c r="F44" s="49"/>
      <c r="G44" s="49">
        <f t="shared" si="21"/>
        <v>0</v>
      </c>
      <c r="H44" s="49">
        <f t="shared" si="21"/>
        <v>0</v>
      </c>
      <c r="I44" s="49">
        <f t="shared" si="22"/>
        <v>0</v>
      </c>
      <c r="J44" s="49">
        <f t="shared" si="23"/>
        <v>0</v>
      </c>
      <c r="K44" s="49">
        <f t="shared" si="15"/>
        <v>0</v>
      </c>
      <c r="L44" s="777" t="s">
        <v>303</v>
      </c>
    </row>
    <row r="45" spans="2:12" ht="13.15" thickBot="1" x14ac:dyDescent="0.4">
      <c r="B45" s="29">
        <f t="shared" si="4"/>
        <v>41</v>
      </c>
      <c r="C45" s="318"/>
      <c r="D45" s="251"/>
      <c r="E45" s="319"/>
      <c r="F45" s="324"/>
      <c r="G45" s="49">
        <f t="shared" si="21"/>
        <v>0</v>
      </c>
      <c r="H45" s="49">
        <f t="shared" si="21"/>
        <v>0</v>
      </c>
      <c r="I45" s="49">
        <f t="shared" si="22"/>
        <v>0</v>
      </c>
      <c r="J45" s="49">
        <f t="shared" si="23"/>
        <v>0</v>
      </c>
      <c r="K45" s="49">
        <f t="shared" si="15"/>
        <v>0</v>
      </c>
      <c r="L45" s="777" t="s">
        <v>303</v>
      </c>
    </row>
    <row r="46" spans="2:12" ht="13.5" thickBot="1" x14ac:dyDescent="0.45">
      <c r="E46" s="43" t="s">
        <v>30</v>
      </c>
      <c r="F46" s="44">
        <f t="shared" ref="F46:K46" si="24">SUM(F4:F45)</f>
        <v>936000</v>
      </c>
      <c r="G46" s="44">
        <f t="shared" si="24"/>
        <v>10937800</v>
      </c>
      <c r="H46" s="44">
        <f t="shared" si="24"/>
        <v>11863800</v>
      </c>
      <c r="I46" s="44">
        <f t="shared" si="24"/>
        <v>12320100</v>
      </c>
      <c r="J46" s="44">
        <f t="shared" si="24"/>
        <v>12776400</v>
      </c>
      <c r="K46" s="44">
        <f t="shared" si="24"/>
        <v>13232700</v>
      </c>
    </row>
    <row r="47" spans="2:12" x14ac:dyDescent="0.35">
      <c r="F47" s="30"/>
    </row>
    <row r="48" spans="2:12" x14ac:dyDescent="0.35">
      <c r="F48" s="30"/>
    </row>
    <row r="49" spans="2:11" ht="13.5" thickBot="1" x14ac:dyDescent="0.45">
      <c r="C49" s="32" t="s">
        <v>43</v>
      </c>
      <c r="F49" s="45"/>
      <c r="G49" s="45"/>
      <c r="H49" s="33"/>
      <c r="I49" s="33"/>
      <c r="J49" s="33"/>
      <c r="K49" s="33"/>
    </row>
    <row r="50" spans="2:11" ht="13.5" thickBot="1" x14ac:dyDescent="0.45">
      <c r="C50" s="34" t="str">
        <f t="shared" ref="C50:K50" si="25">C4</f>
        <v>Position</v>
      </c>
      <c r="D50" s="35" t="str">
        <f t="shared" si="25"/>
        <v>ProdRegion</v>
      </c>
      <c r="E50" s="36" t="str">
        <f t="shared" si="25"/>
        <v>Base Package</v>
      </c>
      <c r="F50" s="35" t="str">
        <f t="shared" si="25"/>
        <v>Year 0</v>
      </c>
      <c r="G50" s="35" t="str">
        <f t="shared" si="25"/>
        <v>Year 1</v>
      </c>
      <c r="H50" s="35" t="str">
        <f t="shared" si="25"/>
        <v>Year 2</v>
      </c>
      <c r="I50" s="35" t="str">
        <f t="shared" si="25"/>
        <v>Year 3</v>
      </c>
      <c r="J50" s="35" t="str">
        <f t="shared" si="25"/>
        <v>Year 4</v>
      </c>
      <c r="K50" s="35" t="str">
        <f t="shared" si="25"/>
        <v>Year 5</v>
      </c>
    </row>
    <row r="51" spans="2:11" ht="13.15" thickBot="1" x14ac:dyDescent="0.4">
      <c r="B51" s="29">
        <f t="shared" ref="B51:E59" si="26">B5</f>
        <v>1</v>
      </c>
      <c r="C51" s="46" t="str">
        <f t="shared" si="26"/>
        <v xml:space="preserve">CEO </v>
      </c>
      <c r="D51" s="47" t="str">
        <f t="shared" si="26"/>
        <v>Head Office</v>
      </c>
      <c r="E51" s="48">
        <f t="shared" si="26"/>
        <v>500000</v>
      </c>
      <c r="F51" s="377">
        <v>0</v>
      </c>
      <c r="G51" s="377">
        <v>0</v>
      </c>
      <c r="H51" s="377">
        <v>0.5</v>
      </c>
      <c r="I51" s="377">
        <v>1</v>
      </c>
      <c r="J51" s="377">
        <v>1</v>
      </c>
      <c r="K51" s="377">
        <v>1</v>
      </c>
    </row>
    <row r="52" spans="2:11" ht="13.15" thickBot="1" x14ac:dyDescent="0.4">
      <c r="B52" s="29">
        <f t="shared" si="26"/>
        <v>2</v>
      </c>
      <c r="C52" s="46" t="str">
        <f t="shared" si="26"/>
        <v>Exec Chairman</v>
      </c>
      <c r="D52" s="47" t="str">
        <f t="shared" si="26"/>
        <v>Head Office</v>
      </c>
      <c r="E52" s="48">
        <f t="shared" si="26"/>
        <v>350000</v>
      </c>
      <c r="F52" s="377">
        <v>1</v>
      </c>
      <c r="G52" s="377">
        <v>1</v>
      </c>
      <c r="H52" s="377">
        <v>1</v>
      </c>
      <c r="I52" s="377">
        <v>1</v>
      </c>
      <c r="J52" s="377">
        <v>1</v>
      </c>
      <c r="K52" s="377">
        <v>1</v>
      </c>
    </row>
    <row r="53" spans="2:11" ht="13.15" thickBot="1" x14ac:dyDescent="0.4">
      <c r="B53" s="29">
        <f t="shared" si="26"/>
        <v>3</v>
      </c>
      <c r="C53" s="46" t="str">
        <f t="shared" si="26"/>
        <v>Exec Director &amp; Co Founder</v>
      </c>
      <c r="D53" s="47" t="str">
        <f t="shared" si="26"/>
        <v>Head Office</v>
      </c>
      <c r="E53" s="48">
        <f t="shared" si="26"/>
        <v>450000</v>
      </c>
      <c r="F53" s="377">
        <v>1</v>
      </c>
      <c r="G53" s="377">
        <v>1</v>
      </c>
      <c r="H53" s="377">
        <v>1</v>
      </c>
      <c r="I53" s="377">
        <v>1</v>
      </c>
      <c r="J53" s="377">
        <v>1</v>
      </c>
      <c r="K53" s="377">
        <v>1</v>
      </c>
    </row>
    <row r="54" spans="2:11" ht="13.15" thickBot="1" x14ac:dyDescent="0.4">
      <c r="B54" s="29">
        <f t="shared" si="26"/>
        <v>4</v>
      </c>
      <c r="C54" s="46" t="str">
        <f t="shared" si="26"/>
        <v>Group Exec - CFO</v>
      </c>
      <c r="D54" s="47" t="str">
        <f t="shared" si="26"/>
        <v>Head Office</v>
      </c>
      <c r="E54" s="48">
        <f t="shared" si="26"/>
        <v>350000</v>
      </c>
      <c r="F54" s="377">
        <v>1</v>
      </c>
      <c r="G54" s="377">
        <v>1</v>
      </c>
      <c r="H54" s="377">
        <v>1</v>
      </c>
      <c r="I54" s="377">
        <v>1</v>
      </c>
      <c r="J54" s="377">
        <v>1</v>
      </c>
      <c r="K54" s="377">
        <v>1</v>
      </c>
    </row>
    <row r="55" spans="2:11" ht="13.15" thickBot="1" x14ac:dyDescent="0.4">
      <c r="B55" s="29">
        <f t="shared" si="26"/>
        <v>5</v>
      </c>
      <c r="C55" s="46" t="str">
        <f t="shared" si="26"/>
        <v>Group Exec - COO</v>
      </c>
      <c r="D55" s="47" t="str">
        <f t="shared" si="26"/>
        <v>Head Office</v>
      </c>
      <c r="E55" s="48">
        <f t="shared" si="26"/>
        <v>350000</v>
      </c>
      <c r="F55" s="377">
        <v>1</v>
      </c>
      <c r="G55" s="377">
        <v>1</v>
      </c>
      <c r="H55" s="377">
        <v>1</v>
      </c>
      <c r="I55" s="377">
        <v>1</v>
      </c>
      <c r="J55" s="377">
        <v>1</v>
      </c>
      <c r="K55" s="377">
        <v>1</v>
      </c>
    </row>
    <row r="56" spans="2:11" ht="13.15" thickBot="1" x14ac:dyDescent="0.4">
      <c r="B56" s="29">
        <f t="shared" si="26"/>
        <v>6</v>
      </c>
      <c r="C56" s="46" t="str">
        <f t="shared" si="26"/>
        <v>Group Exec - CGO</v>
      </c>
      <c r="D56" s="47" t="str">
        <f t="shared" si="26"/>
        <v>Head Office</v>
      </c>
      <c r="E56" s="48">
        <f t="shared" si="26"/>
        <v>350000</v>
      </c>
      <c r="F56" s="377">
        <v>1</v>
      </c>
      <c r="G56" s="377">
        <v>1</v>
      </c>
      <c r="H56" s="377">
        <v>1</v>
      </c>
      <c r="I56" s="377">
        <v>1</v>
      </c>
      <c r="J56" s="377">
        <v>1</v>
      </c>
      <c r="K56" s="377">
        <v>1</v>
      </c>
    </row>
    <row r="57" spans="2:11" ht="13.15" thickBot="1" x14ac:dyDescent="0.4">
      <c r="B57" s="29">
        <f t="shared" si="26"/>
        <v>7</v>
      </c>
      <c r="C57" s="46" t="str">
        <f t="shared" si="26"/>
        <v>Group Exec - CLO</v>
      </c>
      <c r="D57" s="47" t="str">
        <f t="shared" si="26"/>
        <v>Head Office</v>
      </c>
      <c r="E57" s="48">
        <f t="shared" si="26"/>
        <v>350000</v>
      </c>
      <c r="F57" s="377">
        <v>0.5</v>
      </c>
      <c r="G57" s="377">
        <v>1</v>
      </c>
      <c r="H57" s="377">
        <v>1</v>
      </c>
      <c r="I57" s="377">
        <v>1</v>
      </c>
      <c r="J57" s="377">
        <v>1</v>
      </c>
      <c r="K57" s="377">
        <v>1</v>
      </c>
    </row>
    <row r="58" spans="2:11" ht="13.15" thickBot="1" x14ac:dyDescent="0.4">
      <c r="B58" s="29">
        <f t="shared" si="26"/>
        <v>8</v>
      </c>
      <c r="C58" s="46" t="str">
        <f t="shared" si="26"/>
        <v>Group Exec - CMO</v>
      </c>
      <c r="D58" s="47" t="str">
        <f t="shared" si="26"/>
        <v>Head Office</v>
      </c>
      <c r="E58" s="48">
        <f t="shared" si="26"/>
        <v>350000</v>
      </c>
      <c r="F58" s="377">
        <v>1</v>
      </c>
      <c r="G58" s="377">
        <v>1</v>
      </c>
      <c r="H58" s="377">
        <v>1</v>
      </c>
      <c r="I58" s="377">
        <v>1</v>
      </c>
      <c r="J58" s="377">
        <v>1</v>
      </c>
      <c r="K58" s="377">
        <v>1</v>
      </c>
    </row>
    <row r="59" spans="2:11" ht="13.15" thickBot="1" x14ac:dyDescent="0.4">
      <c r="B59" s="29">
        <f t="shared" si="26"/>
        <v>9</v>
      </c>
      <c r="C59" s="46" t="str">
        <f t="shared" si="26"/>
        <v>Group Exec - CTO</v>
      </c>
      <c r="D59" s="47" t="str">
        <f t="shared" si="26"/>
        <v>Head Office</v>
      </c>
      <c r="E59" s="48">
        <f t="shared" si="26"/>
        <v>350000</v>
      </c>
      <c r="F59" s="377">
        <v>1</v>
      </c>
      <c r="G59" s="377">
        <v>1</v>
      </c>
      <c r="H59" s="377">
        <v>1</v>
      </c>
      <c r="I59" s="377">
        <v>1</v>
      </c>
      <c r="J59" s="377">
        <v>1</v>
      </c>
      <c r="K59" s="377">
        <v>1</v>
      </c>
    </row>
    <row r="60" spans="2:11" ht="13.15" thickBot="1" x14ac:dyDescent="0.4">
      <c r="B60" s="29">
        <f t="shared" ref="B60" si="27">B14</f>
        <v>10</v>
      </c>
      <c r="C60" s="46" t="str">
        <f t="shared" ref="C60:E91" si="28">C14</f>
        <v>Group Exec - CIO</v>
      </c>
      <c r="D60" s="47" t="str">
        <f t="shared" si="28"/>
        <v>Head Office</v>
      </c>
      <c r="E60" s="48">
        <f t="shared" si="28"/>
        <v>350000</v>
      </c>
      <c r="F60" s="377">
        <v>0.5</v>
      </c>
      <c r="G60" s="377">
        <v>1</v>
      </c>
      <c r="H60" s="377">
        <v>1</v>
      </c>
      <c r="I60" s="377">
        <v>1</v>
      </c>
      <c r="J60" s="377">
        <v>1</v>
      </c>
      <c r="K60" s="377">
        <v>1</v>
      </c>
    </row>
    <row r="61" spans="2:11" ht="13.15" thickBot="1" x14ac:dyDescent="0.4">
      <c r="B61" s="29">
        <v>11</v>
      </c>
      <c r="C61" s="46" t="str">
        <f t="shared" si="28"/>
        <v>Group Exec - CPO</v>
      </c>
      <c r="D61" s="47" t="str">
        <f t="shared" si="28"/>
        <v>Head Office</v>
      </c>
      <c r="E61" s="48">
        <f t="shared" si="28"/>
        <v>350000</v>
      </c>
      <c r="F61" s="377"/>
      <c r="G61" s="377"/>
      <c r="H61" s="377">
        <v>1</v>
      </c>
      <c r="I61" s="377">
        <v>1</v>
      </c>
      <c r="J61" s="377">
        <v>1</v>
      </c>
      <c r="K61" s="377">
        <v>1</v>
      </c>
    </row>
    <row r="62" spans="2:11" ht="13.15" thickBot="1" x14ac:dyDescent="0.4">
      <c r="B62" s="29">
        <f t="shared" ref="B62:B91" si="29">B16</f>
        <v>12</v>
      </c>
      <c r="C62" s="46" t="str">
        <f t="shared" si="28"/>
        <v>Exec Partners</v>
      </c>
      <c r="D62" s="47" t="str">
        <f t="shared" si="28"/>
        <v>Head Office</v>
      </c>
      <c r="E62" s="48">
        <f t="shared" si="28"/>
        <v>250000</v>
      </c>
      <c r="F62" s="377"/>
      <c r="G62" s="377">
        <v>0.5</v>
      </c>
      <c r="H62" s="377">
        <v>1</v>
      </c>
      <c r="I62" s="377">
        <v>1</v>
      </c>
      <c r="J62" s="377">
        <v>1</v>
      </c>
      <c r="K62" s="377">
        <v>1</v>
      </c>
    </row>
    <row r="63" spans="2:11" ht="13.15" thickBot="1" x14ac:dyDescent="0.4">
      <c r="B63" s="29">
        <f t="shared" si="29"/>
        <v>13</v>
      </c>
      <c r="C63" s="46" t="str">
        <f t="shared" si="28"/>
        <v>Exec Legal Officer</v>
      </c>
      <c r="D63" s="47" t="str">
        <f t="shared" si="28"/>
        <v>Head Office</v>
      </c>
      <c r="E63" s="48">
        <f t="shared" si="28"/>
        <v>250000</v>
      </c>
      <c r="F63" s="377">
        <v>0.5</v>
      </c>
      <c r="G63" s="377">
        <v>1</v>
      </c>
      <c r="H63" s="377">
        <v>1</v>
      </c>
      <c r="I63" s="377">
        <v>1</v>
      </c>
      <c r="J63" s="377">
        <v>1</v>
      </c>
      <c r="K63" s="377">
        <v>1</v>
      </c>
    </row>
    <row r="64" spans="2:11" ht="13.15" thickBot="1" x14ac:dyDescent="0.4">
      <c r="B64" s="29">
        <f t="shared" si="29"/>
        <v>14</v>
      </c>
      <c r="C64" s="46" t="str">
        <f t="shared" si="28"/>
        <v>Exec Finance</v>
      </c>
      <c r="D64" s="47" t="str">
        <f t="shared" si="28"/>
        <v>Head Office</v>
      </c>
      <c r="E64" s="48">
        <f t="shared" si="28"/>
        <v>250000</v>
      </c>
      <c r="F64" s="377"/>
      <c r="G64" s="377">
        <v>1</v>
      </c>
      <c r="H64" s="377">
        <v>1</v>
      </c>
      <c r="I64" s="377">
        <v>1</v>
      </c>
      <c r="J64" s="377">
        <v>1</v>
      </c>
      <c r="K64" s="377">
        <v>1</v>
      </c>
    </row>
    <row r="65" spans="2:11" ht="13.15" thickBot="1" x14ac:dyDescent="0.4">
      <c r="B65" s="29">
        <f t="shared" si="29"/>
        <v>15</v>
      </c>
      <c r="C65" s="46" t="str">
        <f t="shared" si="28"/>
        <v>Exec IT</v>
      </c>
      <c r="D65" s="47" t="str">
        <f t="shared" si="28"/>
        <v>Head Office</v>
      </c>
      <c r="E65" s="48">
        <f t="shared" si="28"/>
        <v>200000</v>
      </c>
      <c r="F65" s="377">
        <v>1</v>
      </c>
      <c r="G65" s="377">
        <v>1</v>
      </c>
      <c r="H65" s="377">
        <v>1</v>
      </c>
      <c r="I65" s="377">
        <v>1</v>
      </c>
      <c r="J65" s="377">
        <v>1</v>
      </c>
      <c r="K65" s="377">
        <v>1</v>
      </c>
    </row>
    <row r="66" spans="2:11" ht="13.15" thickBot="1" x14ac:dyDescent="0.4">
      <c r="B66" s="29">
        <f t="shared" si="29"/>
        <v>16</v>
      </c>
      <c r="C66" s="46" t="str">
        <f t="shared" si="28"/>
        <v>Admin Assistant</v>
      </c>
      <c r="D66" s="47" t="str">
        <f t="shared" si="28"/>
        <v>Head Office</v>
      </c>
      <c r="E66" s="48">
        <f t="shared" si="28"/>
        <v>97500</v>
      </c>
      <c r="F66" s="377"/>
      <c r="G66" s="377">
        <v>1</v>
      </c>
      <c r="H66" s="377">
        <v>1</v>
      </c>
      <c r="I66" s="377">
        <v>1</v>
      </c>
      <c r="J66" s="377">
        <v>1</v>
      </c>
      <c r="K66" s="377">
        <v>1</v>
      </c>
    </row>
    <row r="67" spans="2:11" ht="13.5" thickBot="1" x14ac:dyDescent="0.45">
      <c r="B67" s="29">
        <f t="shared" si="29"/>
        <v>17</v>
      </c>
      <c r="C67" s="757" t="str">
        <f t="shared" si="28"/>
        <v>Regional Head - UK/APAC</v>
      </c>
      <c r="D67" s="47" t="str">
        <f t="shared" si="28"/>
        <v>UK/APAC</v>
      </c>
      <c r="E67" s="48">
        <f t="shared" si="28"/>
        <v>400000</v>
      </c>
      <c r="F67" s="378"/>
      <c r="G67" s="377">
        <v>1</v>
      </c>
      <c r="H67" s="377">
        <v>1</v>
      </c>
      <c r="I67" s="377">
        <v>1</v>
      </c>
      <c r="J67" s="377">
        <v>1</v>
      </c>
      <c r="K67" s="377">
        <v>1</v>
      </c>
    </row>
    <row r="68" spans="2:11" ht="13.15" thickBot="1" x14ac:dyDescent="0.4">
      <c r="B68" s="29">
        <f t="shared" si="29"/>
        <v>18</v>
      </c>
      <c r="C68" s="46" t="str">
        <f t="shared" si="28"/>
        <v>Additional Headcount</v>
      </c>
      <c r="D68" s="47" t="str">
        <f t="shared" si="28"/>
        <v>UK/APAC</v>
      </c>
      <c r="E68" s="48">
        <f t="shared" si="28"/>
        <v>300000</v>
      </c>
      <c r="F68" s="378"/>
      <c r="G68" s="377">
        <v>0.5</v>
      </c>
      <c r="H68" s="377">
        <v>1</v>
      </c>
      <c r="I68" s="377">
        <v>1</v>
      </c>
      <c r="J68" s="377">
        <v>1</v>
      </c>
      <c r="K68" s="377">
        <v>1</v>
      </c>
    </row>
    <row r="69" spans="2:11" ht="13.15" thickBot="1" x14ac:dyDescent="0.4">
      <c r="B69" s="29">
        <f t="shared" si="29"/>
        <v>19</v>
      </c>
      <c r="C69" s="46" t="str">
        <f t="shared" si="28"/>
        <v>Additional Headcount</v>
      </c>
      <c r="D69" s="47" t="str">
        <f t="shared" si="28"/>
        <v>UK/APAC</v>
      </c>
      <c r="E69" s="48">
        <f t="shared" si="28"/>
        <v>300000</v>
      </c>
      <c r="F69" s="378"/>
      <c r="G69" s="377"/>
      <c r="H69" s="377">
        <v>1</v>
      </c>
      <c r="I69" s="377">
        <v>1</v>
      </c>
      <c r="J69" s="377">
        <v>1</v>
      </c>
      <c r="K69" s="377">
        <v>1</v>
      </c>
    </row>
    <row r="70" spans="2:11" ht="13.15" thickBot="1" x14ac:dyDescent="0.4">
      <c r="B70" s="29">
        <f t="shared" si="29"/>
        <v>20</v>
      </c>
      <c r="C70" s="46" t="str">
        <f t="shared" si="28"/>
        <v>Additional Headcount</v>
      </c>
      <c r="D70" s="47" t="str">
        <f t="shared" si="28"/>
        <v>UK/APAC</v>
      </c>
      <c r="E70" s="48">
        <f t="shared" si="28"/>
        <v>300000</v>
      </c>
      <c r="F70" s="378"/>
      <c r="G70" s="378"/>
      <c r="H70" s="378"/>
      <c r="I70" s="377">
        <v>1</v>
      </c>
      <c r="J70" s="377">
        <v>1</v>
      </c>
      <c r="K70" s="377">
        <v>1</v>
      </c>
    </row>
    <row r="71" spans="2:11" ht="13.15" thickBot="1" x14ac:dyDescent="0.4">
      <c r="B71" s="29">
        <f t="shared" si="29"/>
        <v>21</v>
      </c>
      <c r="C71" s="46" t="str">
        <f t="shared" si="28"/>
        <v>Additional Headcount</v>
      </c>
      <c r="D71" s="47" t="str">
        <f t="shared" si="28"/>
        <v>UK/APAC</v>
      </c>
      <c r="E71" s="48">
        <f t="shared" si="28"/>
        <v>300000</v>
      </c>
      <c r="F71" s="378"/>
      <c r="G71" s="378"/>
      <c r="H71" s="378"/>
      <c r="I71" s="377">
        <v>1</v>
      </c>
      <c r="J71" s="377">
        <v>1</v>
      </c>
      <c r="K71" s="377">
        <v>1</v>
      </c>
    </row>
    <row r="72" spans="2:11" ht="13.15" thickBot="1" x14ac:dyDescent="0.4">
      <c r="B72" s="29">
        <f t="shared" si="29"/>
        <v>22</v>
      </c>
      <c r="C72" s="46" t="str">
        <f t="shared" si="28"/>
        <v>Additional Headcount</v>
      </c>
      <c r="D72" s="47" t="str">
        <f t="shared" si="28"/>
        <v>UK/APAC</v>
      </c>
      <c r="E72" s="48">
        <f t="shared" si="28"/>
        <v>300000</v>
      </c>
      <c r="F72" s="378"/>
      <c r="G72" s="378"/>
      <c r="H72" s="378"/>
      <c r="I72" s="377">
        <v>1</v>
      </c>
      <c r="J72" s="377">
        <v>1</v>
      </c>
      <c r="K72" s="377">
        <v>1</v>
      </c>
    </row>
    <row r="73" spans="2:11" ht="13.15" thickBot="1" x14ac:dyDescent="0.4">
      <c r="B73" s="29">
        <f t="shared" si="29"/>
        <v>23</v>
      </c>
      <c r="C73" s="46" t="str">
        <f t="shared" si="28"/>
        <v>Additional Headcount</v>
      </c>
      <c r="D73" s="47" t="str">
        <f t="shared" si="28"/>
        <v>UK/APAC</v>
      </c>
      <c r="E73" s="48">
        <f t="shared" si="28"/>
        <v>300000</v>
      </c>
      <c r="F73" s="378"/>
      <c r="G73" s="378"/>
      <c r="H73" s="378"/>
      <c r="I73" s="377">
        <v>1</v>
      </c>
      <c r="J73" s="377">
        <v>1</v>
      </c>
      <c r="K73" s="377">
        <v>1</v>
      </c>
    </row>
    <row r="74" spans="2:11" ht="13.15" thickBot="1" x14ac:dyDescent="0.4">
      <c r="B74" s="29">
        <f t="shared" si="29"/>
        <v>24</v>
      </c>
      <c r="C74" s="46" t="str">
        <f t="shared" si="28"/>
        <v>Exec Team - Business Development</v>
      </c>
      <c r="D74" s="47" t="str">
        <f t="shared" si="28"/>
        <v>UK/APAC</v>
      </c>
      <c r="E74" s="48">
        <f t="shared" si="28"/>
        <v>250000</v>
      </c>
      <c r="F74" s="378"/>
      <c r="G74" s="378">
        <v>0.5</v>
      </c>
      <c r="H74" s="378">
        <v>1</v>
      </c>
      <c r="I74" s="378">
        <v>1</v>
      </c>
      <c r="J74" s="378">
        <v>1</v>
      </c>
      <c r="K74" s="378">
        <v>1</v>
      </c>
    </row>
    <row r="75" spans="2:11" ht="13.15" thickBot="1" x14ac:dyDescent="0.4">
      <c r="B75" s="29">
        <f t="shared" si="29"/>
        <v>25</v>
      </c>
      <c r="C75" s="46" t="str">
        <f t="shared" si="28"/>
        <v>Admin Assistant</v>
      </c>
      <c r="D75" s="47" t="str">
        <f t="shared" si="28"/>
        <v>UK/APAC</v>
      </c>
      <c r="E75" s="48">
        <f t="shared" si="28"/>
        <v>80000</v>
      </c>
      <c r="F75" s="377"/>
      <c r="G75" s="378">
        <v>0.5</v>
      </c>
      <c r="H75" s="378">
        <v>1</v>
      </c>
      <c r="I75" s="378">
        <v>1</v>
      </c>
      <c r="J75" s="378">
        <v>1</v>
      </c>
      <c r="K75" s="378">
        <v>1</v>
      </c>
    </row>
    <row r="76" spans="2:11" ht="13.5" thickBot="1" x14ac:dyDescent="0.45">
      <c r="B76" s="29">
        <f t="shared" si="29"/>
        <v>26</v>
      </c>
      <c r="C76" s="757" t="str">
        <f t="shared" si="28"/>
        <v>Regional Head - USA</v>
      </c>
      <c r="D76" s="47" t="str">
        <f t="shared" si="28"/>
        <v>USA</v>
      </c>
      <c r="E76" s="48">
        <f t="shared" si="28"/>
        <v>400000</v>
      </c>
      <c r="F76" s="377"/>
      <c r="G76" s="377">
        <v>0</v>
      </c>
      <c r="H76" s="377">
        <v>0.5</v>
      </c>
      <c r="I76" s="377">
        <v>1</v>
      </c>
      <c r="J76" s="377">
        <v>1</v>
      </c>
      <c r="K76" s="377">
        <v>1</v>
      </c>
    </row>
    <row r="77" spans="2:11" ht="13.15" thickBot="1" x14ac:dyDescent="0.4">
      <c r="B77" s="29">
        <f t="shared" si="29"/>
        <v>27</v>
      </c>
      <c r="C77" s="46" t="str">
        <f t="shared" si="28"/>
        <v>Additional Headcount</v>
      </c>
      <c r="D77" s="47" t="str">
        <f t="shared" si="28"/>
        <v>USA</v>
      </c>
      <c r="E77" s="48">
        <f t="shared" si="28"/>
        <v>300000</v>
      </c>
      <c r="F77" s="378"/>
      <c r="G77" s="378"/>
      <c r="H77" s="377">
        <v>0.5</v>
      </c>
      <c r="I77" s="377">
        <v>1</v>
      </c>
      <c r="J77" s="377">
        <v>1</v>
      </c>
      <c r="K77" s="377">
        <v>1</v>
      </c>
    </row>
    <row r="78" spans="2:11" ht="13.15" thickBot="1" x14ac:dyDescent="0.4">
      <c r="B78" s="29">
        <f t="shared" si="29"/>
        <v>28</v>
      </c>
      <c r="C78" s="46" t="str">
        <f t="shared" si="28"/>
        <v>Additional Headcount</v>
      </c>
      <c r="D78" s="47" t="str">
        <f t="shared" si="28"/>
        <v>USA</v>
      </c>
      <c r="E78" s="48">
        <f t="shared" si="28"/>
        <v>300000</v>
      </c>
      <c r="F78" s="378"/>
      <c r="G78" s="378"/>
      <c r="H78" s="377">
        <v>0.5</v>
      </c>
      <c r="I78" s="377">
        <v>1</v>
      </c>
      <c r="J78" s="377">
        <v>1</v>
      </c>
      <c r="K78" s="377">
        <v>1</v>
      </c>
    </row>
    <row r="79" spans="2:11" ht="13.15" thickBot="1" x14ac:dyDescent="0.4">
      <c r="B79" s="29">
        <f t="shared" si="29"/>
        <v>29</v>
      </c>
      <c r="C79" s="46" t="str">
        <f t="shared" si="28"/>
        <v>Additional Headcount</v>
      </c>
      <c r="D79" s="47" t="str">
        <f t="shared" si="28"/>
        <v>USA</v>
      </c>
      <c r="E79" s="48">
        <f t="shared" si="28"/>
        <v>300000</v>
      </c>
      <c r="F79" s="378"/>
      <c r="G79" s="378"/>
      <c r="H79" s="377">
        <v>0.5</v>
      </c>
      <c r="I79" s="377">
        <v>1</v>
      </c>
      <c r="J79" s="377">
        <v>1</v>
      </c>
      <c r="K79" s="377">
        <v>1</v>
      </c>
    </row>
    <row r="80" spans="2:11" ht="13.15" thickBot="1" x14ac:dyDescent="0.4">
      <c r="B80" s="29">
        <f t="shared" si="29"/>
        <v>30</v>
      </c>
      <c r="C80" s="46" t="str">
        <f t="shared" si="28"/>
        <v>Additional Headcount</v>
      </c>
      <c r="D80" s="47" t="str">
        <f t="shared" si="28"/>
        <v>USA</v>
      </c>
      <c r="E80" s="48">
        <f t="shared" si="28"/>
        <v>300000</v>
      </c>
      <c r="F80" s="378"/>
      <c r="G80" s="378"/>
      <c r="H80" s="377">
        <v>0.5</v>
      </c>
      <c r="I80" s="377">
        <v>1</v>
      </c>
      <c r="J80" s="377">
        <v>1</v>
      </c>
      <c r="K80" s="377">
        <v>1</v>
      </c>
    </row>
    <row r="81" spans="2:11" ht="13.15" thickBot="1" x14ac:dyDescent="0.4">
      <c r="B81" s="29">
        <f t="shared" si="29"/>
        <v>31</v>
      </c>
      <c r="C81" s="46" t="str">
        <f t="shared" si="28"/>
        <v>Additional Headcount</v>
      </c>
      <c r="D81" s="47" t="str">
        <f t="shared" si="28"/>
        <v>USA</v>
      </c>
      <c r="E81" s="48">
        <f t="shared" si="28"/>
        <v>300000</v>
      </c>
      <c r="F81" s="378"/>
      <c r="G81" s="378"/>
      <c r="H81" s="377"/>
      <c r="I81" s="377">
        <v>0.5</v>
      </c>
      <c r="J81" s="377">
        <v>1</v>
      </c>
      <c r="K81" s="377">
        <v>1</v>
      </c>
    </row>
    <row r="82" spans="2:11" ht="13.15" thickBot="1" x14ac:dyDescent="0.4">
      <c r="B82" s="29">
        <f t="shared" si="29"/>
        <v>32</v>
      </c>
      <c r="C82" s="46" t="str">
        <f t="shared" si="28"/>
        <v>Additional Headcount</v>
      </c>
      <c r="D82" s="47" t="str">
        <f t="shared" si="28"/>
        <v>USA</v>
      </c>
      <c r="E82" s="48">
        <f t="shared" si="28"/>
        <v>300000</v>
      </c>
      <c r="F82" s="378"/>
      <c r="G82" s="378"/>
      <c r="H82" s="378"/>
      <c r="I82" s="377">
        <v>0.5</v>
      </c>
      <c r="J82" s="377">
        <v>1</v>
      </c>
      <c r="K82" s="377">
        <v>1</v>
      </c>
    </row>
    <row r="83" spans="2:11" ht="13.15" thickBot="1" x14ac:dyDescent="0.4">
      <c r="B83" s="29">
        <f t="shared" si="29"/>
        <v>33</v>
      </c>
      <c r="C83" s="46" t="str">
        <f t="shared" si="28"/>
        <v>Additional Headcount</v>
      </c>
      <c r="D83" s="47" t="str">
        <f t="shared" si="28"/>
        <v>USA</v>
      </c>
      <c r="E83" s="48">
        <f t="shared" si="28"/>
        <v>300000</v>
      </c>
      <c r="F83" s="378"/>
      <c r="G83" s="378"/>
      <c r="H83" s="378"/>
      <c r="I83" s="377"/>
      <c r="J83" s="377">
        <v>1</v>
      </c>
      <c r="K83" s="377">
        <v>1</v>
      </c>
    </row>
    <row r="84" spans="2:11" ht="13.15" thickBot="1" x14ac:dyDescent="0.4">
      <c r="B84" s="29">
        <f t="shared" si="29"/>
        <v>34</v>
      </c>
      <c r="C84" s="46" t="str">
        <f t="shared" si="28"/>
        <v>Additional Headcount</v>
      </c>
      <c r="D84" s="47" t="str">
        <f t="shared" si="28"/>
        <v>USA</v>
      </c>
      <c r="E84" s="48">
        <f t="shared" si="28"/>
        <v>300000</v>
      </c>
      <c r="F84" s="378"/>
      <c r="G84" s="378"/>
      <c r="H84" s="378"/>
      <c r="I84" s="377"/>
      <c r="J84" s="377">
        <v>1</v>
      </c>
      <c r="K84" s="377">
        <v>1</v>
      </c>
    </row>
    <row r="85" spans="2:11" ht="13.15" thickBot="1" x14ac:dyDescent="0.4">
      <c r="B85" s="29">
        <f t="shared" si="29"/>
        <v>35</v>
      </c>
      <c r="C85" s="46" t="str">
        <f t="shared" si="28"/>
        <v>Additional Headcount</v>
      </c>
      <c r="D85" s="47" t="str">
        <f t="shared" si="28"/>
        <v>USA</v>
      </c>
      <c r="E85" s="48">
        <f t="shared" si="28"/>
        <v>300000</v>
      </c>
      <c r="F85" s="378"/>
      <c r="G85" s="378"/>
      <c r="H85" s="378"/>
      <c r="I85" s="377"/>
      <c r="J85" s="377">
        <v>1</v>
      </c>
      <c r="K85" s="377">
        <v>1</v>
      </c>
    </row>
    <row r="86" spans="2:11" ht="13.15" thickBot="1" x14ac:dyDescent="0.4">
      <c r="B86" s="29">
        <f t="shared" si="29"/>
        <v>36</v>
      </c>
      <c r="C86" s="46" t="str">
        <f t="shared" si="28"/>
        <v>Additional Headcount</v>
      </c>
      <c r="D86" s="47" t="str">
        <f t="shared" si="28"/>
        <v>USA</v>
      </c>
      <c r="E86" s="48">
        <f t="shared" si="28"/>
        <v>300000</v>
      </c>
      <c r="F86" s="378"/>
      <c r="G86" s="378"/>
      <c r="H86" s="378"/>
      <c r="I86" s="378"/>
      <c r="J86" s="378">
        <v>1</v>
      </c>
      <c r="K86" s="378">
        <v>1</v>
      </c>
    </row>
    <row r="87" spans="2:11" ht="13.15" thickBot="1" x14ac:dyDescent="0.4">
      <c r="B87" s="29">
        <f t="shared" si="29"/>
        <v>37</v>
      </c>
      <c r="C87" s="46" t="str">
        <f t="shared" si="28"/>
        <v>Exec Team - Business Development</v>
      </c>
      <c r="D87" s="47" t="str">
        <f t="shared" si="28"/>
        <v>USA</v>
      </c>
      <c r="E87" s="48">
        <f t="shared" si="28"/>
        <v>250000</v>
      </c>
      <c r="F87" s="378"/>
      <c r="G87" s="378"/>
      <c r="H87" s="378">
        <v>1</v>
      </c>
      <c r="I87" s="378">
        <v>1</v>
      </c>
      <c r="J87" s="378">
        <v>1</v>
      </c>
      <c r="K87" s="378">
        <v>1</v>
      </c>
    </row>
    <row r="88" spans="2:11" ht="13.15" thickBot="1" x14ac:dyDescent="0.4">
      <c r="B88" s="29">
        <f t="shared" si="29"/>
        <v>38</v>
      </c>
      <c r="C88" s="46" t="str">
        <f t="shared" si="28"/>
        <v>Admin Assistant</v>
      </c>
      <c r="D88" s="47" t="str">
        <f t="shared" si="28"/>
        <v>USA</v>
      </c>
      <c r="E88" s="48">
        <f t="shared" si="28"/>
        <v>80000</v>
      </c>
      <c r="F88" s="378"/>
      <c r="G88" s="378"/>
      <c r="H88" s="378">
        <v>1</v>
      </c>
      <c r="I88" s="378">
        <v>1</v>
      </c>
      <c r="J88" s="378">
        <v>1</v>
      </c>
      <c r="K88" s="378">
        <v>1</v>
      </c>
    </row>
    <row r="89" spans="2:11" ht="13.15" thickBot="1" x14ac:dyDescent="0.4">
      <c r="B89" s="29">
        <f t="shared" si="29"/>
        <v>39</v>
      </c>
      <c r="C89" s="46">
        <f t="shared" si="28"/>
        <v>0</v>
      </c>
      <c r="D89" s="47">
        <f t="shared" si="28"/>
        <v>0</v>
      </c>
      <c r="E89" s="48">
        <f t="shared" si="28"/>
        <v>0</v>
      </c>
      <c r="F89" s="378"/>
      <c r="G89" s="378"/>
      <c r="H89" s="378"/>
      <c r="I89" s="378"/>
      <c r="J89" s="378"/>
      <c r="K89" s="378"/>
    </row>
    <row r="90" spans="2:11" ht="13.15" thickBot="1" x14ac:dyDescent="0.4">
      <c r="B90" s="29">
        <f t="shared" si="29"/>
        <v>40</v>
      </c>
      <c r="C90" s="46">
        <f t="shared" si="28"/>
        <v>0</v>
      </c>
      <c r="D90" s="47">
        <f t="shared" si="28"/>
        <v>0</v>
      </c>
      <c r="E90" s="48">
        <f t="shared" si="28"/>
        <v>0</v>
      </c>
      <c r="F90" s="378"/>
      <c r="G90" s="378"/>
      <c r="H90" s="378"/>
      <c r="I90" s="378"/>
      <c r="J90" s="378"/>
      <c r="K90" s="378"/>
    </row>
    <row r="91" spans="2:11" ht="13.15" thickBot="1" x14ac:dyDescent="0.4">
      <c r="B91" s="29">
        <f t="shared" si="29"/>
        <v>41</v>
      </c>
      <c r="C91" s="46">
        <f t="shared" si="28"/>
        <v>0</v>
      </c>
      <c r="D91" s="47">
        <f t="shared" si="28"/>
        <v>0</v>
      </c>
      <c r="E91" s="48">
        <f t="shared" si="28"/>
        <v>0</v>
      </c>
      <c r="F91" s="378"/>
      <c r="G91" s="378"/>
      <c r="H91" s="378"/>
      <c r="I91" s="378"/>
      <c r="J91" s="378"/>
      <c r="K91" s="378"/>
    </row>
    <row r="92" spans="2:11" ht="13.5" thickBot="1" x14ac:dyDescent="0.45">
      <c r="E92" s="43" t="s">
        <v>31</v>
      </c>
      <c r="F92" s="50">
        <f t="shared" ref="F92:K92" si="30">SUM(F51:F91)</f>
        <v>9.5</v>
      </c>
      <c r="G92" s="50">
        <f t="shared" si="30"/>
        <v>16</v>
      </c>
      <c r="H92" s="50">
        <f t="shared" si="30"/>
        <v>25</v>
      </c>
      <c r="I92" s="50">
        <f t="shared" si="30"/>
        <v>33</v>
      </c>
      <c r="J92" s="50">
        <f t="shared" si="30"/>
        <v>38</v>
      </c>
      <c r="K92" s="50">
        <f t="shared" si="30"/>
        <v>38</v>
      </c>
    </row>
    <row r="93" spans="2:11" ht="13.15" thickBot="1" x14ac:dyDescent="0.4">
      <c r="F93" s="30"/>
    </row>
    <row r="94" spans="2:11" x14ac:dyDescent="0.35">
      <c r="E94" s="51" t="s">
        <v>243</v>
      </c>
      <c r="F94" s="52">
        <f t="shared" ref="F94:K98" si="31">SUMIF($D$51:$D$91,$E94,F$51:F$91)</f>
        <v>9.5</v>
      </c>
      <c r="G94" s="52">
        <f t="shared" si="31"/>
        <v>13.5</v>
      </c>
      <c r="H94" s="52">
        <f t="shared" si="31"/>
        <v>15.5</v>
      </c>
      <c r="I94" s="52">
        <f t="shared" si="31"/>
        <v>16</v>
      </c>
      <c r="J94" s="52">
        <f t="shared" si="31"/>
        <v>16</v>
      </c>
      <c r="K94" s="52">
        <f t="shared" si="31"/>
        <v>16</v>
      </c>
    </row>
    <row r="95" spans="2:11" x14ac:dyDescent="0.35">
      <c r="E95" s="53" t="s">
        <v>233</v>
      </c>
      <c r="F95" s="54">
        <f t="shared" si="31"/>
        <v>0</v>
      </c>
      <c r="G95" s="54">
        <f t="shared" si="31"/>
        <v>0</v>
      </c>
      <c r="H95" s="54">
        <f t="shared" si="31"/>
        <v>4.5</v>
      </c>
      <c r="I95" s="54">
        <f t="shared" si="31"/>
        <v>8</v>
      </c>
      <c r="J95" s="54">
        <f t="shared" si="31"/>
        <v>13</v>
      </c>
      <c r="K95" s="54">
        <f t="shared" si="31"/>
        <v>13</v>
      </c>
    </row>
    <row r="96" spans="2:11" x14ac:dyDescent="0.35">
      <c r="E96" s="53" t="s">
        <v>293</v>
      </c>
      <c r="F96" s="54">
        <f t="shared" si="31"/>
        <v>0</v>
      </c>
      <c r="G96" s="54">
        <f t="shared" si="31"/>
        <v>2.5</v>
      </c>
      <c r="H96" s="54">
        <f t="shared" si="31"/>
        <v>5</v>
      </c>
      <c r="I96" s="54">
        <f t="shared" si="31"/>
        <v>9</v>
      </c>
      <c r="J96" s="54">
        <f t="shared" si="31"/>
        <v>9</v>
      </c>
      <c r="K96" s="54">
        <f t="shared" si="31"/>
        <v>9</v>
      </c>
    </row>
    <row r="97" spans="2:11" x14ac:dyDescent="0.35">
      <c r="E97" s="56" t="s">
        <v>29</v>
      </c>
      <c r="F97" s="54">
        <f t="shared" si="31"/>
        <v>0</v>
      </c>
      <c r="G97" s="54">
        <f t="shared" si="31"/>
        <v>0</v>
      </c>
      <c r="H97" s="54">
        <f t="shared" si="31"/>
        <v>0</v>
      </c>
      <c r="I97" s="54">
        <f t="shared" si="31"/>
        <v>0</v>
      </c>
      <c r="J97" s="54">
        <f t="shared" si="31"/>
        <v>0</v>
      </c>
      <c r="K97" s="54">
        <f t="shared" si="31"/>
        <v>0</v>
      </c>
    </row>
    <row r="98" spans="2:11" x14ac:dyDescent="0.35">
      <c r="E98" s="56"/>
      <c r="F98" s="54">
        <f t="shared" si="31"/>
        <v>0</v>
      </c>
      <c r="G98" s="54">
        <f t="shared" si="31"/>
        <v>0</v>
      </c>
      <c r="H98" s="54">
        <f t="shared" si="31"/>
        <v>0</v>
      </c>
      <c r="I98" s="54">
        <f t="shared" si="31"/>
        <v>0</v>
      </c>
      <c r="J98" s="54">
        <f t="shared" si="31"/>
        <v>0</v>
      </c>
      <c r="K98" s="54">
        <f t="shared" si="31"/>
        <v>0</v>
      </c>
    </row>
    <row r="99" spans="2:11" ht="13.15" thickBot="1" x14ac:dyDescent="0.4">
      <c r="E99" s="57"/>
      <c r="F99" s="54"/>
      <c r="G99" s="54"/>
      <c r="H99" s="55"/>
      <c r="I99" s="55"/>
      <c r="J99" s="55"/>
      <c r="K99" s="55"/>
    </row>
    <row r="100" spans="2:11" ht="13.15" x14ac:dyDescent="0.4">
      <c r="E100" s="58"/>
      <c r="F100" s="59">
        <f t="shared" ref="F100" si="32">SUM(F94:F99)</f>
        <v>9.5</v>
      </c>
      <c r="G100" s="59">
        <f t="shared" ref="G100:K100" si="33">SUM(G94:G99)</f>
        <v>16</v>
      </c>
      <c r="H100" s="59">
        <f t="shared" si="33"/>
        <v>25</v>
      </c>
      <c r="I100" s="59">
        <f>SUM(I94:I99)</f>
        <v>33</v>
      </c>
      <c r="J100" s="59">
        <f t="shared" si="33"/>
        <v>38</v>
      </c>
      <c r="K100" s="59">
        <f t="shared" si="33"/>
        <v>38</v>
      </c>
    </row>
    <row r="101" spans="2:11" x14ac:dyDescent="0.35">
      <c r="F101" s="66" t="b">
        <f t="shared" ref="F101" si="34">F92 =F100</f>
        <v>1</v>
      </c>
      <c r="G101" s="66" t="b">
        <f t="shared" ref="G101:K101" si="35">G92 =G100</f>
        <v>1</v>
      </c>
      <c r="H101" s="66" t="b">
        <f t="shared" si="35"/>
        <v>1</v>
      </c>
      <c r="I101" s="66" t="b">
        <f t="shared" si="35"/>
        <v>1</v>
      </c>
      <c r="J101" s="66" t="b">
        <f t="shared" si="35"/>
        <v>1</v>
      </c>
      <c r="K101" s="66" t="b">
        <f t="shared" si="35"/>
        <v>1</v>
      </c>
    </row>
    <row r="102" spans="2:11" x14ac:dyDescent="0.35">
      <c r="F102" s="30"/>
    </row>
    <row r="103" spans="2:11" x14ac:dyDescent="0.35">
      <c r="F103" s="30"/>
    </row>
    <row r="104" spans="2:11" ht="21" thickBot="1" x14ac:dyDescent="0.65">
      <c r="C104" s="758" t="s">
        <v>32</v>
      </c>
      <c r="F104" s="45"/>
      <c r="G104" s="45"/>
      <c r="H104" s="33"/>
      <c r="I104" s="33"/>
      <c r="J104" s="33"/>
      <c r="K104" s="33"/>
    </row>
    <row r="105" spans="2:11" ht="13.5" thickBot="1" x14ac:dyDescent="0.45">
      <c r="C105" s="34" t="str">
        <f t="shared" ref="C105:K105" si="36">C4</f>
        <v>Position</v>
      </c>
      <c r="D105" s="35" t="str">
        <f t="shared" si="36"/>
        <v>ProdRegion</v>
      </c>
      <c r="E105" s="36" t="str">
        <f t="shared" si="36"/>
        <v>Base Package</v>
      </c>
      <c r="F105" s="35" t="str">
        <f t="shared" si="36"/>
        <v>Year 0</v>
      </c>
      <c r="G105" s="35" t="str">
        <f t="shared" si="36"/>
        <v>Year 1</v>
      </c>
      <c r="H105" s="35" t="str">
        <f t="shared" si="36"/>
        <v>Year 2</v>
      </c>
      <c r="I105" s="35" t="str">
        <f t="shared" si="36"/>
        <v>Year 3</v>
      </c>
      <c r="J105" s="35" t="str">
        <f t="shared" si="36"/>
        <v>Year 4</v>
      </c>
      <c r="K105" s="35" t="str">
        <f t="shared" si="36"/>
        <v>Year 5</v>
      </c>
    </row>
    <row r="106" spans="2:11" ht="13.15" thickBot="1" x14ac:dyDescent="0.4">
      <c r="B106" s="29">
        <f t="shared" ref="B106:E115" si="37">B5</f>
        <v>1</v>
      </c>
      <c r="C106" s="46" t="str">
        <f t="shared" si="37"/>
        <v xml:space="preserve">CEO </v>
      </c>
      <c r="D106" s="47" t="str">
        <f t="shared" si="37"/>
        <v>Head Office</v>
      </c>
      <c r="E106" s="48">
        <f t="shared" si="37"/>
        <v>500000</v>
      </c>
      <c r="F106" s="38">
        <f t="shared" ref="F106:K115" si="38">F5*F51</f>
        <v>0</v>
      </c>
      <c r="G106" s="38">
        <f t="shared" si="38"/>
        <v>0</v>
      </c>
      <c r="H106" s="38">
        <f t="shared" si="38"/>
        <v>260000</v>
      </c>
      <c r="I106" s="38">
        <f t="shared" si="38"/>
        <v>540000</v>
      </c>
      <c r="J106" s="38">
        <f t="shared" si="38"/>
        <v>560000</v>
      </c>
      <c r="K106" s="38">
        <f t="shared" si="38"/>
        <v>580000</v>
      </c>
    </row>
    <row r="107" spans="2:11" ht="13.15" thickBot="1" x14ac:dyDescent="0.4">
      <c r="B107" s="29">
        <f t="shared" si="37"/>
        <v>2</v>
      </c>
      <c r="C107" s="46" t="str">
        <f t="shared" si="37"/>
        <v>Exec Chairman</v>
      </c>
      <c r="D107" s="47" t="str">
        <f t="shared" si="37"/>
        <v>Head Office</v>
      </c>
      <c r="E107" s="48">
        <f t="shared" si="37"/>
        <v>350000</v>
      </c>
      <c r="F107" s="38">
        <f t="shared" si="38"/>
        <v>78000</v>
      </c>
      <c r="G107" s="38">
        <f t="shared" si="38"/>
        <v>350000</v>
      </c>
      <c r="H107" s="38">
        <f t="shared" si="38"/>
        <v>364000</v>
      </c>
      <c r="I107" s="38">
        <f t="shared" si="38"/>
        <v>378000</v>
      </c>
      <c r="J107" s="38">
        <f t="shared" si="38"/>
        <v>392000.00000000006</v>
      </c>
      <c r="K107" s="38">
        <f t="shared" si="38"/>
        <v>406000</v>
      </c>
    </row>
    <row r="108" spans="2:11" ht="13.15" thickBot="1" x14ac:dyDescent="0.4">
      <c r="B108" s="29">
        <f t="shared" si="37"/>
        <v>3</v>
      </c>
      <c r="C108" s="46" t="str">
        <f t="shared" si="37"/>
        <v>Exec Director &amp; Co Founder</v>
      </c>
      <c r="D108" s="47" t="str">
        <f t="shared" si="37"/>
        <v>Head Office</v>
      </c>
      <c r="E108" s="48">
        <f t="shared" si="37"/>
        <v>450000</v>
      </c>
      <c r="F108" s="38">
        <f t="shared" si="38"/>
        <v>78000</v>
      </c>
      <c r="G108" s="38">
        <f t="shared" si="38"/>
        <v>450000</v>
      </c>
      <c r="H108" s="38">
        <f t="shared" si="38"/>
        <v>468000</v>
      </c>
      <c r="I108" s="38">
        <f t="shared" si="38"/>
        <v>486000.00000000006</v>
      </c>
      <c r="J108" s="38">
        <f t="shared" si="38"/>
        <v>504000.00000000006</v>
      </c>
      <c r="K108" s="38">
        <f t="shared" si="38"/>
        <v>521999.99999999994</v>
      </c>
    </row>
    <row r="109" spans="2:11" ht="13.15" thickBot="1" x14ac:dyDescent="0.4">
      <c r="B109" s="29">
        <f t="shared" si="37"/>
        <v>4</v>
      </c>
      <c r="C109" s="46" t="str">
        <f t="shared" si="37"/>
        <v>Group Exec - CFO</v>
      </c>
      <c r="D109" s="47" t="str">
        <f t="shared" si="37"/>
        <v>Head Office</v>
      </c>
      <c r="E109" s="48">
        <f t="shared" si="37"/>
        <v>350000</v>
      </c>
      <c r="F109" s="38">
        <f t="shared" si="38"/>
        <v>78000</v>
      </c>
      <c r="G109" s="38">
        <f t="shared" si="38"/>
        <v>350000</v>
      </c>
      <c r="H109" s="38">
        <f t="shared" si="38"/>
        <v>364000</v>
      </c>
      <c r="I109" s="38">
        <f t="shared" si="38"/>
        <v>378000</v>
      </c>
      <c r="J109" s="38">
        <f t="shared" si="38"/>
        <v>392000.00000000006</v>
      </c>
      <c r="K109" s="38">
        <f t="shared" si="38"/>
        <v>406000</v>
      </c>
    </row>
    <row r="110" spans="2:11" ht="13.15" thickBot="1" x14ac:dyDescent="0.4">
      <c r="B110" s="29">
        <f t="shared" si="37"/>
        <v>5</v>
      </c>
      <c r="C110" s="46" t="str">
        <f t="shared" si="37"/>
        <v>Group Exec - COO</v>
      </c>
      <c r="D110" s="47" t="str">
        <f t="shared" si="37"/>
        <v>Head Office</v>
      </c>
      <c r="E110" s="48">
        <f t="shared" si="37"/>
        <v>350000</v>
      </c>
      <c r="F110" s="38">
        <f t="shared" si="38"/>
        <v>78000</v>
      </c>
      <c r="G110" s="38">
        <f t="shared" si="38"/>
        <v>350000</v>
      </c>
      <c r="H110" s="38">
        <f t="shared" si="38"/>
        <v>364000</v>
      </c>
      <c r="I110" s="38">
        <f t="shared" si="38"/>
        <v>378000</v>
      </c>
      <c r="J110" s="38">
        <f t="shared" si="38"/>
        <v>392000.00000000006</v>
      </c>
      <c r="K110" s="38">
        <f t="shared" si="38"/>
        <v>406000</v>
      </c>
    </row>
    <row r="111" spans="2:11" ht="13.15" thickBot="1" x14ac:dyDescent="0.4">
      <c r="B111" s="29">
        <f t="shared" si="37"/>
        <v>6</v>
      </c>
      <c r="C111" s="46" t="str">
        <f t="shared" si="37"/>
        <v>Group Exec - CGO</v>
      </c>
      <c r="D111" s="47" t="str">
        <f t="shared" si="37"/>
        <v>Head Office</v>
      </c>
      <c r="E111" s="48">
        <f t="shared" si="37"/>
        <v>350000</v>
      </c>
      <c r="F111" s="38">
        <f t="shared" si="38"/>
        <v>78000</v>
      </c>
      <c r="G111" s="38">
        <f t="shared" si="38"/>
        <v>350000</v>
      </c>
      <c r="H111" s="38">
        <f t="shared" si="38"/>
        <v>364000</v>
      </c>
      <c r="I111" s="38">
        <f t="shared" si="38"/>
        <v>378000</v>
      </c>
      <c r="J111" s="38">
        <f t="shared" si="38"/>
        <v>392000.00000000006</v>
      </c>
      <c r="K111" s="38">
        <f t="shared" si="38"/>
        <v>406000</v>
      </c>
    </row>
    <row r="112" spans="2:11" ht="13.15" thickBot="1" x14ac:dyDescent="0.4">
      <c r="B112" s="29">
        <f t="shared" si="37"/>
        <v>7</v>
      </c>
      <c r="C112" s="46" t="str">
        <f t="shared" si="37"/>
        <v>Group Exec - CLO</v>
      </c>
      <c r="D112" s="47" t="str">
        <f t="shared" si="37"/>
        <v>Head Office</v>
      </c>
      <c r="E112" s="48">
        <f t="shared" si="37"/>
        <v>350000</v>
      </c>
      <c r="F112" s="38">
        <f t="shared" si="38"/>
        <v>39000</v>
      </c>
      <c r="G112" s="38">
        <f t="shared" si="38"/>
        <v>350000</v>
      </c>
      <c r="H112" s="38">
        <f t="shared" si="38"/>
        <v>364000</v>
      </c>
      <c r="I112" s="38">
        <f t="shared" si="38"/>
        <v>378000</v>
      </c>
      <c r="J112" s="38">
        <f t="shared" si="38"/>
        <v>392000.00000000006</v>
      </c>
      <c r="K112" s="38">
        <f t="shared" si="38"/>
        <v>406000</v>
      </c>
    </row>
    <row r="113" spans="2:12" ht="13.15" thickBot="1" x14ac:dyDescent="0.4">
      <c r="B113" s="29">
        <f t="shared" si="37"/>
        <v>8</v>
      </c>
      <c r="C113" s="46" t="str">
        <f t="shared" si="37"/>
        <v>Group Exec - CMO</v>
      </c>
      <c r="D113" s="47" t="str">
        <f t="shared" si="37"/>
        <v>Head Office</v>
      </c>
      <c r="E113" s="48">
        <f t="shared" si="37"/>
        <v>350000</v>
      </c>
      <c r="F113" s="38">
        <f t="shared" si="38"/>
        <v>78000</v>
      </c>
      <c r="G113" s="38">
        <f t="shared" si="38"/>
        <v>350000</v>
      </c>
      <c r="H113" s="38">
        <f t="shared" si="38"/>
        <v>364000</v>
      </c>
      <c r="I113" s="38">
        <f t="shared" si="38"/>
        <v>378000</v>
      </c>
      <c r="J113" s="38">
        <f t="shared" si="38"/>
        <v>392000.00000000006</v>
      </c>
      <c r="K113" s="38">
        <f t="shared" si="38"/>
        <v>406000</v>
      </c>
    </row>
    <row r="114" spans="2:12" ht="13.15" thickBot="1" x14ac:dyDescent="0.4">
      <c r="B114" s="29">
        <f t="shared" si="37"/>
        <v>9</v>
      </c>
      <c r="C114" s="46" t="str">
        <f t="shared" si="37"/>
        <v>Group Exec - CTO</v>
      </c>
      <c r="D114" s="47" t="str">
        <f t="shared" si="37"/>
        <v>Head Office</v>
      </c>
      <c r="E114" s="48">
        <f t="shared" si="37"/>
        <v>350000</v>
      </c>
      <c r="F114" s="38">
        <f t="shared" si="38"/>
        <v>78000</v>
      </c>
      <c r="G114" s="38">
        <f t="shared" si="38"/>
        <v>350000</v>
      </c>
      <c r="H114" s="38">
        <f t="shared" si="38"/>
        <v>364000</v>
      </c>
      <c r="I114" s="38">
        <f t="shared" si="38"/>
        <v>378000</v>
      </c>
      <c r="J114" s="38">
        <f t="shared" si="38"/>
        <v>392000.00000000006</v>
      </c>
      <c r="K114" s="38">
        <f t="shared" si="38"/>
        <v>406000</v>
      </c>
    </row>
    <row r="115" spans="2:12" ht="13.15" thickBot="1" x14ac:dyDescent="0.4">
      <c r="B115" s="29">
        <f t="shared" si="37"/>
        <v>10</v>
      </c>
      <c r="C115" s="46" t="str">
        <f t="shared" si="37"/>
        <v>Group Exec - CIO</v>
      </c>
      <c r="D115" s="47" t="str">
        <f t="shared" si="37"/>
        <v>Head Office</v>
      </c>
      <c r="E115" s="48">
        <f t="shared" si="37"/>
        <v>350000</v>
      </c>
      <c r="F115" s="38">
        <f t="shared" si="38"/>
        <v>39000</v>
      </c>
      <c r="G115" s="38">
        <f t="shared" si="38"/>
        <v>350000</v>
      </c>
      <c r="H115" s="38">
        <f t="shared" si="38"/>
        <v>364000</v>
      </c>
      <c r="I115" s="38">
        <f t="shared" si="38"/>
        <v>378000</v>
      </c>
      <c r="J115" s="38">
        <f t="shared" si="38"/>
        <v>392000.00000000006</v>
      </c>
      <c r="K115" s="38">
        <f t="shared" si="38"/>
        <v>406000</v>
      </c>
      <c r="L115" s="767"/>
    </row>
    <row r="116" spans="2:12" ht="13.15" thickBot="1" x14ac:dyDescent="0.4">
      <c r="B116" s="29">
        <v>11</v>
      </c>
      <c r="C116" s="46" t="str">
        <f t="shared" ref="C116:E146" si="39">C15</f>
        <v>Group Exec - CPO</v>
      </c>
      <c r="D116" s="47" t="str">
        <f t="shared" si="39"/>
        <v>Head Office</v>
      </c>
      <c r="E116" s="48">
        <f t="shared" si="39"/>
        <v>350000</v>
      </c>
      <c r="F116" s="38">
        <f t="shared" ref="F116:K125" si="40">F15*F61</f>
        <v>0</v>
      </c>
      <c r="G116" s="38">
        <f t="shared" si="40"/>
        <v>0</v>
      </c>
      <c r="H116" s="38">
        <f t="shared" si="40"/>
        <v>364000</v>
      </c>
      <c r="I116" s="38">
        <f t="shared" si="40"/>
        <v>378000</v>
      </c>
      <c r="J116" s="38">
        <f t="shared" si="40"/>
        <v>392000.00000000006</v>
      </c>
      <c r="K116" s="38">
        <f t="shared" si="40"/>
        <v>406000</v>
      </c>
      <c r="L116" s="767"/>
    </row>
    <row r="117" spans="2:12" ht="13.15" thickBot="1" x14ac:dyDescent="0.4">
      <c r="B117" s="29">
        <f t="shared" ref="B117:B146" si="41">B16</f>
        <v>12</v>
      </c>
      <c r="C117" s="46" t="str">
        <f t="shared" si="39"/>
        <v>Exec Partners</v>
      </c>
      <c r="D117" s="47" t="str">
        <f t="shared" si="39"/>
        <v>Head Office</v>
      </c>
      <c r="E117" s="48">
        <f t="shared" si="39"/>
        <v>250000</v>
      </c>
      <c r="F117" s="38">
        <f t="shared" si="40"/>
        <v>0</v>
      </c>
      <c r="G117" s="38">
        <f t="shared" si="40"/>
        <v>125000</v>
      </c>
      <c r="H117" s="38">
        <f t="shared" si="40"/>
        <v>260000</v>
      </c>
      <c r="I117" s="38">
        <f t="shared" si="40"/>
        <v>270000</v>
      </c>
      <c r="J117" s="38">
        <f t="shared" si="40"/>
        <v>280000</v>
      </c>
      <c r="K117" s="38">
        <f t="shared" si="40"/>
        <v>290000</v>
      </c>
    </row>
    <row r="118" spans="2:12" ht="13.15" thickBot="1" x14ac:dyDescent="0.4">
      <c r="B118" s="29">
        <f t="shared" si="41"/>
        <v>13</v>
      </c>
      <c r="C118" s="46" t="str">
        <f t="shared" si="39"/>
        <v>Exec Legal Officer</v>
      </c>
      <c r="D118" s="47" t="str">
        <f t="shared" si="39"/>
        <v>Head Office</v>
      </c>
      <c r="E118" s="48">
        <f t="shared" si="39"/>
        <v>250000</v>
      </c>
      <c r="F118" s="38">
        <f t="shared" si="40"/>
        <v>0</v>
      </c>
      <c r="G118" s="38">
        <f t="shared" si="40"/>
        <v>250000</v>
      </c>
      <c r="H118" s="38">
        <f t="shared" si="40"/>
        <v>260000</v>
      </c>
      <c r="I118" s="38">
        <f t="shared" si="40"/>
        <v>270000</v>
      </c>
      <c r="J118" s="38">
        <f t="shared" si="40"/>
        <v>280000</v>
      </c>
      <c r="K118" s="38">
        <f t="shared" si="40"/>
        <v>290000</v>
      </c>
    </row>
    <row r="119" spans="2:12" ht="13.15" thickBot="1" x14ac:dyDescent="0.4">
      <c r="B119" s="29">
        <f t="shared" si="41"/>
        <v>14</v>
      </c>
      <c r="C119" s="46" t="str">
        <f t="shared" si="39"/>
        <v>Exec Finance</v>
      </c>
      <c r="D119" s="47" t="str">
        <f t="shared" si="39"/>
        <v>Head Office</v>
      </c>
      <c r="E119" s="48">
        <f t="shared" si="39"/>
        <v>250000</v>
      </c>
      <c r="F119" s="38">
        <f t="shared" si="40"/>
        <v>0</v>
      </c>
      <c r="G119" s="38">
        <f t="shared" si="40"/>
        <v>250000</v>
      </c>
      <c r="H119" s="38">
        <f t="shared" si="40"/>
        <v>260000</v>
      </c>
      <c r="I119" s="38">
        <f t="shared" si="40"/>
        <v>270000</v>
      </c>
      <c r="J119" s="38">
        <f t="shared" si="40"/>
        <v>280000</v>
      </c>
      <c r="K119" s="38">
        <f t="shared" si="40"/>
        <v>290000</v>
      </c>
    </row>
    <row r="120" spans="2:12" ht="13.15" thickBot="1" x14ac:dyDescent="0.4">
      <c r="B120" s="29">
        <f t="shared" si="41"/>
        <v>15</v>
      </c>
      <c r="C120" s="46" t="str">
        <f t="shared" si="39"/>
        <v>Exec IT</v>
      </c>
      <c r="D120" s="47" t="str">
        <f t="shared" si="39"/>
        <v>Head Office</v>
      </c>
      <c r="E120" s="48">
        <f t="shared" si="39"/>
        <v>200000</v>
      </c>
      <c r="F120" s="38">
        <f t="shared" si="40"/>
        <v>78000</v>
      </c>
      <c r="G120" s="38">
        <f t="shared" si="40"/>
        <v>200000</v>
      </c>
      <c r="H120" s="38">
        <f t="shared" si="40"/>
        <v>208000</v>
      </c>
      <c r="I120" s="38">
        <f t="shared" si="40"/>
        <v>216000</v>
      </c>
      <c r="J120" s="38">
        <f t="shared" si="40"/>
        <v>224000.00000000003</v>
      </c>
      <c r="K120" s="38">
        <f t="shared" si="40"/>
        <v>231999.99999999997</v>
      </c>
    </row>
    <row r="121" spans="2:12" ht="13.15" thickBot="1" x14ac:dyDescent="0.4">
      <c r="B121" s="29">
        <f t="shared" si="41"/>
        <v>16</v>
      </c>
      <c r="C121" s="46" t="str">
        <f t="shared" si="39"/>
        <v>Admin Assistant</v>
      </c>
      <c r="D121" s="47" t="str">
        <f t="shared" si="39"/>
        <v>Head Office</v>
      </c>
      <c r="E121" s="48">
        <f t="shared" si="39"/>
        <v>97500</v>
      </c>
      <c r="F121" s="38">
        <f t="shared" si="40"/>
        <v>0</v>
      </c>
      <c r="G121" s="38">
        <f t="shared" si="40"/>
        <v>101400</v>
      </c>
      <c r="H121" s="38">
        <f t="shared" si="40"/>
        <v>101400</v>
      </c>
      <c r="I121" s="38">
        <f t="shared" si="40"/>
        <v>105300</v>
      </c>
      <c r="J121" s="38">
        <f t="shared" si="40"/>
        <v>109200.00000000001</v>
      </c>
      <c r="K121" s="38">
        <f t="shared" si="40"/>
        <v>113099.99999999999</v>
      </c>
    </row>
    <row r="122" spans="2:12" ht="13.5" thickBot="1" x14ac:dyDescent="0.45">
      <c r="B122" s="29">
        <f t="shared" si="41"/>
        <v>17</v>
      </c>
      <c r="C122" s="757" t="str">
        <f t="shared" si="39"/>
        <v>Regional Head - UK/APAC</v>
      </c>
      <c r="D122" s="47" t="str">
        <f t="shared" si="39"/>
        <v>UK/APAC</v>
      </c>
      <c r="E122" s="48">
        <f t="shared" si="39"/>
        <v>400000</v>
      </c>
      <c r="F122" s="38">
        <f t="shared" si="40"/>
        <v>0</v>
      </c>
      <c r="G122" s="38">
        <f t="shared" si="40"/>
        <v>400000</v>
      </c>
      <c r="H122" s="38">
        <f t="shared" si="40"/>
        <v>416000</v>
      </c>
      <c r="I122" s="38">
        <f t="shared" si="40"/>
        <v>432000</v>
      </c>
      <c r="J122" s="38">
        <f t="shared" si="40"/>
        <v>448000.00000000006</v>
      </c>
      <c r="K122" s="38">
        <f t="shared" si="40"/>
        <v>463999.99999999994</v>
      </c>
    </row>
    <row r="123" spans="2:12" ht="13.15" thickBot="1" x14ac:dyDescent="0.4">
      <c r="B123" s="29">
        <f t="shared" si="41"/>
        <v>18</v>
      </c>
      <c r="C123" s="46" t="str">
        <f t="shared" si="39"/>
        <v>Additional Headcount</v>
      </c>
      <c r="D123" s="47" t="str">
        <f t="shared" si="39"/>
        <v>UK/APAC</v>
      </c>
      <c r="E123" s="48">
        <f t="shared" si="39"/>
        <v>300000</v>
      </c>
      <c r="F123" s="38">
        <f t="shared" si="40"/>
        <v>0</v>
      </c>
      <c r="G123" s="38">
        <f t="shared" si="40"/>
        <v>150000</v>
      </c>
      <c r="H123" s="38">
        <f t="shared" si="40"/>
        <v>312000</v>
      </c>
      <c r="I123" s="38">
        <f t="shared" si="40"/>
        <v>324000</v>
      </c>
      <c r="J123" s="38">
        <f t="shared" si="40"/>
        <v>336000.00000000006</v>
      </c>
      <c r="K123" s="38">
        <f t="shared" si="40"/>
        <v>348000</v>
      </c>
    </row>
    <row r="124" spans="2:12" ht="13.15" thickBot="1" x14ac:dyDescent="0.4">
      <c r="B124" s="29">
        <f t="shared" si="41"/>
        <v>19</v>
      </c>
      <c r="C124" s="46" t="str">
        <f t="shared" si="39"/>
        <v>Additional Headcount</v>
      </c>
      <c r="D124" s="47" t="str">
        <f t="shared" si="39"/>
        <v>UK/APAC</v>
      </c>
      <c r="E124" s="48">
        <f t="shared" si="39"/>
        <v>300000</v>
      </c>
      <c r="F124" s="38">
        <f t="shared" si="40"/>
        <v>0</v>
      </c>
      <c r="G124" s="38">
        <f t="shared" si="40"/>
        <v>0</v>
      </c>
      <c r="H124" s="38">
        <f t="shared" si="40"/>
        <v>312000</v>
      </c>
      <c r="I124" s="38">
        <f t="shared" si="40"/>
        <v>324000</v>
      </c>
      <c r="J124" s="38">
        <f t="shared" si="40"/>
        <v>336000.00000000006</v>
      </c>
      <c r="K124" s="38">
        <f t="shared" si="40"/>
        <v>348000</v>
      </c>
    </row>
    <row r="125" spans="2:12" ht="13.15" thickBot="1" x14ac:dyDescent="0.4">
      <c r="B125" s="29">
        <f t="shared" si="41"/>
        <v>20</v>
      </c>
      <c r="C125" s="46" t="str">
        <f t="shared" si="39"/>
        <v>Additional Headcount</v>
      </c>
      <c r="D125" s="47" t="str">
        <f t="shared" si="39"/>
        <v>UK/APAC</v>
      </c>
      <c r="E125" s="48">
        <f t="shared" si="39"/>
        <v>300000</v>
      </c>
      <c r="F125" s="38">
        <f t="shared" si="40"/>
        <v>0</v>
      </c>
      <c r="G125" s="38">
        <f t="shared" si="40"/>
        <v>0</v>
      </c>
      <c r="H125" s="38">
        <f t="shared" si="40"/>
        <v>0</v>
      </c>
      <c r="I125" s="38">
        <f t="shared" si="40"/>
        <v>324000</v>
      </c>
      <c r="J125" s="38">
        <f t="shared" si="40"/>
        <v>336000.00000000006</v>
      </c>
      <c r="K125" s="38">
        <f t="shared" si="40"/>
        <v>348000</v>
      </c>
    </row>
    <row r="126" spans="2:12" ht="13.15" thickBot="1" x14ac:dyDescent="0.4">
      <c r="B126" s="29">
        <f t="shared" si="41"/>
        <v>21</v>
      </c>
      <c r="C126" s="46" t="str">
        <f t="shared" si="39"/>
        <v>Additional Headcount</v>
      </c>
      <c r="D126" s="47" t="str">
        <f t="shared" si="39"/>
        <v>UK/APAC</v>
      </c>
      <c r="E126" s="48">
        <f t="shared" si="39"/>
        <v>300000</v>
      </c>
      <c r="F126" s="38">
        <f t="shared" ref="F126:K135" si="42">F25*F71</f>
        <v>0</v>
      </c>
      <c r="G126" s="38">
        <f t="shared" si="42"/>
        <v>0</v>
      </c>
      <c r="H126" s="38">
        <f t="shared" si="42"/>
        <v>0</v>
      </c>
      <c r="I126" s="38">
        <f t="shared" si="42"/>
        <v>324000</v>
      </c>
      <c r="J126" s="38">
        <f t="shared" si="42"/>
        <v>336000.00000000006</v>
      </c>
      <c r="K126" s="38">
        <f t="shared" si="42"/>
        <v>348000</v>
      </c>
    </row>
    <row r="127" spans="2:12" ht="13.15" thickBot="1" x14ac:dyDescent="0.4">
      <c r="B127" s="29">
        <f t="shared" si="41"/>
        <v>22</v>
      </c>
      <c r="C127" s="46" t="str">
        <f t="shared" si="39"/>
        <v>Additional Headcount</v>
      </c>
      <c r="D127" s="47" t="str">
        <f t="shared" si="39"/>
        <v>UK/APAC</v>
      </c>
      <c r="E127" s="48">
        <f t="shared" si="39"/>
        <v>300000</v>
      </c>
      <c r="F127" s="38">
        <f t="shared" si="42"/>
        <v>0</v>
      </c>
      <c r="G127" s="38">
        <f t="shared" si="42"/>
        <v>0</v>
      </c>
      <c r="H127" s="38">
        <f t="shared" si="42"/>
        <v>0</v>
      </c>
      <c r="I127" s="38">
        <f t="shared" si="42"/>
        <v>324000</v>
      </c>
      <c r="J127" s="38">
        <f t="shared" si="42"/>
        <v>336000.00000000006</v>
      </c>
      <c r="K127" s="38">
        <f t="shared" si="42"/>
        <v>348000</v>
      </c>
    </row>
    <row r="128" spans="2:12" ht="13.15" thickBot="1" x14ac:dyDescent="0.4">
      <c r="B128" s="29">
        <f t="shared" si="41"/>
        <v>23</v>
      </c>
      <c r="C128" s="46" t="str">
        <f t="shared" si="39"/>
        <v>Additional Headcount</v>
      </c>
      <c r="D128" s="47" t="str">
        <f t="shared" si="39"/>
        <v>UK/APAC</v>
      </c>
      <c r="E128" s="48">
        <f t="shared" si="39"/>
        <v>300000</v>
      </c>
      <c r="F128" s="38">
        <f t="shared" si="42"/>
        <v>0</v>
      </c>
      <c r="G128" s="38">
        <f t="shared" si="42"/>
        <v>0</v>
      </c>
      <c r="H128" s="38">
        <f t="shared" si="42"/>
        <v>0</v>
      </c>
      <c r="I128" s="38">
        <f t="shared" si="42"/>
        <v>324000</v>
      </c>
      <c r="J128" s="38">
        <f t="shared" si="42"/>
        <v>336000.00000000006</v>
      </c>
      <c r="K128" s="38">
        <f t="shared" si="42"/>
        <v>348000</v>
      </c>
    </row>
    <row r="129" spans="2:11" ht="13.15" thickBot="1" x14ac:dyDescent="0.4">
      <c r="B129" s="29">
        <f t="shared" si="41"/>
        <v>24</v>
      </c>
      <c r="C129" s="46" t="str">
        <f t="shared" si="39"/>
        <v>Exec Team - Business Development</v>
      </c>
      <c r="D129" s="47" t="str">
        <f t="shared" si="39"/>
        <v>UK/APAC</v>
      </c>
      <c r="E129" s="48">
        <f t="shared" si="39"/>
        <v>250000</v>
      </c>
      <c r="F129" s="38">
        <f t="shared" si="42"/>
        <v>0</v>
      </c>
      <c r="G129" s="38">
        <f t="shared" si="42"/>
        <v>130000</v>
      </c>
      <c r="H129" s="38">
        <f t="shared" si="42"/>
        <v>260000</v>
      </c>
      <c r="I129" s="38">
        <f t="shared" si="42"/>
        <v>270000</v>
      </c>
      <c r="J129" s="38">
        <f t="shared" si="42"/>
        <v>280000</v>
      </c>
      <c r="K129" s="38">
        <f t="shared" si="42"/>
        <v>290000</v>
      </c>
    </row>
    <row r="130" spans="2:11" ht="13.15" thickBot="1" x14ac:dyDescent="0.4">
      <c r="B130" s="29">
        <f t="shared" si="41"/>
        <v>25</v>
      </c>
      <c r="C130" s="46" t="str">
        <f t="shared" si="39"/>
        <v>Admin Assistant</v>
      </c>
      <c r="D130" s="47" t="str">
        <f t="shared" si="39"/>
        <v>UK/APAC</v>
      </c>
      <c r="E130" s="48">
        <f t="shared" si="39"/>
        <v>80000</v>
      </c>
      <c r="F130" s="38">
        <f t="shared" si="42"/>
        <v>0</v>
      </c>
      <c r="G130" s="38">
        <f t="shared" si="42"/>
        <v>41600</v>
      </c>
      <c r="H130" s="38">
        <f t="shared" si="42"/>
        <v>83200</v>
      </c>
      <c r="I130" s="38">
        <f t="shared" si="42"/>
        <v>86400</v>
      </c>
      <c r="J130" s="38">
        <f t="shared" si="42"/>
        <v>89600.000000000015</v>
      </c>
      <c r="K130" s="38">
        <f t="shared" si="42"/>
        <v>92800</v>
      </c>
    </row>
    <row r="131" spans="2:11" ht="13.5" thickBot="1" x14ac:dyDescent="0.45">
      <c r="B131" s="29">
        <f t="shared" si="41"/>
        <v>26</v>
      </c>
      <c r="C131" s="757" t="str">
        <f t="shared" si="39"/>
        <v>Regional Head - USA</v>
      </c>
      <c r="D131" s="47" t="str">
        <f t="shared" si="39"/>
        <v>USA</v>
      </c>
      <c r="E131" s="48">
        <f t="shared" si="39"/>
        <v>400000</v>
      </c>
      <c r="F131" s="38">
        <f t="shared" si="42"/>
        <v>0</v>
      </c>
      <c r="G131" s="38">
        <f t="shared" si="42"/>
        <v>0</v>
      </c>
      <c r="H131" s="38">
        <f t="shared" si="42"/>
        <v>208000</v>
      </c>
      <c r="I131" s="38">
        <f t="shared" si="42"/>
        <v>432000</v>
      </c>
      <c r="J131" s="38">
        <f t="shared" si="42"/>
        <v>448000.00000000006</v>
      </c>
      <c r="K131" s="38">
        <f t="shared" si="42"/>
        <v>463999.99999999994</v>
      </c>
    </row>
    <row r="132" spans="2:11" ht="13.15" thickBot="1" x14ac:dyDescent="0.4">
      <c r="B132" s="29">
        <f t="shared" si="41"/>
        <v>27</v>
      </c>
      <c r="C132" s="46" t="str">
        <f t="shared" si="39"/>
        <v>Additional Headcount</v>
      </c>
      <c r="D132" s="47" t="str">
        <f t="shared" si="39"/>
        <v>USA</v>
      </c>
      <c r="E132" s="48">
        <f t="shared" si="39"/>
        <v>300000</v>
      </c>
      <c r="F132" s="38">
        <f t="shared" si="42"/>
        <v>0</v>
      </c>
      <c r="G132" s="38">
        <f t="shared" si="42"/>
        <v>0</v>
      </c>
      <c r="H132" s="38">
        <f t="shared" si="42"/>
        <v>156000</v>
      </c>
      <c r="I132" s="38">
        <f t="shared" si="42"/>
        <v>324000</v>
      </c>
      <c r="J132" s="38">
        <f t="shared" si="42"/>
        <v>336000.00000000006</v>
      </c>
      <c r="K132" s="38">
        <f t="shared" si="42"/>
        <v>348000</v>
      </c>
    </row>
    <row r="133" spans="2:11" ht="13.15" thickBot="1" x14ac:dyDescent="0.4">
      <c r="B133" s="29">
        <f t="shared" si="41"/>
        <v>28</v>
      </c>
      <c r="C133" s="46" t="str">
        <f t="shared" si="39"/>
        <v>Additional Headcount</v>
      </c>
      <c r="D133" s="47" t="str">
        <f t="shared" si="39"/>
        <v>USA</v>
      </c>
      <c r="E133" s="48">
        <f t="shared" si="39"/>
        <v>300000</v>
      </c>
      <c r="F133" s="38">
        <f t="shared" si="42"/>
        <v>0</v>
      </c>
      <c r="G133" s="38">
        <f t="shared" si="42"/>
        <v>0</v>
      </c>
      <c r="H133" s="38">
        <f t="shared" si="42"/>
        <v>156000</v>
      </c>
      <c r="I133" s="38">
        <f t="shared" si="42"/>
        <v>324000</v>
      </c>
      <c r="J133" s="38">
        <f t="shared" si="42"/>
        <v>336000.00000000006</v>
      </c>
      <c r="K133" s="38">
        <f t="shared" si="42"/>
        <v>348000</v>
      </c>
    </row>
    <row r="134" spans="2:11" ht="13.15" thickBot="1" x14ac:dyDescent="0.4">
      <c r="B134" s="29">
        <f t="shared" si="41"/>
        <v>29</v>
      </c>
      <c r="C134" s="46" t="str">
        <f t="shared" si="39"/>
        <v>Additional Headcount</v>
      </c>
      <c r="D134" s="47" t="str">
        <f t="shared" si="39"/>
        <v>USA</v>
      </c>
      <c r="E134" s="48">
        <f t="shared" si="39"/>
        <v>300000</v>
      </c>
      <c r="F134" s="38">
        <f t="shared" si="42"/>
        <v>0</v>
      </c>
      <c r="G134" s="38">
        <f t="shared" si="42"/>
        <v>0</v>
      </c>
      <c r="H134" s="38">
        <f t="shared" si="42"/>
        <v>156000</v>
      </c>
      <c r="I134" s="38">
        <f t="shared" si="42"/>
        <v>324000</v>
      </c>
      <c r="J134" s="38">
        <f t="shared" si="42"/>
        <v>336000.00000000006</v>
      </c>
      <c r="K134" s="38">
        <f t="shared" si="42"/>
        <v>348000</v>
      </c>
    </row>
    <row r="135" spans="2:11" ht="13.15" thickBot="1" x14ac:dyDescent="0.4">
      <c r="B135" s="29">
        <f t="shared" si="41"/>
        <v>30</v>
      </c>
      <c r="C135" s="46" t="str">
        <f t="shared" si="39"/>
        <v>Additional Headcount</v>
      </c>
      <c r="D135" s="47" t="str">
        <f t="shared" si="39"/>
        <v>USA</v>
      </c>
      <c r="E135" s="48">
        <f t="shared" si="39"/>
        <v>300000</v>
      </c>
      <c r="F135" s="38">
        <f t="shared" si="42"/>
        <v>0</v>
      </c>
      <c r="G135" s="38">
        <f t="shared" si="42"/>
        <v>0</v>
      </c>
      <c r="H135" s="38">
        <f t="shared" si="42"/>
        <v>156000</v>
      </c>
      <c r="I135" s="38">
        <f t="shared" si="42"/>
        <v>324000</v>
      </c>
      <c r="J135" s="38">
        <f t="shared" si="42"/>
        <v>336000.00000000006</v>
      </c>
      <c r="K135" s="38">
        <f t="shared" si="42"/>
        <v>348000</v>
      </c>
    </row>
    <row r="136" spans="2:11" ht="13.15" thickBot="1" x14ac:dyDescent="0.4">
      <c r="B136" s="29">
        <f t="shared" si="41"/>
        <v>31</v>
      </c>
      <c r="C136" s="46" t="str">
        <f t="shared" si="39"/>
        <v>Additional Headcount</v>
      </c>
      <c r="D136" s="47" t="str">
        <f t="shared" si="39"/>
        <v>USA</v>
      </c>
      <c r="E136" s="48">
        <f t="shared" si="39"/>
        <v>300000</v>
      </c>
      <c r="F136" s="38">
        <f t="shared" ref="F136:K145" si="43">F35*F81</f>
        <v>0</v>
      </c>
      <c r="G136" s="38">
        <f t="shared" si="43"/>
        <v>0</v>
      </c>
      <c r="H136" s="38">
        <f t="shared" si="43"/>
        <v>0</v>
      </c>
      <c r="I136" s="38">
        <f t="shared" si="43"/>
        <v>162000</v>
      </c>
      <c r="J136" s="38">
        <f t="shared" si="43"/>
        <v>336000.00000000006</v>
      </c>
      <c r="K136" s="38">
        <f t="shared" si="43"/>
        <v>348000</v>
      </c>
    </row>
    <row r="137" spans="2:11" ht="13.15" thickBot="1" x14ac:dyDescent="0.4">
      <c r="B137" s="29">
        <f t="shared" si="41"/>
        <v>32</v>
      </c>
      <c r="C137" s="46" t="str">
        <f t="shared" si="39"/>
        <v>Additional Headcount</v>
      </c>
      <c r="D137" s="47" t="str">
        <f t="shared" si="39"/>
        <v>USA</v>
      </c>
      <c r="E137" s="48">
        <f t="shared" si="39"/>
        <v>300000</v>
      </c>
      <c r="F137" s="38">
        <f t="shared" si="43"/>
        <v>0</v>
      </c>
      <c r="G137" s="38">
        <f t="shared" si="43"/>
        <v>0</v>
      </c>
      <c r="H137" s="38">
        <f t="shared" si="43"/>
        <v>0</v>
      </c>
      <c r="I137" s="38">
        <f t="shared" si="43"/>
        <v>162000</v>
      </c>
      <c r="J137" s="38">
        <f t="shared" si="43"/>
        <v>336000.00000000006</v>
      </c>
      <c r="K137" s="38">
        <f t="shared" si="43"/>
        <v>348000</v>
      </c>
    </row>
    <row r="138" spans="2:11" ht="13.15" thickBot="1" x14ac:dyDescent="0.4">
      <c r="B138" s="29">
        <f t="shared" si="41"/>
        <v>33</v>
      </c>
      <c r="C138" s="46" t="str">
        <f t="shared" si="39"/>
        <v>Additional Headcount</v>
      </c>
      <c r="D138" s="47" t="str">
        <f t="shared" si="39"/>
        <v>USA</v>
      </c>
      <c r="E138" s="48">
        <f t="shared" si="39"/>
        <v>300000</v>
      </c>
      <c r="F138" s="38">
        <f t="shared" si="43"/>
        <v>0</v>
      </c>
      <c r="G138" s="38">
        <f t="shared" si="43"/>
        <v>0</v>
      </c>
      <c r="H138" s="38">
        <f t="shared" si="43"/>
        <v>0</v>
      </c>
      <c r="I138" s="38">
        <f t="shared" si="43"/>
        <v>0</v>
      </c>
      <c r="J138" s="38">
        <f t="shared" si="43"/>
        <v>336000.00000000006</v>
      </c>
      <c r="K138" s="38">
        <f t="shared" si="43"/>
        <v>348000</v>
      </c>
    </row>
    <row r="139" spans="2:11" ht="13.15" thickBot="1" x14ac:dyDescent="0.4">
      <c r="B139" s="29">
        <f t="shared" si="41"/>
        <v>34</v>
      </c>
      <c r="C139" s="46" t="str">
        <f t="shared" si="39"/>
        <v>Additional Headcount</v>
      </c>
      <c r="D139" s="47" t="str">
        <f t="shared" si="39"/>
        <v>USA</v>
      </c>
      <c r="E139" s="48">
        <f t="shared" si="39"/>
        <v>300000</v>
      </c>
      <c r="F139" s="38">
        <f t="shared" si="43"/>
        <v>0</v>
      </c>
      <c r="G139" s="38">
        <f t="shared" si="43"/>
        <v>0</v>
      </c>
      <c r="H139" s="38">
        <f t="shared" si="43"/>
        <v>0</v>
      </c>
      <c r="I139" s="38">
        <f t="shared" si="43"/>
        <v>0</v>
      </c>
      <c r="J139" s="38">
        <f t="shared" si="43"/>
        <v>336000.00000000006</v>
      </c>
      <c r="K139" s="38">
        <f t="shared" si="43"/>
        <v>348000</v>
      </c>
    </row>
    <row r="140" spans="2:11" ht="13.15" thickBot="1" x14ac:dyDescent="0.4">
      <c r="B140" s="29">
        <f t="shared" si="41"/>
        <v>35</v>
      </c>
      <c r="C140" s="46" t="str">
        <f t="shared" si="39"/>
        <v>Additional Headcount</v>
      </c>
      <c r="D140" s="47" t="str">
        <f t="shared" si="39"/>
        <v>USA</v>
      </c>
      <c r="E140" s="48">
        <f t="shared" si="39"/>
        <v>300000</v>
      </c>
      <c r="F140" s="38">
        <f t="shared" si="43"/>
        <v>0</v>
      </c>
      <c r="G140" s="38">
        <f t="shared" si="43"/>
        <v>0</v>
      </c>
      <c r="H140" s="38">
        <f t="shared" si="43"/>
        <v>0</v>
      </c>
      <c r="I140" s="38">
        <f t="shared" si="43"/>
        <v>0</v>
      </c>
      <c r="J140" s="38">
        <f t="shared" si="43"/>
        <v>336000.00000000006</v>
      </c>
      <c r="K140" s="38">
        <f t="shared" si="43"/>
        <v>348000</v>
      </c>
    </row>
    <row r="141" spans="2:11" ht="13.15" thickBot="1" x14ac:dyDescent="0.4">
      <c r="B141" s="29">
        <f t="shared" si="41"/>
        <v>36</v>
      </c>
      <c r="C141" s="46" t="str">
        <f t="shared" si="39"/>
        <v>Additional Headcount</v>
      </c>
      <c r="D141" s="47" t="str">
        <f t="shared" si="39"/>
        <v>USA</v>
      </c>
      <c r="E141" s="48">
        <f t="shared" si="39"/>
        <v>300000</v>
      </c>
      <c r="F141" s="38">
        <f t="shared" si="43"/>
        <v>0</v>
      </c>
      <c r="G141" s="38">
        <f t="shared" si="43"/>
        <v>0</v>
      </c>
      <c r="H141" s="38">
        <f t="shared" si="43"/>
        <v>0</v>
      </c>
      <c r="I141" s="38">
        <f t="shared" si="43"/>
        <v>0</v>
      </c>
      <c r="J141" s="38">
        <f t="shared" si="43"/>
        <v>336000.00000000006</v>
      </c>
      <c r="K141" s="38">
        <f t="shared" si="43"/>
        <v>348000</v>
      </c>
    </row>
    <row r="142" spans="2:11" ht="13.15" thickBot="1" x14ac:dyDescent="0.4">
      <c r="B142" s="29">
        <f t="shared" si="41"/>
        <v>37</v>
      </c>
      <c r="C142" s="46" t="str">
        <f t="shared" si="39"/>
        <v>Exec Team - Business Development</v>
      </c>
      <c r="D142" s="47" t="str">
        <f t="shared" si="39"/>
        <v>USA</v>
      </c>
      <c r="E142" s="48">
        <f t="shared" si="39"/>
        <v>250000</v>
      </c>
      <c r="F142" s="38">
        <f t="shared" si="43"/>
        <v>0</v>
      </c>
      <c r="G142" s="38">
        <f t="shared" si="43"/>
        <v>0</v>
      </c>
      <c r="H142" s="38">
        <f t="shared" si="43"/>
        <v>260000</v>
      </c>
      <c r="I142" s="38">
        <f t="shared" si="43"/>
        <v>270000</v>
      </c>
      <c r="J142" s="38">
        <f t="shared" si="43"/>
        <v>280000</v>
      </c>
      <c r="K142" s="38">
        <f t="shared" si="43"/>
        <v>290000</v>
      </c>
    </row>
    <row r="143" spans="2:11" ht="13.15" thickBot="1" x14ac:dyDescent="0.4">
      <c r="B143" s="29">
        <f t="shared" si="41"/>
        <v>38</v>
      </c>
      <c r="C143" s="46" t="str">
        <f t="shared" si="39"/>
        <v>Admin Assistant</v>
      </c>
      <c r="D143" s="47" t="str">
        <f t="shared" si="39"/>
        <v>USA</v>
      </c>
      <c r="E143" s="48">
        <f t="shared" si="39"/>
        <v>80000</v>
      </c>
      <c r="F143" s="38">
        <f t="shared" si="43"/>
        <v>0</v>
      </c>
      <c r="G143" s="38">
        <f t="shared" si="43"/>
        <v>0</v>
      </c>
      <c r="H143" s="38">
        <f t="shared" si="43"/>
        <v>83200</v>
      </c>
      <c r="I143" s="38">
        <f t="shared" si="43"/>
        <v>86400</v>
      </c>
      <c r="J143" s="38">
        <f t="shared" si="43"/>
        <v>89600.000000000015</v>
      </c>
      <c r="K143" s="38">
        <f t="shared" si="43"/>
        <v>92800</v>
      </c>
    </row>
    <row r="144" spans="2:11" ht="13.15" thickBot="1" x14ac:dyDescent="0.4">
      <c r="B144" s="29">
        <f t="shared" si="41"/>
        <v>39</v>
      </c>
      <c r="C144" s="46">
        <f t="shared" si="39"/>
        <v>0</v>
      </c>
      <c r="D144" s="47">
        <f t="shared" si="39"/>
        <v>0</v>
      </c>
      <c r="E144" s="48">
        <f t="shared" si="39"/>
        <v>0</v>
      </c>
      <c r="F144" s="38">
        <f t="shared" si="43"/>
        <v>0</v>
      </c>
      <c r="G144" s="38">
        <f t="shared" si="43"/>
        <v>0</v>
      </c>
      <c r="H144" s="38">
        <f t="shared" si="43"/>
        <v>0</v>
      </c>
      <c r="I144" s="38">
        <f t="shared" si="43"/>
        <v>0</v>
      </c>
      <c r="J144" s="38">
        <f t="shared" si="43"/>
        <v>0</v>
      </c>
      <c r="K144" s="38">
        <f t="shared" si="43"/>
        <v>0</v>
      </c>
    </row>
    <row r="145" spans="2:11" ht="13.15" thickBot="1" x14ac:dyDescent="0.4">
      <c r="B145" s="29">
        <f t="shared" si="41"/>
        <v>40</v>
      </c>
      <c r="C145" s="46">
        <f t="shared" si="39"/>
        <v>0</v>
      </c>
      <c r="D145" s="47">
        <f t="shared" si="39"/>
        <v>0</v>
      </c>
      <c r="E145" s="48">
        <f t="shared" si="39"/>
        <v>0</v>
      </c>
      <c r="F145" s="38">
        <f t="shared" si="43"/>
        <v>0</v>
      </c>
      <c r="G145" s="38">
        <f t="shared" si="43"/>
        <v>0</v>
      </c>
      <c r="H145" s="38">
        <f t="shared" si="43"/>
        <v>0</v>
      </c>
      <c r="I145" s="38">
        <f t="shared" si="43"/>
        <v>0</v>
      </c>
      <c r="J145" s="38">
        <f t="shared" si="43"/>
        <v>0</v>
      </c>
      <c r="K145" s="38">
        <f t="shared" si="43"/>
        <v>0</v>
      </c>
    </row>
    <row r="146" spans="2:11" ht="13.15" thickBot="1" x14ac:dyDescent="0.4">
      <c r="B146" s="29">
        <f t="shared" si="41"/>
        <v>41</v>
      </c>
      <c r="C146" s="46">
        <f t="shared" si="39"/>
        <v>0</v>
      </c>
      <c r="D146" s="47">
        <f t="shared" si="39"/>
        <v>0</v>
      </c>
      <c r="E146" s="48">
        <f t="shared" si="39"/>
        <v>0</v>
      </c>
      <c r="F146" s="38">
        <f t="shared" ref="F146:K146" si="44">F45*F91</f>
        <v>0</v>
      </c>
      <c r="G146" s="38">
        <f t="shared" si="44"/>
        <v>0</v>
      </c>
      <c r="H146" s="38">
        <f t="shared" si="44"/>
        <v>0</v>
      </c>
      <c r="I146" s="38">
        <f t="shared" si="44"/>
        <v>0</v>
      </c>
      <c r="J146" s="38">
        <f t="shared" si="44"/>
        <v>0</v>
      </c>
      <c r="K146" s="38">
        <f t="shared" si="44"/>
        <v>0</v>
      </c>
    </row>
    <row r="147" spans="2:11" ht="13.9" thickTop="1" thickBot="1" x14ac:dyDescent="0.45">
      <c r="E147" s="43" t="s">
        <v>32</v>
      </c>
      <c r="F147" s="44">
        <f t="shared" ref="F147:K147" si="45">SUM(F106:F146)</f>
        <v>702000</v>
      </c>
      <c r="G147" s="44">
        <f t="shared" si="45"/>
        <v>4898000</v>
      </c>
      <c r="H147" s="283">
        <f t="shared" si="45"/>
        <v>7651800</v>
      </c>
      <c r="I147" s="44">
        <f t="shared" si="45"/>
        <v>10700100</v>
      </c>
      <c r="J147" s="44">
        <f t="shared" si="45"/>
        <v>12776400</v>
      </c>
      <c r="K147" s="44">
        <f t="shared" si="45"/>
        <v>13232700</v>
      </c>
    </row>
    <row r="148" spans="2:11" ht="13.15" thickBot="1" x14ac:dyDescent="0.4">
      <c r="F148" s="30"/>
    </row>
    <row r="149" spans="2:11" ht="13.5" thickBot="1" x14ac:dyDescent="0.45">
      <c r="E149" s="60" t="str">
        <f>E147</f>
        <v>Actual Salary</v>
      </c>
      <c r="F149" s="35" t="str">
        <f t="shared" ref="F149:K149" si="46">F4</f>
        <v>Year 0</v>
      </c>
      <c r="G149" s="35" t="str">
        <f t="shared" si="46"/>
        <v>Year 1</v>
      </c>
      <c r="H149" s="35" t="str">
        <f t="shared" si="46"/>
        <v>Year 2</v>
      </c>
      <c r="I149" s="35" t="str">
        <f t="shared" si="46"/>
        <v>Year 3</v>
      </c>
      <c r="J149" s="35" t="str">
        <f t="shared" si="46"/>
        <v>Year 4</v>
      </c>
      <c r="K149" s="35" t="str">
        <f t="shared" si="46"/>
        <v>Year 5</v>
      </c>
    </row>
    <row r="150" spans="2:11" x14ac:dyDescent="0.35">
      <c r="E150" s="51" t="s">
        <v>243</v>
      </c>
      <c r="F150" s="61">
        <f t="shared" ref="F150:K156" si="47">SUMIF($D$106:$D$146,$E150,F$106:F$146)</f>
        <v>702000</v>
      </c>
      <c r="G150" s="61">
        <f t="shared" si="47"/>
        <v>4176400</v>
      </c>
      <c r="H150" s="38">
        <f t="shared" si="47"/>
        <v>5093400</v>
      </c>
      <c r="I150" s="38">
        <f t="shared" si="47"/>
        <v>5559300</v>
      </c>
      <c r="J150" s="38">
        <f t="shared" si="47"/>
        <v>5765200</v>
      </c>
      <c r="K150" s="38">
        <f t="shared" si="47"/>
        <v>5971100</v>
      </c>
    </row>
    <row r="151" spans="2:11" x14ac:dyDescent="0.35">
      <c r="E151" s="53" t="s">
        <v>233</v>
      </c>
      <c r="F151" s="62">
        <f t="shared" si="47"/>
        <v>0</v>
      </c>
      <c r="G151" s="62">
        <f t="shared" si="47"/>
        <v>0</v>
      </c>
      <c r="H151" s="42">
        <f t="shared" si="47"/>
        <v>1175200</v>
      </c>
      <c r="I151" s="42">
        <f t="shared" si="47"/>
        <v>2408400</v>
      </c>
      <c r="J151" s="42">
        <f t="shared" si="47"/>
        <v>4177600.0000000005</v>
      </c>
      <c r="K151" s="42">
        <f t="shared" si="47"/>
        <v>4326800</v>
      </c>
    </row>
    <row r="152" spans="2:11" x14ac:dyDescent="0.35">
      <c r="E152" s="53" t="s">
        <v>293</v>
      </c>
      <c r="F152" s="62">
        <f t="shared" si="47"/>
        <v>0</v>
      </c>
      <c r="G152" s="62">
        <f t="shared" si="47"/>
        <v>721600</v>
      </c>
      <c r="H152" s="42">
        <f t="shared" si="47"/>
        <v>1383200</v>
      </c>
      <c r="I152" s="42">
        <f t="shared" si="47"/>
        <v>2732400</v>
      </c>
      <c r="J152" s="42">
        <f t="shared" si="47"/>
        <v>2833600.0000000005</v>
      </c>
      <c r="K152" s="42">
        <f t="shared" si="47"/>
        <v>2934800</v>
      </c>
    </row>
    <row r="153" spans="2:11" x14ac:dyDescent="0.35">
      <c r="E153" s="56" t="s">
        <v>29</v>
      </c>
      <c r="F153" s="62">
        <f t="shared" si="47"/>
        <v>0</v>
      </c>
      <c r="G153" s="62">
        <f t="shared" si="47"/>
        <v>0</v>
      </c>
      <c r="H153" s="42">
        <f t="shared" si="47"/>
        <v>0</v>
      </c>
      <c r="I153" s="42">
        <f t="shared" si="47"/>
        <v>0</v>
      </c>
      <c r="J153" s="42">
        <f t="shared" si="47"/>
        <v>0</v>
      </c>
      <c r="K153" s="42">
        <f t="shared" si="47"/>
        <v>0</v>
      </c>
    </row>
    <row r="154" spans="2:11" x14ac:dyDescent="0.35">
      <c r="E154" s="56"/>
      <c r="F154" s="62">
        <f t="shared" si="47"/>
        <v>0</v>
      </c>
      <c r="G154" s="62">
        <f t="shared" si="47"/>
        <v>0</v>
      </c>
      <c r="H154" s="42">
        <f t="shared" si="47"/>
        <v>0</v>
      </c>
      <c r="I154" s="42">
        <f t="shared" si="47"/>
        <v>0</v>
      </c>
      <c r="J154" s="42">
        <f t="shared" si="47"/>
        <v>0</v>
      </c>
      <c r="K154" s="42">
        <f t="shared" si="47"/>
        <v>0</v>
      </c>
    </row>
    <row r="155" spans="2:11" x14ac:dyDescent="0.35">
      <c r="E155" s="56"/>
      <c r="F155" s="62">
        <f t="shared" si="47"/>
        <v>0</v>
      </c>
      <c r="G155" s="62">
        <f t="shared" si="47"/>
        <v>0</v>
      </c>
      <c r="H155" s="42">
        <f t="shared" si="47"/>
        <v>0</v>
      </c>
      <c r="I155" s="42">
        <f t="shared" si="47"/>
        <v>0</v>
      </c>
      <c r="J155" s="42">
        <f t="shared" si="47"/>
        <v>0</v>
      </c>
      <c r="K155" s="42">
        <f t="shared" si="47"/>
        <v>0</v>
      </c>
    </row>
    <row r="156" spans="2:11" ht="13.15" thickBot="1" x14ac:dyDescent="0.4">
      <c r="E156" s="57"/>
      <c r="F156" s="63">
        <f t="shared" si="47"/>
        <v>0</v>
      </c>
      <c r="G156" s="63">
        <f t="shared" si="47"/>
        <v>0</v>
      </c>
      <c r="H156" s="64">
        <f t="shared" si="47"/>
        <v>0</v>
      </c>
      <c r="I156" s="64">
        <f t="shared" si="47"/>
        <v>0</v>
      </c>
      <c r="J156" s="64">
        <f t="shared" si="47"/>
        <v>0</v>
      </c>
      <c r="K156" s="64">
        <f t="shared" si="47"/>
        <v>0</v>
      </c>
    </row>
    <row r="157" spans="2:11" ht="13.15" x14ac:dyDescent="0.4">
      <c r="E157" s="58" t="s">
        <v>30</v>
      </c>
      <c r="F157" s="65">
        <f>SUM(F150:F156)</f>
        <v>702000</v>
      </c>
      <c r="G157" s="65">
        <f>SUM(G150:G156)</f>
        <v>4898000</v>
      </c>
      <c r="H157" s="65">
        <f t="shared" ref="H157:K157" si="48">SUM(H150:H156)</f>
        <v>7651800</v>
      </c>
      <c r="I157" s="65">
        <f t="shared" si="48"/>
        <v>10700100</v>
      </c>
      <c r="J157" s="65">
        <f t="shared" si="48"/>
        <v>12776400</v>
      </c>
      <c r="K157" s="65">
        <f t="shared" si="48"/>
        <v>13232700</v>
      </c>
    </row>
    <row r="158" spans="2:11" x14ac:dyDescent="0.35">
      <c r="F158" s="66" t="b">
        <f t="shared" ref="F158" si="49">F147 =F157</f>
        <v>1</v>
      </c>
      <c r="G158" s="66" t="b">
        <f t="shared" ref="G158:K158" si="50">G147 =G157</f>
        <v>1</v>
      </c>
      <c r="H158" s="66" t="b">
        <f t="shared" si="50"/>
        <v>1</v>
      </c>
      <c r="I158" s="66" t="b">
        <f t="shared" si="50"/>
        <v>1</v>
      </c>
      <c r="J158" s="66" t="b">
        <f t="shared" si="50"/>
        <v>1</v>
      </c>
      <c r="K158" s="66" t="b">
        <f t="shared" si="50"/>
        <v>1</v>
      </c>
    </row>
    <row r="159" spans="2:11" ht="13.15" thickBot="1" x14ac:dyDescent="0.4">
      <c r="F159" s="30"/>
    </row>
    <row r="160" spans="2:11" ht="13.5" thickBot="1" x14ac:dyDescent="0.45">
      <c r="E160" s="43" t="s">
        <v>31</v>
      </c>
      <c r="F160" s="50">
        <f t="shared" ref="F160" si="51">F100</f>
        <v>9.5</v>
      </c>
      <c r="G160" s="50">
        <f t="shared" ref="G160:K160" si="52">G100</f>
        <v>16</v>
      </c>
      <c r="H160" s="50">
        <f t="shared" si="52"/>
        <v>25</v>
      </c>
      <c r="I160" s="50">
        <f t="shared" si="52"/>
        <v>33</v>
      </c>
      <c r="J160" s="50">
        <f t="shared" si="52"/>
        <v>38</v>
      </c>
      <c r="K160" s="50">
        <f t="shared" si="52"/>
        <v>38</v>
      </c>
    </row>
    <row r="161" spans="5:11" x14ac:dyDescent="0.35">
      <c r="E161" s="224"/>
      <c r="F161" s="224"/>
    </row>
    <row r="162" spans="5:11" x14ac:dyDescent="0.35">
      <c r="E162" s="224"/>
      <c r="F162" s="224"/>
      <c r="G162" s="225"/>
      <c r="H162" s="225"/>
      <c r="I162" s="225"/>
      <c r="J162" s="225"/>
      <c r="K162" s="225"/>
    </row>
    <row r="163" spans="5:11" x14ac:dyDescent="0.35">
      <c r="H163" s="66"/>
    </row>
  </sheetData>
  <mergeCells count="1">
    <mergeCell ref="L5:L14"/>
  </mergeCells>
  <phoneticPr fontId="14" type="noConversion"/>
  <conditionalFormatting sqref="L16:L45">
    <cfRule type="duplicateValues" dxfId="0" priority="1"/>
  </conditionalFormatting>
  <dataValidations count="2">
    <dataValidation type="list" allowBlank="1" showInputMessage="1" showErrorMessage="1" sqref="E94:E99 E150:E156" xr:uid="{00000000-0002-0000-0700-000000000000}">
      <formula1>Region</formula1>
    </dataValidation>
    <dataValidation type="list" allowBlank="1" showInputMessage="1" showErrorMessage="1" sqref="D5:D45" xr:uid="{00000000-0002-0000-0700-000001000000}">
      <formula1>$R$4:$R$8</formula1>
    </dataValidation>
  </dataValidations>
  <pageMargins left="0.39370078740157483" right="0.74803149606299213" top="0.39370078740157483" bottom="0.39370078740157483" header="0.51181102362204722" footer="0.51181102362204722"/>
  <pageSetup paperSize="9" scale="2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pageSetUpPr fitToPage="1"/>
  </sheetPr>
  <dimension ref="A1:DT66"/>
  <sheetViews>
    <sheetView showGridLines="0" zoomScaleNormal="100" workbookViewId="0">
      <pane xSplit="2" ySplit="4" topLeftCell="C5" activePane="bottomRight" state="frozen"/>
      <selection activeCell="L5" sqref="L5:L14"/>
      <selection pane="topRight" activeCell="L5" sqref="L5:L14"/>
      <selection pane="bottomLeft" activeCell="L5" sqref="L5:L14"/>
      <selection pane="bottomRight" activeCell="I9" sqref="I9"/>
    </sheetView>
  </sheetViews>
  <sheetFormatPr defaultRowHeight="12.75" outlineLevelRow="1" x14ac:dyDescent="0.35"/>
  <cols>
    <col min="1" max="1" width="2.86328125" customWidth="1"/>
    <col min="2" max="2" width="58.1328125" customWidth="1"/>
    <col min="3" max="3" width="5.19921875" style="3" customWidth="1"/>
    <col min="4" max="4" width="12.53125" style="3" customWidth="1"/>
    <col min="5" max="9" width="12.6640625" style="3" customWidth="1"/>
    <col min="10" max="10" width="5.6640625" style="3" customWidth="1"/>
    <col min="11" max="11" width="11.6640625" style="3" customWidth="1"/>
    <col min="12" max="16" width="12.6640625" style="3" customWidth="1"/>
    <col min="17" max="17" width="9.1328125" style="3" customWidth="1"/>
    <col min="18" max="18" width="13.53125" style="3" customWidth="1"/>
    <col min="19" max="23" width="12.6640625" style="3" customWidth="1"/>
    <col min="24" max="24" width="9.1328125" style="3" customWidth="1"/>
    <col min="25" max="25" width="14.3984375" style="3" customWidth="1"/>
    <col min="26" max="30" width="12.6640625" style="3" customWidth="1"/>
    <col min="31" max="32" width="11.6640625" style="3" customWidth="1"/>
    <col min="33" max="36" width="12.6640625" style="3" customWidth="1"/>
    <col min="37" max="37" width="13.6640625" style="3" bestFit="1" customWidth="1"/>
    <col min="38" max="38" width="14.19921875" style="594" bestFit="1" customWidth="1"/>
    <col min="39" max="39" width="18.19921875" style="3" customWidth="1"/>
    <col min="40" max="40" width="16.53125" style="3" customWidth="1"/>
    <col min="41" max="124" width="9.1328125" style="3" customWidth="1"/>
  </cols>
  <sheetData>
    <row r="1" spans="2:124" ht="22.5" x14ac:dyDescent="0.6">
      <c r="B1" s="8" t="str">
        <f>'P&amp;L'!B1</f>
        <v>Futureproof Financial Group Limited Financial Model (Most Likely Scenario)</v>
      </c>
    </row>
    <row r="2" spans="2:124" ht="15" x14ac:dyDescent="0.4">
      <c r="B2" s="10" t="s">
        <v>35</v>
      </c>
    </row>
    <row r="3" spans="2:124" ht="15" x14ac:dyDescent="0.4">
      <c r="B3" s="10"/>
      <c r="E3" s="84"/>
      <c r="F3" s="84"/>
      <c r="G3" s="84"/>
      <c r="H3" s="84"/>
      <c r="I3" s="84"/>
      <c r="L3" s="84"/>
      <c r="M3" s="84"/>
      <c r="N3" s="84"/>
      <c r="O3" s="84"/>
      <c r="P3" s="84"/>
      <c r="S3" s="84"/>
      <c r="T3" s="84"/>
      <c r="U3" s="84"/>
      <c r="V3" s="84"/>
      <c r="W3" s="84"/>
      <c r="Z3" s="84"/>
      <c r="AA3" s="84"/>
      <c r="AB3" s="84"/>
      <c r="AC3" s="84"/>
      <c r="AD3" s="84"/>
      <c r="AG3" s="84"/>
      <c r="AH3" s="84"/>
      <c r="AI3" s="84"/>
      <c r="AJ3" s="84"/>
      <c r="AK3" s="84"/>
    </row>
    <row r="4" spans="2:124" ht="15.4" thickBot="1" x14ac:dyDescent="0.45">
      <c r="B4" s="28"/>
      <c r="D4" s="638" t="s">
        <v>293</v>
      </c>
      <c r="E4" s="638" t="s">
        <v>293</v>
      </c>
      <c r="F4" s="638" t="s">
        <v>293</v>
      </c>
      <c r="G4" s="638" t="s">
        <v>293</v>
      </c>
      <c r="H4" s="638" t="s">
        <v>293</v>
      </c>
      <c r="I4" s="638" t="s">
        <v>293</v>
      </c>
      <c r="K4" s="73" t="s">
        <v>29</v>
      </c>
      <c r="L4" s="73" t="s">
        <v>29</v>
      </c>
      <c r="M4" s="73" t="s">
        <v>29</v>
      </c>
      <c r="N4" s="73" t="s">
        <v>29</v>
      </c>
      <c r="O4" s="73" t="s">
        <v>29</v>
      </c>
      <c r="P4" s="73" t="s">
        <v>29</v>
      </c>
      <c r="Q4" s="73"/>
      <c r="R4" s="73" t="s">
        <v>233</v>
      </c>
      <c r="S4" s="73" t="s">
        <v>233</v>
      </c>
      <c r="T4" s="73" t="s">
        <v>233</v>
      </c>
      <c r="U4" s="73" t="s">
        <v>233</v>
      </c>
      <c r="V4" s="73" t="s">
        <v>233</v>
      </c>
      <c r="W4" s="73" t="s">
        <v>233</v>
      </c>
      <c r="Y4" s="73" t="s">
        <v>84</v>
      </c>
      <c r="Z4" s="73" t="s">
        <v>84</v>
      </c>
      <c r="AA4" s="73" t="s">
        <v>84</v>
      </c>
      <c r="AB4" s="73" t="s">
        <v>84</v>
      </c>
      <c r="AC4" s="73" t="s">
        <v>84</v>
      </c>
      <c r="AD4" s="73" t="s">
        <v>84</v>
      </c>
      <c r="AF4" s="73" t="s">
        <v>0</v>
      </c>
      <c r="AG4" s="73" t="s">
        <v>0</v>
      </c>
      <c r="AH4" s="73" t="s">
        <v>0</v>
      </c>
      <c r="AI4" s="73" t="s">
        <v>0</v>
      </c>
      <c r="AJ4" s="73" t="s">
        <v>0</v>
      </c>
      <c r="AK4" s="73" t="s">
        <v>0</v>
      </c>
    </row>
    <row r="5" spans="2:124" ht="17.649999999999999" x14ac:dyDescent="0.5">
      <c r="B5" s="9"/>
      <c r="D5" s="35" t="str">
        <f>'P&amp;L'!C5</f>
        <v>Year 0</v>
      </c>
      <c r="E5" s="35" t="str">
        <f>'P&amp;L'!D5</f>
        <v>Year 1</v>
      </c>
      <c r="F5" s="35" t="str">
        <f>'P&amp;L'!E5</f>
        <v>Year 2</v>
      </c>
      <c r="G5" s="35" t="str">
        <f>'P&amp;L'!F5</f>
        <v>Year 3</v>
      </c>
      <c r="H5" s="35" t="str">
        <f>'P&amp;L'!G5</f>
        <v>Year 4</v>
      </c>
      <c r="I5" s="35" t="str">
        <f>'P&amp;L'!H5</f>
        <v>Year 5</v>
      </c>
      <c r="J5" s="72"/>
      <c r="K5" s="35" t="str">
        <f t="shared" ref="K5:P5" si="0">D5</f>
        <v>Year 0</v>
      </c>
      <c r="L5" s="35" t="str">
        <f t="shared" si="0"/>
        <v>Year 1</v>
      </c>
      <c r="M5" s="35" t="str">
        <f t="shared" si="0"/>
        <v>Year 2</v>
      </c>
      <c r="N5" s="35" t="str">
        <f t="shared" si="0"/>
        <v>Year 3</v>
      </c>
      <c r="O5" s="35" t="str">
        <f t="shared" si="0"/>
        <v>Year 4</v>
      </c>
      <c r="P5" s="35" t="str">
        <f t="shared" si="0"/>
        <v>Year 5</v>
      </c>
      <c r="Q5" s="35"/>
      <c r="R5" s="35" t="str">
        <f t="shared" ref="R5:W5" si="1">K5</f>
        <v>Year 0</v>
      </c>
      <c r="S5" s="35" t="str">
        <f t="shared" si="1"/>
        <v>Year 1</v>
      </c>
      <c r="T5" s="35" t="str">
        <f t="shared" si="1"/>
        <v>Year 2</v>
      </c>
      <c r="U5" s="35" t="str">
        <f t="shared" si="1"/>
        <v>Year 3</v>
      </c>
      <c r="V5" s="35" t="str">
        <f t="shared" si="1"/>
        <v>Year 4</v>
      </c>
      <c r="W5" s="35" t="str">
        <f t="shared" si="1"/>
        <v>Year 5</v>
      </c>
      <c r="X5" s="35"/>
      <c r="Y5" s="35" t="str">
        <f>R5</f>
        <v>Year 0</v>
      </c>
      <c r="Z5" s="35" t="str">
        <f t="shared" ref="Z5:AD5" si="2">S5</f>
        <v>Year 1</v>
      </c>
      <c r="AA5" s="35" t="str">
        <f t="shared" si="2"/>
        <v>Year 2</v>
      </c>
      <c r="AB5" s="35" t="str">
        <f t="shared" si="2"/>
        <v>Year 3</v>
      </c>
      <c r="AC5" s="35" t="str">
        <f t="shared" si="2"/>
        <v>Year 4</v>
      </c>
      <c r="AD5" s="35" t="str">
        <f t="shared" si="2"/>
        <v>Year 5</v>
      </c>
      <c r="AE5" s="35"/>
      <c r="AF5" s="35" t="str">
        <f t="shared" ref="AF5:AK5" si="3">Y5</f>
        <v>Year 0</v>
      </c>
      <c r="AG5" s="35" t="str">
        <f t="shared" si="3"/>
        <v>Year 1</v>
      </c>
      <c r="AH5" s="35" t="str">
        <f t="shared" si="3"/>
        <v>Year 2</v>
      </c>
      <c r="AI5" s="35" t="str">
        <f t="shared" si="3"/>
        <v>Year 3</v>
      </c>
      <c r="AJ5" s="35" t="str">
        <f t="shared" si="3"/>
        <v>Year 4</v>
      </c>
      <c r="AK5" s="35" t="str">
        <f t="shared" si="3"/>
        <v>Year 5</v>
      </c>
      <c r="AL5" s="59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</row>
    <row r="6" spans="2:124" ht="15" x14ac:dyDescent="0.4">
      <c r="B6" s="10" t="s">
        <v>55</v>
      </c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596" t="s">
        <v>133</v>
      </c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</row>
    <row r="7" spans="2:124" x14ac:dyDescent="0.35">
      <c r="B7" s="347" t="s">
        <v>287</v>
      </c>
      <c r="D7" s="80">
        <f>'FeeLic&amp;Roy'!E38</f>
        <v>1500000</v>
      </c>
      <c r="E7" s="80">
        <f>'FeeLic&amp;Roy'!F38</f>
        <v>3000000</v>
      </c>
      <c r="F7" s="80">
        <f>'FeeLic&amp;Roy'!G38</f>
        <v>3000000</v>
      </c>
      <c r="G7" s="80">
        <f>'FeeLic&amp;Roy'!H38</f>
        <v>3000000</v>
      </c>
      <c r="H7" s="80">
        <f>'FeeLic&amp;Roy'!I38</f>
        <v>3000000</v>
      </c>
      <c r="I7" s="80">
        <f>'FeeLic&amp;Roy'!J38</f>
        <v>1500000</v>
      </c>
      <c r="J7" s="4"/>
      <c r="K7" s="80">
        <f>'FeeLic&amp;Roy'!O38</f>
        <v>0</v>
      </c>
      <c r="L7" s="80">
        <f>'FeeLic&amp;Roy'!P38</f>
        <v>0</v>
      </c>
      <c r="M7" s="80">
        <f>'FeeLic&amp;Roy'!Q38</f>
        <v>0</v>
      </c>
      <c r="N7" s="80">
        <f>'FeeLic&amp;Roy'!R38</f>
        <v>0</v>
      </c>
      <c r="O7" s="80">
        <f>'FeeLic&amp;Roy'!S38</f>
        <v>0</v>
      </c>
      <c r="P7" s="80">
        <f>'FeeLic&amp;Roy'!T38</f>
        <v>2500000</v>
      </c>
      <c r="Q7" s="4"/>
      <c r="R7" s="80">
        <f>'FeeLic&amp;Roy'!Y38</f>
        <v>0</v>
      </c>
      <c r="S7" s="80">
        <f>'FeeLic&amp;Roy'!Z38</f>
        <v>1500000</v>
      </c>
      <c r="T7" s="80">
        <f>'FeeLic&amp;Roy'!AA38</f>
        <v>3000000</v>
      </c>
      <c r="U7" s="80">
        <f>'FeeLic&amp;Roy'!AB38</f>
        <v>6000000</v>
      </c>
      <c r="V7" s="80">
        <f>'FeeLic&amp;Roy'!AC38</f>
        <v>6000000</v>
      </c>
      <c r="W7" s="80">
        <f>'FeeLic&amp;Roy'!AD38</f>
        <v>7500000</v>
      </c>
      <c r="X7" s="4"/>
      <c r="Y7" s="80"/>
      <c r="Z7" s="80">
        <f>'FeeLic&amp;Roy'!AT38</f>
        <v>0</v>
      </c>
      <c r="AA7" s="80">
        <f>'FeeLic&amp;Roy'!AU38</f>
        <v>0</v>
      </c>
      <c r="AB7" s="80">
        <f>'FeeLic&amp;Roy'!AV38</f>
        <v>0</v>
      </c>
      <c r="AC7" s="80">
        <f>'FeeLic&amp;Roy'!AW38</f>
        <v>0</v>
      </c>
      <c r="AD7" s="80">
        <f>'FeeLic&amp;Roy'!AX38</f>
        <v>0</v>
      </c>
      <c r="AE7" s="4"/>
      <c r="AF7" s="80">
        <f t="shared" ref="AF7:AK8" si="4">D7+K7+R7+Y7</f>
        <v>1500000</v>
      </c>
      <c r="AG7" s="80">
        <f t="shared" si="4"/>
        <v>4500000</v>
      </c>
      <c r="AH7" s="80">
        <f t="shared" si="4"/>
        <v>6000000</v>
      </c>
      <c r="AI7" s="80">
        <f t="shared" si="4"/>
        <v>9000000</v>
      </c>
      <c r="AJ7" s="80">
        <f t="shared" si="4"/>
        <v>9000000</v>
      </c>
      <c r="AK7" s="80">
        <f t="shared" si="4"/>
        <v>11500000</v>
      </c>
      <c r="AL7" s="680" t="s">
        <v>323</v>
      </c>
      <c r="AM7" s="599"/>
      <c r="AN7" s="676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</row>
    <row r="8" spans="2:124" x14ac:dyDescent="0.35">
      <c r="B8" s="763" t="s">
        <v>288</v>
      </c>
      <c r="D8" s="80"/>
      <c r="E8" s="80">
        <f>'FeeLic&amp;Roy'!F36</f>
        <v>4487759.5395437991</v>
      </c>
      <c r="F8" s="80">
        <f>'FeeLic&amp;Roy'!G36</f>
        <v>21534709.86996372</v>
      </c>
      <c r="G8" s="80">
        <f>'FeeLic&amp;Roy'!H36</f>
        <v>55744567.597527087</v>
      </c>
      <c r="H8" s="80">
        <f>'FeeLic&amp;Roy'!I36</f>
        <v>109219080.18546133</v>
      </c>
      <c r="I8" s="80">
        <f>'FeeLic&amp;Roy'!J36</f>
        <v>184192978.64005509</v>
      </c>
      <c r="J8" s="4"/>
      <c r="K8" s="764"/>
      <c r="L8" s="764">
        <f>'FeeLic&amp;Roy'!P36</f>
        <v>0</v>
      </c>
      <c r="M8" s="764">
        <f>'FeeLic&amp;Roy'!Q36</f>
        <v>0</v>
      </c>
      <c r="N8" s="80">
        <f>'FeeLic&amp;Roy'!R36</f>
        <v>0</v>
      </c>
      <c r="O8" s="764">
        <f>'FeeLic&amp;Roy'!S36</f>
        <v>0</v>
      </c>
      <c r="P8" s="764">
        <f>'FeeLic&amp;Roy'!T36</f>
        <v>0</v>
      </c>
      <c r="Q8" s="4"/>
      <c r="R8" s="764"/>
      <c r="S8" s="764">
        <f>'FeeLic&amp;Roy'!Z36</f>
        <v>0</v>
      </c>
      <c r="T8" s="764">
        <f>'FeeLic&amp;Roy'!AA36</f>
        <v>2804849.7122148746</v>
      </c>
      <c r="U8" s="764">
        <f>'FeeLic&amp;Roy'!AB36</f>
        <v>13459193.668727327</v>
      </c>
      <c r="V8" s="764">
        <f>'FeeLic&amp;Roy'!AC36</f>
        <v>40450054.172884181</v>
      </c>
      <c r="W8" s="764">
        <f>'FeeLic&amp;Roy'!AD36</f>
        <v>89570613.028938264</v>
      </c>
      <c r="X8" s="4"/>
      <c r="Y8" s="764"/>
      <c r="Z8" s="764">
        <f>'FeeLic&amp;Roy'!AT40</f>
        <v>0</v>
      </c>
      <c r="AA8" s="764">
        <f>'FeeLic&amp;Roy'!AU40</f>
        <v>0</v>
      </c>
      <c r="AB8" s="764">
        <f>'FeeLic&amp;Roy'!AV40</f>
        <v>0</v>
      </c>
      <c r="AC8" s="764">
        <f>'FeeLic&amp;Roy'!AW40</f>
        <v>0</v>
      </c>
      <c r="AD8" s="764">
        <f>'FeeLic&amp;Roy'!AX40</f>
        <v>0</v>
      </c>
      <c r="AE8" s="4"/>
      <c r="AF8" s="764">
        <f t="shared" si="4"/>
        <v>0</v>
      </c>
      <c r="AG8" s="764">
        <f t="shared" si="4"/>
        <v>4487759.5395437991</v>
      </c>
      <c r="AH8" s="764">
        <f t="shared" si="4"/>
        <v>24339559.582178596</v>
      </c>
      <c r="AI8" s="764">
        <f t="shared" si="4"/>
        <v>69203761.26625441</v>
      </c>
      <c r="AJ8" s="80">
        <f t="shared" si="4"/>
        <v>149669134.35834551</v>
      </c>
      <c r="AK8" s="764">
        <f t="shared" si="4"/>
        <v>273763591.66899335</v>
      </c>
      <c r="AL8" s="680" t="b">
        <f>SUM(AF8:AK8)=SUM('FeeLic&amp;Roy'!F36:J36)+SUM('FeeLic&amp;Roy'!O36:T36)+SUM('FeeLic&amp;Roy'!Z36:AD36)</f>
        <v>1</v>
      </c>
      <c r="AM8" s="599"/>
      <c r="AN8" s="676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</row>
    <row r="9" spans="2:124" x14ac:dyDescent="0.35">
      <c r="B9" s="635" t="s">
        <v>330</v>
      </c>
      <c r="D9" s="764"/>
      <c r="E9" s="764"/>
      <c r="F9" s="764"/>
      <c r="G9" s="764"/>
      <c r="H9" s="764"/>
      <c r="I9" s="803">
        <f>(1800805/6)*2100</f>
        <v>630281750</v>
      </c>
      <c r="J9" s="4"/>
      <c r="K9" s="764"/>
      <c r="L9" s="764"/>
      <c r="M9" s="764"/>
      <c r="N9" s="761"/>
      <c r="O9" s="764"/>
      <c r="P9" s="764"/>
      <c r="Q9" s="4"/>
      <c r="R9" s="764"/>
      <c r="S9" s="764"/>
      <c r="T9" s="764"/>
      <c r="U9" s="764"/>
      <c r="V9" s="764"/>
      <c r="W9" s="764"/>
      <c r="X9" s="4"/>
      <c r="Y9" s="764"/>
      <c r="Z9" s="764"/>
      <c r="AA9" s="764"/>
      <c r="AB9" s="764"/>
      <c r="AC9" s="764"/>
      <c r="AD9" s="764"/>
      <c r="AE9" s="4"/>
      <c r="AF9" s="764">
        <f t="shared" ref="AF9" si="5">D9+K9+R9+Y9</f>
        <v>0</v>
      </c>
      <c r="AG9" s="764">
        <f t="shared" ref="AG9:AG11" si="6">E9+L9+S9+Z9</f>
        <v>0</v>
      </c>
      <c r="AH9" s="764">
        <f t="shared" ref="AH9:AH11" si="7">F9+M9+T9+AA9</f>
        <v>0</v>
      </c>
      <c r="AI9" s="764">
        <f t="shared" ref="AI9:AI11" si="8">G9+N9+U9+AB9</f>
        <v>0</v>
      </c>
      <c r="AJ9" s="764">
        <f t="shared" ref="AJ9:AJ11" si="9">H9+O9+V9+AC9</f>
        <v>0</v>
      </c>
      <c r="AK9" s="764">
        <f t="shared" ref="AK9:AK11" si="10">I9+P9+W9+AD9</f>
        <v>630281750</v>
      </c>
      <c r="AL9" s="680"/>
      <c r="AM9" s="599"/>
      <c r="AN9" s="676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</row>
    <row r="10" spans="2:124" x14ac:dyDescent="0.35">
      <c r="B10" s="635" t="s">
        <v>329</v>
      </c>
      <c r="D10" s="327">
        <f>(100000000*1)*0.75%*0.2</f>
        <v>150000</v>
      </c>
      <c r="E10" s="80">
        <f>(100000000*3)*0.75%*0.2</f>
        <v>450000</v>
      </c>
      <c r="F10" s="80">
        <f>(200000000*5)*0.75%*0.2</f>
        <v>1500000</v>
      </c>
      <c r="G10" s="80">
        <f>(200000000*7)*0.75%*0.2</f>
        <v>2100000</v>
      </c>
      <c r="H10" s="80">
        <f>(100000000*9)*0.75%*0.2</f>
        <v>1350000</v>
      </c>
      <c r="I10" s="80">
        <f>(100000000*9)*0.75%*0.2</f>
        <v>1350000</v>
      </c>
      <c r="J10" s="4"/>
      <c r="K10" s="80"/>
      <c r="L10" s="80"/>
      <c r="M10" s="80"/>
      <c r="N10" s="80"/>
      <c r="O10" s="789"/>
      <c r="P10" s="80"/>
      <c r="Q10" s="4"/>
      <c r="R10" s="80"/>
      <c r="S10" s="80"/>
      <c r="T10" s="80">
        <f>(100000000*1)*0.75%*0.2</f>
        <v>150000</v>
      </c>
      <c r="U10" s="80">
        <f>(100000000*3)*0.75%*0.2</f>
        <v>450000</v>
      </c>
      <c r="V10" s="80">
        <f>(100000000*7)*0.75%*0.2</f>
        <v>1050000</v>
      </c>
      <c r="W10" s="80">
        <f>(100000000*11)*0.75%*0.2</f>
        <v>1650000</v>
      </c>
      <c r="X10" s="4"/>
      <c r="Y10" s="80"/>
      <c r="Z10" s="80"/>
      <c r="AA10" s="80"/>
      <c r="AB10" s="80"/>
      <c r="AC10" s="80"/>
      <c r="AD10" s="80"/>
      <c r="AE10" s="4"/>
      <c r="AF10" s="80">
        <f>(D10+K10+R10+Y10)</f>
        <v>150000</v>
      </c>
      <c r="AG10" s="80">
        <f t="shared" ref="AG10:AJ10" si="11">(E10+L10+S10+Z10)</f>
        <v>450000</v>
      </c>
      <c r="AH10" s="80">
        <f t="shared" si="11"/>
        <v>1650000</v>
      </c>
      <c r="AI10" s="80">
        <f t="shared" si="11"/>
        <v>2550000</v>
      </c>
      <c r="AJ10" s="80">
        <f t="shared" si="11"/>
        <v>2400000</v>
      </c>
      <c r="AK10" s="80">
        <f t="shared" si="10"/>
        <v>3000000</v>
      </c>
      <c r="AL10" s="680"/>
      <c r="AM10" s="599"/>
      <c r="AN10" s="676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</row>
    <row r="11" spans="2:124" ht="13.15" thickBot="1" x14ac:dyDescent="0.4">
      <c r="B11" s="635" t="s">
        <v>324</v>
      </c>
      <c r="D11" s="761"/>
      <c r="E11" s="761"/>
      <c r="F11" s="761"/>
      <c r="G11" s="761"/>
      <c r="H11" s="761"/>
      <c r="I11" s="761"/>
      <c r="J11" s="4"/>
      <c r="K11" s="761"/>
      <c r="L11" s="761"/>
      <c r="M11" s="761"/>
      <c r="N11" s="788"/>
      <c r="O11" s="762"/>
      <c r="P11" s="788"/>
      <c r="Q11" s="4"/>
      <c r="R11" s="796"/>
      <c r="S11" s="788"/>
      <c r="T11" s="788"/>
      <c r="U11" s="788"/>
      <c r="V11" s="788"/>
      <c r="W11" s="788"/>
      <c r="X11" s="4"/>
      <c r="Y11" s="788">
        <f>'Cash Movement + Fund Injection'!D13</f>
        <v>0</v>
      </c>
      <c r="Z11" s="788">
        <f>'Cash Movement + Fund Injection'!E13</f>
        <v>226330.54399999999</v>
      </c>
      <c r="AA11" s="788">
        <f>'Cash Movement + Fund Injection'!F13</f>
        <v>537048.93953268346</v>
      </c>
      <c r="AB11" s="788">
        <f>'Cash Movement + Fund Injection'!G13</f>
        <v>1041882.0976557235</v>
      </c>
      <c r="AC11" s="788">
        <f>'Cash Movement + Fund Injection'!H13</f>
        <v>7170377.760125258</v>
      </c>
      <c r="AD11" s="788">
        <f>'Cash Movement + Fund Injection'!I13</f>
        <v>12223717.813864231</v>
      </c>
      <c r="AE11" s="4"/>
      <c r="AF11" s="761">
        <f>(D11+K11+R11+Y11)</f>
        <v>0</v>
      </c>
      <c r="AG11" s="761">
        <f t="shared" si="6"/>
        <v>226330.54399999999</v>
      </c>
      <c r="AH11" s="761">
        <f t="shared" si="7"/>
        <v>537048.93953268346</v>
      </c>
      <c r="AI11" s="761">
        <f t="shared" si="8"/>
        <v>1041882.0976557235</v>
      </c>
      <c r="AJ11" s="788">
        <f t="shared" si="9"/>
        <v>7170377.760125258</v>
      </c>
      <c r="AK11" s="761">
        <f t="shared" si="10"/>
        <v>12223717.813864231</v>
      </c>
      <c r="AL11" s="680" t="b">
        <f>SUM(AF11:AK11)=SUM('Cash Movement + Fund Injection'!K13)</f>
        <v>1</v>
      </c>
      <c r="AM11" s="599"/>
      <c r="AN11" s="676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</row>
    <row r="12" spans="2:124" ht="13.5" thickBot="1" x14ac:dyDescent="0.45">
      <c r="B12" s="765" t="s">
        <v>14</v>
      </c>
      <c r="D12" s="75">
        <f t="shared" ref="D12:I12" si="12">SUM(D7:D11)</f>
        <v>1650000</v>
      </c>
      <c r="E12" s="75">
        <f t="shared" si="12"/>
        <v>7937759.5395437991</v>
      </c>
      <c r="F12" s="75">
        <f t="shared" si="12"/>
        <v>26034709.86996372</v>
      </c>
      <c r="G12" s="75">
        <f t="shared" si="12"/>
        <v>60844567.597527087</v>
      </c>
      <c r="H12" s="75">
        <f t="shared" si="12"/>
        <v>113569080.18546133</v>
      </c>
      <c r="I12" s="75">
        <f t="shared" si="12"/>
        <v>817324728.64005506</v>
      </c>
      <c r="K12" s="75">
        <f t="shared" ref="K12:P12" si="13">SUM(K7:K11)</f>
        <v>0</v>
      </c>
      <c r="L12" s="75">
        <f t="shared" si="13"/>
        <v>0</v>
      </c>
      <c r="M12" s="75">
        <f t="shared" si="13"/>
        <v>0</v>
      </c>
      <c r="N12" s="75">
        <f t="shared" si="13"/>
        <v>0</v>
      </c>
      <c r="O12" s="75">
        <f t="shared" si="13"/>
        <v>0</v>
      </c>
      <c r="P12" s="75">
        <f t="shared" si="13"/>
        <v>2500000</v>
      </c>
      <c r="R12" s="766">
        <f t="shared" ref="R12:W12" si="14">SUM(R7:R11)</f>
        <v>0</v>
      </c>
      <c r="S12" s="766">
        <f t="shared" si="14"/>
        <v>1500000</v>
      </c>
      <c r="T12" s="766">
        <f t="shared" si="14"/>
        <v>5954849.7122148741</v>
      </c>
      <c r="U12" s="766">
        <f t="shared" si="14"/>
        <v>19909193.668727327</v>
      </c>
      <c r="V12" s="766">
        <f t="shared" si="14"/>
        <v>47500054.172884181</v>
      </c>
      <c r="W12" s="766">
        <f t="shared" si="14"/>
        <v>98720613.028938264</v>
      </c>
      <c r="Y12" s="766">
        <f t="shared" ref="Y12:AD12" si="15">SUM(Y7:Y11)</f>
        <v>0</v>
      </c>
      <c r="Z12" s="766">
        <f t="shared" si="15"/>
        <v>226330.54399999999</v>
      </c>
      <c r="AA12" s="766">
        <f t="shared" si="15"/>
        <v>537048.93953268346</v>
      </c>
      <c r="AB12" s="766">
        <f t="shared" si="15"/>
        <v>1041882.0976557235</v>
      </c>
      <c r="AC12" s="766">
        <f t="shared" si="15"/>
        <v>7170377.760125258</v>
      </c>
      <c r="AD12" s="766">
        <f t="shared" si="15"/>
        <v>12223717.813864231</v>
      </c>
      <c r="AF12" s="75">
        <f t="shared" ref="AF12:AK12" si="16">SUM(AF7:AF11)</f>
        <v>1650000</v>
      </c>
      <c r="AG12" s="75">
        <f t="shared" si="16"/>
        <v>9664090.0835437998</v>
      </c>
      <c r="AH12" s="75">
        <f t="shared" si="16"/>
        <v>32526608.521711279</v>
      </c>
      <c r="AI12" s="75">
        <f t="shared" si="16"/>
        <v>81795643.363910139</v>
      </c>
      <c r="AJ12" s="75">
        <f t="shared" si="16"/>
        <v>168239512.11847076</v>
      </c>
      <c r="AK12" s="75">
        <f t="shared" si="16"/>
        <v>930769059.48285758</v>
      </c>
      <c r="AL12" s="592" t="b">
        <f>SUM(AF12:AK12)=SUM(D12:I12)+SUM(K12:P12)+SUM(R12:W12)+SUM(Y12:AD12)</f>
        <v>1</v>
      </c>
    </row>
    <row r="13" spans="2:124" s="502" customFormat="1" x14ac:dyDescent="0.35">
      <c r="B13" s="790" t="s">
        <v>86</v>
      </c>
      <c r="C13" s="791"/>
      <c r="D13" s="797"/>
      <c r="E13" s="797">
        <v>1.5</v>
      </c>
      <c r="F13" s="797">
        <v>5</v>
      </c>
      <c r="G13" s="797">
        <v>9</v>
      </c>
      <c r="H13" s="797">
        <v>9</v>
      </c>
      <c r="I13" s="797">
        <v>9</v>
      </c>
      <c r="J13" s="798"/>
      <c r="K13" s="797">
        <f>HR!F97</f>
        <v>0</v>
      </c>
      <c r="L13" s="797">
        <f>HR!G97</f>
        <v>0</v>
      </c>
      <c r="M13" s="797">
        <f>HR!H97</f>
        <v>0</v>
      </c>
      <c r="N13" s="797">
        <f>HR!I97</f>
        <v>0</v>
      </c>
      <c r="O13" s="797">
        <f>HR!J97</f>
        <v>0</v>
      </c>
      <c r="P13" s="797">
        <f>HR!K97</f>
        <v>0</v>
      </c>
      <c r="Q13" s="798"/>
      <c r="R13" s="797">
        <f>HR!F95</f>
        <v>0</v>
      </c>
      <c r="S13" s="797">
        <f>HR!G95</f>
        <v>0</v>
      </c>
      <c r="T13" s="797">
        <f>HR!H95</f>
        <v>4.5</v>
      </c>
      <c r="U13" s="797">
        <f>HR!I95</f>
        <v>8</v>
      </c>
      <c r="V13" s="797">
        <f>HR!J95</f>
        <v>13</v>
      </c>
      <c r="W13" s="797">
        <f>HR!K95</f>
        <v>13</v>
      </c>
      <c r="X13" s="798"/>
      <c r="Y13" s="797">
        <f>HR!F94</f>
        <v>9.5</v>
      </c>
      <c r="Z13" s="797">
        <f>HR!G94</f>
        <v>13.5</v>
      </c>
      <c r="AA13" s="797">
        <f>HR!H94</f>
        <v>15.5</v>
      </c>
      <c r="AB13" s="797">
        <f>HR!I94</f>
        <v>16</v>
      </c>
      <c r="AC13" s="797">
        <f>HR!J94</f>
        <v>16</v>
      </c>
      <c r="AD13" s="797">
        <f>HR!K94</f>
        <v>16</v>
      </c>
      <c r="AE13" s="798"/>
      <c r="AF13" s="797">
        <f>D13+K13+R13+Y13</f>
        <v>9.5</v>
      </c>
      <c r="AG13" s="797">
        <f t="shared" ref="AG13:AK13" si="17">E13+L13+S13+Z13</f>
        <v>15</v>
      </c>
      <c r="AH13" s="797">
        <f t="shared" si="17"/>
        <v>25</v>
      </c>
      <c r="AI13" s="797">
        <f t="shared" si="17"/>
        <v>33</v>
      </c>
      <c r="AJ13" s="797">
        <f t="shared" si="17"/>
        <v>38</v>
      </c>
      <c r="AK13" s="797">
        <f t="shared" si="17"/>
        <v>38</v>
      </c>
      <c r="AL13" s="792"/>
      <c r="AM13" s="791"/>
      <c r="AN13" s="791"/>
      <c r="AO13" s="791"/>
      <c r="AP13" s="791"/>
      <c r="AQ13" s="791"/>
      <c r="AR13" s="791"/>
      <c r="AS13" s="791"/>
      <c r="AT13" s="791"/>
      <c r="AU13" s="791"/>
      <c r="AV13" s="791"/>
      <c r="AW13" s="791"/>
      <c r="AX13" s="791"/>
      <c r="AY13" s="791"/>
      <c r="AZ13" s="791"/>
      <c r="BA13" s="791"/>
      <c r="BB13" s="791"/>
      <c r="BC13" s="791"/>
      <c r="BD13" s="791"/>
      <c r="BE13" s="791"/>
      <c r="BF13" s="791"/>
      <c r="BG13" s="791"/>
      <c r="BH13" s="791"/>
      <c r="BI13" s="791"/>
      <c r="BJ13" s="791"/>
      <c r="BK13" s="791"/>
      <c r="BL13" s="791"/>
      <c r="BM13" s="791"/>
      <c r="BN13" s="791"/>
      <c r="BO13" s="791"/>
      <c r="BP13" s="791"/>
      <c r="BQ13" s="791"/>
      <c r="BR13" s="791"/>
      <c r="BS13" s="791"/>
      <c r="BT13" s="791"/>
      <c r="BU13" s="791"/>
      <c r="BV13" s="791"/>
      <c r="BW13" s="791"/>
      <c r="BX13" s="791"/>
      <c r="BY13" s="791"/>
      <c r="BZ13" s="791"/>
      <c r="CA13" s="791"/>
      <c r="CB13" s="791"/>
      <c r="CC13" s="791"/>
      <c r="CD13" s="791"/>
      <c r="CE13" s="791"/>
      <c r="CF13" s="791"/>
      <c r="CG13" s="791"/>
      <c r="CH13" s="791"/>
      <c r="CI13" s="791"/>
      <c r="CJ13" s="791"/>
      <c r="CK13" s="791"/>
      <c r="CL13" s="791"/>
      <c r="CM13" s="791"/>
      <c r="CN13" s="791"/>
      <c r="CO13" s="791"/>
      <c r="CP13" s="791"/>
      <c r="CQ13" s="791"/>
      <c r="CR13" s="791"/>
      <c r="CS13" s="791"/>
      <c r="CT13" s="791"/>
      <c r="CU13" s="791"/>
      <c r="CV13" s="791"/>
      <c r="CW13" s="791"/>
      <c r="CX13" s="791"/>
      <c r="CY13" s="791"/>
      <c r="CZ13" s="791"/>
      <c r="DA13" s="791"/>
      <c r="DB13" s="791"/>
      <c r="DC13" s="791"/>
      <c r="DD13" s="791"/>
      <c r="DE13" s="791"/>
      <c r="DF13" s="791"/>
      <c r="DG13" s="791"/>
      <c r="DH13" s="791"/>
      <c r="DI13" s="791"/>
      <c r="DJ13" s="791"/>
      <c r="DK13" s="791"/>
      <c r="DL13" s="791"/>
      <c r="DM13" s="791"/>
      <c r="DN13" s="791"/>
      <c r="DO13" s="791"/>
      <c r="DP13" s="791"/>
      <c r="DQ13" s="791"/>
      <c r="DR13" s="791"/>
      <c r="DS13" s="791"/>
      <c r="DT13" s="791"/>
    </row>
    <row r="14" spans="2:124" ht="15" x14ac:dyDescent="0.4">
      <c r="B14" s="10" t="s">
        <v>13</v>
      </c>
      <c r="D14" s="76"/>
      <c r="E14" s="76"/>
      <c r="F14" s="76"/>
      <c r="G14" s="76"/>
      <c r="H14" s="76"/>
      <c r="I14" s="76"/>
      <c r="K14" s="76"/>
      <c r="L14" s="76"/>
      <c r="M14" s="76"/>
      <c r="N14" s="76"/>
      <c r="O14" s="76"/>
      <c r="P14" s="76"/>
      <c r="R14" s="76"/>
      <c r="S14" s="76"/>
      <c r="T14" s="76"/>
      <c r="U14" s="76"/>
      <c r="V14" s="76"/>
      <c r="W14" s="76"/>
      <c r="Y14" s="76"/>
      <c r="Z14" s="76"/>
      <c r="AA14" s="76"/>
      <c r="AB14" s="76"/>
      <c r="AC14" s="76"/>
      <c r="AD14" s="76"/>
      <c r="AF14" s="76"/>
      <c r="AG14" s="76"/>
      <c r="AH14" s="76"/>
      <c r="AI14" s="76"/>
      <c r="AJ14" s="76"/>
      <c r="AK14" s="76"/>
      <c r="AL14" s="597"/>
    </row>
    <row r="15" spans="2:124" outlineLevel="1" x14ac:dyDescent="0.35">
      <c r="B15" s="12" t="s">
        <v>15</v>
      </c>
      <c r="D15" s="77">
        <f>HR!F152</f>
        <v>0</v>
      </c>
      <c r="E15" s="77">
        <f>HR!G152</f>
        <v>721600</v>
      </c>
      <c r="F15" s="77">
        <f>HR!H152</f>
        <v>1383200</v>
      </c>
      <c r="G15" s="77">
        <f>HR!I152</f>
        <v>2732400</v>
      </c>
      <c r="H15" s="77">
        <f>HR!J152</f>
        <v>2833600.0000000005</v>
      </c>
      <c r="I15" s="77">
        <f>HR!K152</f>
        <v>2934800</v>
      </c>
      <c r="K15" s="77">
        <f>HR!F153</f>
        <v>0</v>
      </c>
      <c r="L15" s="77">
        <f>HR!G153</f>
        <v>0</v>
      </c>
      <c r="M15" s="77">
        <f>HR!H153</f>
        <v>0</v>
      </c>
      <c r="N15" s="77">
        <f>HR!I153</f>
        <v>0</v>
      </c>
      <c r="O15" s="77">
        <f>HR!J153</f>
        <v>0</v>
      </c>
      <c r="P15" s="77">
        <f>HR!K153</f>
        <v>0</v>
      </c>
      <c r="R15" s="77">
        <f>HR!F151</f>
        <v>0</v>
      </c>
      <c r="S15" s="77">
        <f>HR!G151</f>
        <v>0</v>
      </c>
      <c r="T15" s="77">
        <f>HR!H151</f>
        <v>1175200</v>
      </c>
      <c r="U15" s="77">
        <f>HR!I151</f>
        <v>2408400</v>
      </c>
      <c r="V15" s="77">
        <f>HR!J151</f>
        <v>4177600.0000000005</v>
      </c>
      <c r="W15" s="77">
        <f>HR!K151</f>
        <v>4326800</v>
      </c>
      <c r="Y15" s="77">
        <f>HR!F150</f>
        <v>702000</v>
      </c>
      <c r="Z15" s="77">
        <f>HR!G150</f>
        <v>4176400</v>
      </c>
      <c r="AA15" s="77">
        <f>HR!H150</f>
        <v>5093400</v>
      </c>
      <c r="AB15" s="77">
        <f>HR!I150</f>
        <v>5559300</v>
      </c>
      <c r="AC15" s="77">
        <f>HR!J150</f>
        <v>5765200</v>
      </c>
      <c r="AD15" s="77">
        <f>HR!K150</f>
        <v>5971100</v>
      </c>
      <c r="AF15" s="77">
        <f t="shared" ref="AF15:AK15" si="18">D15+K15+R15+Y15</f>
        <v>702000</v>
      </c>
      <c r="AG15" s="77">
        <f t="shared" si="18"/>
        <v>4898000</v>
      </c>
      <c r="AH15" s="77">
        <f t="shared" si="18"/>
        <v>7651800</v>
      </c>
      <c r="AI15" s="77">
        <f t="shared" si="18"/>
        <v>10700100</v>
      </c>
      <c r="AJ15" s="77">
        <f t="shared" si="18"/>
        <v>12776400</v>
      </c>
      <c r="AK15" s="77">
        <f t="shared" si="18"/>
        <v>13232700</v>
      </c>
      <c r="AL15" s="592" t="b">
        <f>SUM(AF15:AK15)=SUM(HR!F157:K157)</f>
        <v>1</v>
      </c>
    </row>
    <row r="16" spans="2:124" ht="13.15" x14ac:dyDescent="0.4">
      <c r="B16" s="11" t="s">
        <v>2</v>
      </c>
      <c r="D16" s="74">
        <f t="shared" ref="D16:I16" si="19">SUM(D15:D15)</f>
        <v>0</v>
      </c>
      <c r="E16" s="74">
        <f t="shared" si="19"/>
        <v>721600</v>
      </c>
      <c r="F16" s="74">
        <f t="shared" si="19"/>
        <v>1383200</v>
      </c>
      <c r="G16" s="74">
        <f t="shared" si="19"/>
        <v>2732400</v>
      </c>
      <c r="H16" s="74">
        <f t="shared" si="19"/>
        <v>2833600.0000000005</v>
      </c>
      <c r="I16" s="74">
        <f t="shared" si="19"/>
        <v>2934800</v>
      </c>
      <c r="K16" s="74">
        <f t="shared" ref="K16" si="20">SUM(K15:K15)</f>
        <v>0</v>
      </c>
      <c r="L16" s="74">
        <f t="shared" ref="L16:P16" si="21">SUM(L15:L15)</f>
        <v>0</v>
      </c>
      <c r="M16" s="74">
        <f t="shared" si="21"/>
        <v>0</v>
      </c>
      <c r="N16" s="74">
        <f t="shared" si="21"/>
        <v>0</v>
      </c>
      <c r="O16" s="74">
        <f t="shared" si="21"/>
        <v>0</v>
      </c>
      <c r="P16" s="74">
        <f t="shared" si="21"/>
        <v>0</v>
      </c>
      <c r="R16" s="74">
        <f t="shared" ref="R16" si="22">SUM(R15:R15)</f>
        <v>0</v>
      </c>
      <c r="S16" s="74">
        <f t="shared" ref="S16:W16" si="23">SUM(S15:S15)</f>
        <v>0</v>
      </c>
      <c r="T16" s="74">
        <f t="shared" si="23"/>
        <v>1175200</v>
      </c>
      <c r="U16" s="74">
        <f t="shared" si="23"/>
        <v>2408400</v>
      </c>
      <c r="V16" s="74">
        <f t="shared" si="23"/>
        <v>4177600.0000000005</v>
      </c>
      <c r="W16" s="74">
        <f t="shared" si="23"/>
        <v>4326800</v>
      </c>
      <c r="Y16" s="74">
        <f t="shared" ref="Y16" si="24">SUM(Y15:Y15)</f>
        <v>702000</v>
      </c>
      <c r="Z16" s="74">
        <f t="shared" ref="Z16:AD16" si="25">SUM(Z15:Z15)</f>
        <v>4176400</v>
      </c>
      <c r="AA16" s="74">
        <f t="shared" si="25"/>
        <v>5093400</v>
      </c>
      <c r="AB16" s="74">
        <f t="shared" si="25"/>
        <v>5559300</v>
      </c>
      <c r="AC16" s="74">
        <f t="shared" si="25"/>
        <v>5765200</v>
      </c>
      <c r="AD16" s="74">
        <f t="shared" si="25"/>
        <v>5971100</v>
      </c>
      <c r="AF16" s="74">
        <f t="shared" ref="AF16" si="26">SUM(AF15:AF15)</f>
        <v>702000</v>
      </c>
      <c r="AG16" s="74">
        <f t="shared" ref="AG16:AK16" si="27">SUM(AG15:AG15)</f>
        <v>4898000</v>
      </c>
      <c r="AH16" s="74">
        <f t="shared" si="27"/>
        <v>7651800</v>
      </c>
      <c r="AI16" s="74">
        <f t="shared" si="27"/>
        <v>10700100</v>
      </c>
      <c r="AJ16" s="74">
        <f t="shared" si="27"/>
        <v>12776400</v>
      </c>
      <c r="AK16" s="74">
        <f t="shared" si="27"/>
        <v>13232700</v>
      </c>
      <c r="AL16" s="592" t="b">
        <f>SUM(D16:I16,K16:P16,R16:W16,Y16:AD16)=SUM(AF16:AK16)</f>
        <v>1</v>
      </c>
    </row>
    <row r="17" spans="1:124" s="87" customFormat="1" outlineLevel="1" x14ac:dyDescent="0.35">
      <c r="A17"/>
      <c r="B17" s="85"/>
      <c r="C17" s="27"/>
      <c r="D17" s="86"/>
      <c r="E17" s="86"/>
      <c r="F17" s="86"/>
      <c r="G17" s="86"/>
      <c r="H17" s="86"/>
      <c r="I17" s="86"/>
      <c r="J17" s="27"/>
      <c r="K17" s="86"/>
      <c r="L17" s="86"/>
      <c r="M17" s="86"/>
      <c r="N17" s="86"/>
      <c r="O17" s="86"/>
      <c r="P17" s="86"/>
      <c r="Q17" s="27"/>
      <c r="R17" s="86"/>
      <c r="S17" s="86"/>
      <c r="T17" s="86"/>
      <c r="U17" s="86"/>
      <c r="V17" s="86"/>
      <c r="W17" s="86"/>
      <c r="X17" s="27"/>
      <c r="Y17" s="86"/>
      <c r="Z17" s="86"/>
      <c r="AA17" s="86"/>
      <c r="AB17" s="86"/>
      <c r="AC17" s="86"/>
      <c r="AD17" s="86"/>
      <c r="AE17" s="27"/>
      <c r="AF17" s="86"/>
      <c r="AG17" s="86"/>
      <c r="AH17" s="86"/>
      <c r="AI17" s="86"/>
      <c r="AJ17" s="86"/>
      <c r="AK17" s="86"/>
      <c r="AL17" s="598"/>
      <c r="AM17" s="27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7"/>
      <c r="BP17" s="27"/>
      <c r="BQ17" s="27"/>
      <c r="BR17" s="27"/>
      <c r="BS17" s="27"/>
      <c r="BT17" s="27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7"/>
      <c r="CJ17" s="27"/>
      <c r="CK17" s="27"/>
      <c r="CL17" s="27"/>
      <c r="CM17" s="27"/>
      <c r="CN17" s="27"/>
      <c r="CO17" s="27"/>
      <c r="CP17" s="27"/>
      <c r="CQ17" s="27"/>
      <c r="CR17" s="27"/>
      <c r="CS17" s="27"/>
      <c r="CT17" s="27"/>
      <c r="CU17" s="27"/>
      <c r="CV17" s="27"/>
      <c r="CW17" s="27"/>
      <c r="CX17" s="27"/>
      <c r="CY17" s="27"/>
      <c r="CZ17" s="27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7"/>
      <c r="DL17" s="27"/>
      <c r="DM17" s="27"/>
      <c r="DN17" s="27"/>
      <c r="DO17" s="27"/>
      <c r="DP17" s="27"/>
      <c r="DQ17" s="27"/>
      <c r="DR17" s="27"/>
      <c r="DS17" s="27"/>
      <c r="DT17" s="27"/>
    </row>
    <row r="18" spans="1:124" outlineLevel="1" x14ac:dyDescent="0.35">
      <c r="B18" s="227" t="s">
        <v>317</v>
      </c>
      <c r="D18" s="68"/>
      <c r="E18" s="68">
        <f>'FeeLic&amp;Roy'!F46</f>
        <v>189000</v>
      </c>
      <c r="F18" s="68">
        <f>'FeeLic&amp;Roy'!G46</f>
        <v>189000</v>
      </c>
      <c r="G18" s="68">
        <f>'FeeLic&amp;Roy'!H46</f>
        <v>198000.00000000003</v>
      </c>
      <c r="H18" s="68">
        <f>'FeeLic&amp;Roy'!I46</f>
        <v>206999.99999999997</v>
      </c>
      <c r="I18" s="68">
        <f>'FeeLic&amp;Roy'!J46</f>
        <v>108000</v>
      </c>
      <c r="K18" s="68">
        <f>'FeeLic&amp;Roy'!O46</f>
        <v>0</v>
      </c>
      <c r="L18" s="68">
        <f>'FeeLic&amp;Roy'!P46</f>
        <v>0</v>
      </c>
      <c r="M18" s="68">
        <f>'FeeLic&amp;Roy'!Q46</f>
        <v>0</v>
      </c>
      <c r="N18" s="68">
        <f>'FeeLic&amp;Roy'!R46</f>
        <v>0</v>
      </c>
      <c r="O18" s="68">
        <f>'FeeLic&amp;Roy'!S46</f>
        <v>0</v>
      </c>
      <c r="P18" s="68">
        <f>'FeeLic&amp;Roy'!T46</f>
        <v>216000</v>
      </c>
      <c r="R18" s="68">
        <f>'FeeLic&amp;Roy'!Y46</f>
        <v>0</v>
      </c>
      <c r="S18" s="68">
        <f>'FeeLic&amp;Roy'!Z46</f>
        <v>94500</v>
      </c>
      <c r="T18" s="68">
        <f>'FeeLic&amp;Roy'!AA46</f>
        <v>189000</v>
      </c>
      <c r="U18" s="68">
        <f>'FeeLic&amp;Roy'!AB46</f>
        <v>396000.00000000006</v>
      </c>
      <c r="V18" s="68">
        <f>'FeeLic&amp;Roy'!AC46</f>
        <v>413999.99999999994</v>
      </c>
      <c r="W18" s="68">
        <f>'FeeLic&amp;Roy'!AD46</f>
        <v>540000</v>
      </c>
      <c r="Y18" s="68"/>
      <c r="Z18" s="68">
        <f>'FeeLic&amp;Roy'!AT46</f>
        <v>0</v>
      </c>
      <c r="AA18" s="68">
        <f>'FeeLic&amp;Roy'!AU46</f>
        <v>0</v>
      </c>
      <c r="AB18" s="68">
        <f>'FeeLic&amp;Roy'!AV46</f>
        <v>0</v>
      </c>
      <c r="AC18" s="68">
        <f>'FeeLic&amp;Roy'!AW46</f>
        <v>0</v>
      </c>
      <c r="AD18" s="68">
        <f>'FeeLic&amp;Roy'!AX46</f>
        <v>0</v>
      </c>
      <c r="AF18" s="77">
        <f t="shared" ref="AF18:AK19" si="28">D18+K18+R18+Y18</f>
        <v>0</v>
      </c>
      <c r="AG18" s="77">
        <f t="shared" si="28"/>
        <v>283500</v>
      </c>
      <c r="AH18" s="77">
        <f t="shared" si="28"/>
        <v>378000</v>
      </c>
      <c r="AI18" s="77">
        <f t="shared" si="28"/>
        <v>594000.00000000012</v>
      </c>
      <c r="AJ18" s="77">
        <f t="shared" si="28"/>
        <v>620999.99999999988</v>
      </c>
      <c r="AK18" s="77">
        <f t="shared" si="28"/>
        <v>864000</v>
      </c>
      <c r="AL18" s="760" t="b">
        <f>SUM(AF18:AK18)=SUM(D18:I18,K18:P18,R18:W18,Y18:AD18)</f>
        <v>1</v>
      </c>
      <c r="AN18" s="759"/>
    </row>
    <row r="19" spans="1:124" outlineLevel="1" x14ac:dyDescent="0.35">
      <c r="B19" s="12" t="s">
        <v>66</v>
      </c>
      <c r="D19" s="89"/>
      <c r="E19" s="89"/>
      <c r="F19" s="89"/>
      <c r="G19" s="89"/>
      <c r="H19" s="89"/>
      <c r="I19" s="252"/>
      <c r="K19" s="89"/>
      <c r="L19" s="89"/>
      <c r="M19" s="89"/>
      <c r="N19" s="89"/>
      <c r="O19" s="89"/>
      <c r="P19" s="252"/>
      <c r="R19" s="89"/>
      <c r="S19" s="89"/>
      <c r="T19" s="89"/>
      <c r="U19" s="89"/>
      <c r="V19" s="89"/>
      <c r="W19" s="252"/>
      <c r="Y19" s="68">
        <f>Assumptions!D89</f>
        <v>200000</v>
      </c>
      <c r="Z19" s="68">
        <f>Assumptions!E89</f>
        <v>724806.75626578496</v>
      </c>
      <c r="AA19" s="68">
        <f>Assumptions!F89</f>
        <v>2439495.639128346</v>
      </c>
      <c r="AB19" s="68">
        <f>Assumptions!G89</f>
        <v>4089782.168195507</v>
      </c>
      <c r="AC19" s="68">
        <f>Assumptions!H89</f>
        <v>8411975.605923539</v>
      </c>
      <c r="AD19" s="281">
        <f>Assumptions!I89</f>
        <v>23269226.48707144</v>
      </c>
      <c r="AF19" s="77">
        <f t="shared" si="28"/>
        <v>200000</v>
      </c>
      <c r="AG19" s="77">
        <f t="shared" si="28"/>
        <v>724806.75626578496</v>
      </c>
      <c r="AH19" s="77">
        <f t="shared" si="28"/>
        <v>2439495.639128346</v>
      </c>
      <c r="AI19" s="77">
        <f t="shared" si="28"/>
        <v>4089782.168195507</v>
      </c>
      <c r="AJ19" s="77">
        <f t="shared" si="28"/>
        <v>8411975.605923539</v>
      </c>
      <c r="AK19" s="745">
        <f t="shared" si="28"/>
        <v>23269226.48707144</v>
      </c>
      <c r="AL19" s="620"/>
    </row>
    <row r="20" spans="1:124" outlineLevel="1" x14ac:dyDescent="0.35">
      <c r="B20" s="227" t="s">
        <v>291</v>
      </c>
      <c r="D20" s="89"/>
      <c r="E20" s="281">
        <f>((HQ_Trip_Per_Person*E13)*(1+exp_index))*0.3</f>
        <v>14175</v>
      </c>
      <c r="F20" s="281">
        <f>((HQ_Trip_Per_Person*F13)*(1+exp_index*1))*0.3</f>
        <v>47250</v>
      </c>
      <c r="G20" s="281">
        <f>((HQ_Trip_Per_Person*G13)*(1+exp_index*2))*0.3</f>
        <v>89100</v>
      </c>
      <c r="H20" s="281">
        <f>((HQ_Trip_Per_Person*H13)*(1+exp_index*3))*0.3</f>
        <v>93150</v>
      </c>
      <c r="I20" s="281">
        <f>((HQ_Trip_Per_Person*I13)*(1+exp_index*4))*0.3</f>
        <v>97200</v>
      </c>
      <c r="K20" s="89"/>
      <c r="L20" s="281">
        <f>((HQ_Trip_Per_Person*$L$13)*(1+exp_index))*0.3</f>
        <v>0</v>
      </c>
      <c r="M20" s="281">
        <f>((HQ_Trip_Per_Person*$M$13)*(1+exp_index*1))*0.3</f>
        <v>0</v>
      </c>
      <c r="N20" s="281">
        <f>((HQ_Trip_Per_Person*$N$13)*(1+exp_index*2))*0.3</f>
        <v>0</v>
      </c>
      <c r="O20" s="281">
        <f>((HQ_Trip_Per_Person*$O$13)*(1+exp_index*3))*0.3</f>
        <v>0</v>
      </c>
      <c r="P20" s="281">
        <f>((HQ_Trip_Per_Person*$P$13)*(1+exp_index*4))*0.3</f>
        <v>0</v>
      </c>
      <c r="R20" s="89"/>
      <c r="S20" s="281">
        <f>((HQ_Trip_Per_Person*$S$13)*(1+exp_index))*0.3</f>
        <v>0</v>
      </c>
      <c r="T20" s="281">
        <f>((HQ_Trip_Per_Person*$T$13)*(1+exp_index*1))*0.3</f>
        <v>42525</v>
      </c>
      <c r="U20" s="281">
        <f>((HQ_Trip_Per_Person*$U$13)*(1+exp_index*2))*0.3</f>
        <v>79200</v>
      </c>
      <c r="V20" s="281">
        <f>((HQ_Trip_Per_Person*$V$13)*(1+exp_index*3))*0.3</f>
        <v>134549.99999999997</v>
      </c>
      <c r="W20" s="281">
        <f>((HQ_Trip_Per_Person*$W$13)*(1+exp_index*4))*0.3</f>
        <v>140400</v>
      </c>
      <c r="Y20" s="693">
        <v>0</v>
      </c>
      <c r="Z20" s="281">
        <f>((HQ_Trip_Per_Person*$Z$13)*(1+exp_index))*0.3</f>
        <v>127575</v>
      </c>
      <c r="AA20" s="281">
        <f>((HQ_Trip_Per_Person*$AA$13)*(1+exp_index*2))*0.3</f>
        <v>153450</v>
      </c>
      <c r="AB20" s="281">
        <f>((HQ_Trip_Per_Person*$AB$13)*(1+exp_index*3))*0.3</f>
        <v>165600</v>
      </c>
      <c r="AC20" s="281">
        <f>((HQ_Trip_Per_Person*$AC$13)*(1+exp_index*4))*0.3</f>
        <v>172800</v>
      </c>
      <c r="AD20" s="281">
        <f>((HQ_Trip_Per_Person*$AD$13)*(1+exp_index*5))*0.3</f>
        <v>180000</v>
      </c>
      <c r="AF20" s="77">
        <f t="shared" ref="AF20" si="29">D20+K20+R20+Y20</f>
        <v>0</v>
      </c>
      <c r="AG20" s="77">
        <f t="shared" ref="AG20" si="30">E20+L20+S20+Z20</f>
        <v>141750</v>
      </c>
      <c r="AH20" s="77">
        <f t="shared" ref="AH20" si="31">F20+M20+T20+AA20</f>
        <v>243225</v>
      </c>
      <c r="AI20" s="77">
        <f t="shared" ref="AI20" si="32">G20+N20+U20+AB20</f>
        <v>333900</v>
      </c>
      <c r="AJ20" s="77">
        <f t="shared" ref="AJ20" si="33">H20+O20+V20+AC20</f>
        <v>400500</v>
      </c>
      <c r="AK20" s="745">
        <f t="shared" ref="AK20" si="34">I20+P20+W20+AD20</f>
        <v>417600</v>
      </c>
      <c r="AL20" s="620"/>
    </row>
    <row r="21" spans="1:124" ht="13.15" x14ac:dyDescent="0.4">
      <c r="B21" s="11" t="s">
        <v>33</v>
      </c>
      <c r="D21" s="74">
        <f>SUM(D18:D20)</f>
        <v>0</v>
      </c>
      <c r="E21" s="74">
        <f t="shared" ref="E21:I21" si="35">SUM(E18:E20)</f>
        <v>203175</v>
      </c>
      <c r="F21" s="74">
        <f t="shared" si="35"/>
        <v>236250</v>
      </c>
      <c r="G21" s="74">
        <f t="shared" si="35"/>
        <v>287100</v>
      </c>
      <c r="H21" s="74">
        <f t="shared" si="35"/>
        <v>300150</v>
      </c>
      <c r="I21" s="74">
        <f t="shared" si="35"/>
        <v>205200</v>
      </c>
      <c r="K21" s="74">
        <f>SUM(K18:K20)</f>
        <v>0</v>
      </c>
      <c r="L21" s="74">
        <f t="shared" ref="L21" si="36">SUM(L18:L20)</f>
        <v>0</v>
      </c>
      <c r="M21" s="74">
        <f t="shared" ref="M21" si="37">SUM(M18:M20)</f>
        <v>0</v>
      </c>
      <c r="N21" s="74">
        <f t="shared" ref="N21" si="38">SUM(N18:N20)</f>
        <v>0</v>
      </c>
      <c r="O21" s="74">
        <f t="shared" ref="O21" si="39">SUM(O18:O20)</f>
        <v>0</v>
      </c>
      <c r="P21" s="74">
        <f t="shared" ref="P21" si="40">SUM(P18:P20)</f>
        <v>216000</v>
      </c>
      <c r="R21" s="74">
        <f>SUM(R18:R20)</f>
        <v>0</v>
      </c>
      <c r="S21" s="74">
        <f t="shared" ref="S21" si="41">SUM(S18:S20)</f>
        <v>94500</v>
      </c>
      <c r="T21" s="74">
        <f t="shared" ref="T21" si="42">SUM(T18:T20)</f>
        <v>231525</v>
      </c>
      <c r="U21" s="74">
        <f t="shared" ref="U21" si="43">SUM(U18:U20)</f>
        <v>475200.00000000006</v>
      </c>
      <c r="V21" s="74">
        <f t="shared" ref="V21" si="44">SUM(V18:V20)</f>
        <v>548549.99999999988</v>
      </c>
      <c r="W21" s="74">
        <f t="shared" ref="W21" si="45">SUM(W18:W20)</f>
        <v>680400</v>
      </c>
      <c r="Y21" s="74">
        <f>SUM(Y18:Y20)</f>
        <v>200000</v>
      </c>
      <c r="Z21" s="74">
        <f t="shared" ref="Z21" si="46">SUM(Z18:Z20)</f>
        <v>852381.75626578496</v>
      </c>
      <c r="AA21" s="74">
        <f t="shared" ref="AA21" si="47">SUM(AA18:AA20)</f>
        <v>2592945.639128346</v>
      </c>
      <c r="AB21" s="74">
        <f t="shared" ref="AB21" si="48">SUM(AB18:AB20)</f>
        <v>4255382.1681955066</v>
      </c>
      <c r="AC21" s="74">
        <f t="shared" ref="AC21" si="49">SUM(AC18:AC20)</f>
        <v>8584775.605923539</v>
      </c>
      <c r="AD21" s="74">
        <f t="shared" ref="AD21" si="50">SUM(AD18:AD20)</f>
        <v>23449226.48707144</v>
      </c>
      <c r="AF21" s="74">
        <f>SUM(AF18:AF20)</f>
        <v>200000</v>
      </c>
      <c r="AG21" s="74">
        <f t="shared" ref="AG21:AJ21" si="51">SUM(AG18:AG20)</f>
        <v>1150056.7562657851</v>
      </c>
      <c r="AH21" s="74">
        <f t="shared" si="51"/>
        <v>3060720.639128346</v>
      </c>
      <c r="AI21" s="74">
        <f t="shared" si="51"/>
        <v>5017682.1681955075</v>
      </c>
      <c r="AJ21" s="74">
        <f t="shared" si="51"/>
        <v>9433475.605923539</v>
      </c>
      <c r="AK21" s="74">
        <f>SUM(AK18:AK20)</f>
        <v>24550826.48707144</v>
      </c>
      <c r="AL21" s="592" t="b">
        <f>SUM(AF21:AK21)=SUM(D21:I21,K21:P21,R21:W21,Y21:AD21)</f>
        <v>1</v>
      </c>
      <c r="AM21" s="599"/>
      <c r="AN21" s="599"/>
    </row>
    <row r="22" spans="1:124" s="87" customFormat="1" outlineLevel="1" x14ac:dyDescent="0.35">
      <c r="A22"/>
      <c r="B22" s="85"/>
      <c r="C22" s="27"/>
      <c r="D22" s="86"/>
      <c r="E22" s="86"/>
      <c r="F22" s="86"/>
      <c r="G22" s="86"/>
      <c r="H22" s="86"/>
      <c r="I22" s="86"/>
      <c r="J22" s="27"/>
      <c r="K22" s="86"/>
      <c r="L22" s="86"/>
      <c r="M22" s="86"/>
      <c r="N22" s="86"/>
      <c r="O22" s="86"/>
      <c r="P22" s="86"/>
      <c r="Q22" s="27"/>
      <c r="R22" s="86"/>
      <c r="S22" s="86"/>
      <c r="T22" s="86"/>
      <c r="U22" s="86"/>
      <c r="V22" s="86"/>
      <c r="W22" s="86"/>
      <c r="X22" s="27"/>
      <c r="Y22" s="86"/>
      <c r="Z22" s="86"/>
      <c r="AA22" s="86"/>
      <c r="AB22" s="86"/>
      <c r="AC22" s="86"/>
      <c r="AD22" s="86"/>
      <c r="AE22" s="27"/>
      <c r="AF22" s="86"/>
      <c r="AG22" s="86"/>
      <c r="AH22" s="86"/>
      <c r="AI22" s="86"/>
      <c r="AJ22" s="86"/>
      <c r="AK22" s="86"/>
      <c r="AL22" s="593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BM22" s="27"/>
      <c r="BN22" s="27"/>
      <c r="BO22" s="27"/>
      <c r="BP22" s="27"/>
      <c r="BQ22" s="27"/>
      <c r="BR22" s="27"/>
      <c r="BS22" s="27"/>
      <c r="BT22" s="27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7"/>
      <c r="CJ22" s="27"/>
      <c r="CK22" s="27"/>
      <c r="CL22" s="27"/>
      <c r="CM22" s="27"/>
      <c r="CN22" s="27"/>
      <c r="CO22" s="27"/>
      <c r="CP22" s="27"/>
      <c r="CQ22" s="27"/>
      <c r="CR22" s="27"/>
      <c r="CS22" s="27"/>
      <c r="CT22" s="27"/>
      <c r="CU22" s="27"/>
      <c r="CV22" s="27"/>
      <c r="CW22" s="27"/>
      <c r="CX22" s="27"/>
      <c r="CY22" s="27"/>
      <c r="CZ22" s="27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7"/>
      <c r="DL22" s="27"/>
      <c r="DM22" s="27"/>
      <c r="DN22" s="27"/>
      <c r="DO22" s="27"/>
      <c r="DP22" s="27"/>
      <c r="DQ22" s="27"/>
      <c r="DR22" s="27"/>
      <c r="DS22" s="27"/>
      <c r="DT22" s="27"/>
    </row>
    <row r="23" spans="1:124" outlineLevel="1" x14ac:dyDescent="0.35">
      <c r="B23" s="12" t="s">
        <v>235</v>
      </c>
      <c r="D23" s="68">
        <f>(PC_Annual*(1+exp_index))*D13</f>
        <v>0</v>
      </c>
      <c r="E23" s="68">
        <f>(PC_Annual*(1+exp_index))*E13</f>
        <v>6300</v>
      </c>
      <c r="F23" s="68">
        <f>(PC_Annual*(1+exp_index*2))*F13</f>
        <v>22000</v>
      </c>
      <c r="G23" s="68">
        <f>(PC_Annual*(1+exp_index*3))*G13</f>
        <v>41400</v>
      </c>
      <c r="H23" s="68">
        <f>(PC_Annual*(1+exp_index*4))*H13</f>
        <v>43200</v>
      </c>
      <c r="I23" s="68">
        <f>(PC_Annual*(1+exp_index*5))*I13</f>
        <v>45000</v>
      </c>
      <c r="K23" s="68"/>
      <c r="L23" s="68">
        <f>(PC_Annual*(1+exp_index))*L13</f>
        <v>0</v>
      </c>
      <c r="M23" s="68">
        <f>(PC_Annual*(1+exp_index*2))*M13</f>
        <v>0</v>
      </c>
      <c r="N23" s="68">
        <f>(PC_Annual*(1+exp_index*3))*N13</f>
        <v>0</v>
      </c>
      <c r="O23" s="68">
        <f>(PC_Annual*(1+exp_index*4))*O13</f>
        <v>0</v>
      </c>
      <c r="P23" s="68">
        <f>(PC_Annual*(1+exp_index*5))*P13</f>
        <v>0</v>
      </c>
      <c r="R23" s="68"/>
      <c r="S23" s="68">
        <f>(PC_Annual*(1+exp_index))*S13</f>
        <v>0</v>
      </c>
      <c r="T23" s="68">
        <f>(PC_Annual*(1+exp_index*2))*T13</f>
        <v>19800</v>
      </c>
      <c r="U23" s="68">
        <f>(PC_Annual*(1+exp_index*3))*U13</f>
        <v>36800</v>
      </c>
      <c r="V23" s="68">
        <f>(PC_Annual*(1+exp_index*4))*V13</f>
        <v>62400</v>
      </c>
      <c r="W23" s="68">
        <f>(PC_Annual*(1+exp_index*5))*W13</f>
        <v>65000</v>
      </c>
      <c r="Y23" s="693">
        <f>100000</f>
        <v>100000</v>
      </c>
      <c r="Z23" s="68">
        <f>(PC_Annual*(1+exp_index))*Z13</f>
        <v>56700</v>
      </c>
      <c r="AA23" s="68">
        <f>(PC_Annual*(1+exp_index*2))*AA13</f>
        <v>68200</v>
      </c>
      <c r="AB23" s="68">
        <f>(PC_Annual*(1+exp_index*3))*AB13</f>
        <v>73600</v>
      </c>
      <c r="AC23" s="68">
        <f>(PC_Annual*(1+exp_index*4))*AC13</f>
        <v>76800</v>
      </c>
      <c r="AD23" s="68">
        <f>(PC_Annual*(1+exp_index*5))*AD13</f>
        <v>80000</v>
      </c>
      <c r="AF23" s="77">
        <f t="shared" ref="AF23:AK23" si="52">D23+K23+R23+Y23</f>
        <v>100000</v>
      </c>
      <c r="AG23" s="77">
        <f t="shared" si="52"/>
        <v>63000</v>
      </c>
      <c r="AH23" s="77">
        <f t="shared" si="52"/>
        <v>110000</v>
      </c>
      <c r="AI23" s="77">
        <f t="shared" si="52"/>
        <v>151800</v>
      </c>
      <c r="AJ23" s="77">
        <f t="shared" si="52"/>
        <v>182400</v>
      </c>
      <c r="AK23" s="77">
        <f t="shared" si="52"/>
        <v>190000</v>
      </c>
    </row>
    <row r="24" spans="1:124" ht="13.15" x14ac:dyDescent="0.4">
      <c r="B24" s="11" t="s">
        <v>12</v>
      </c>
      <c r="D24" s="74">
        <f>SUM(D23:D23)</f>
        <v>0</v>
      </c>
      <c r="E24" s="74">
        <f>SUM(E23:E23)</f>
        <v>6300</v>
      </c>
      <c r="F24" s="74">
        <f t="shared" ref="F24:I24" si="53">SUM(F23:F23)</f>
        <v>22000</v>
      </c>
      <c r="G24" s="74">
        <f t="shared" si="53"/>
        <v>41400</v>
      </c>
      <c r="H24" s="74">
        <f t="shared" si="53"/>
        <v>43200</v>
      </c>
      <c r="I24" s="74">
        <f t="shared" si="53"/>
        <v>45000</v>
      </c>
      <c r="K24" s="74">
        <f t="shared" ref="K24" si="54">SUM(K23:K23)</f>
        <v>0</v>
      </c>
      <c r="L24" s="74">
        <f t="shared" ref="L24:P24" si="55">SUM(L23:L23)</f>
        <v>0</v>
      </c>
      <c r="M24" s="74">
        <f t="shared" si="55"/>
        <v>0</v>
      </c>
      <c r="N24" s="74">
        <f t="shared" si="55"/>
        <v>0</v>
      </c>
      <c r="O24" s="74">
        <f t="shared" si="55"/>
        <v>0</v>
      </c>
      <c r="P24" s="74">
        <f t="shared" si="55"/>
        <v>0</v>
      </c>
      <c r="R24" s="74">
        <f t="shared" ref="R24" si="56">SUM(R23:R23)</f>
        <v>0</v>
      </c>
      <c r="S24" s="74">
        <f t="shared" ref="S24:W24" si="57">SUM(S23:S23)</f>
        <v>0</v>
      </c>
      <c r="T24" s="74">
        <f t="shared" si="57"/>
        <v>19800</v>
      </c>
      <c r="U24" s="74">
        <f t="shared" si="57"/>
        <v>36800</v>
      </c>
      <c r="V24" s="74">
        <f t="shared" si="57"/>
        <v>62400</v>
      </c>
      <c r="W24" s="74">
        <f t="shared" si="57"/>
        <v>65000</v>
      </c>
      <c r="Y24" s="74">
        <f t="shared" ref="Y24" si="58">SUM(Y23:Y23)</f>
        <v>100000</v>
      </c>
      <c r="Z24" s="74">
        <f t="shared" ref="Z24:AD24" si="59">SUM(Z23:Z23)</f>
        <v>56700</v>
      </c>
      <c r="AA24" s="74">
        <f t="shared" si="59"/>
        <v>68200</v>
      </c>
      <c r="AB24" s="74">
        <f t="shared" si="59"/>
        <v>73600</v>
      </c>
      <c r="AC24" s="74">
        <f t="shared" si="59"/>
        <v>76800</v>
      </c>
      <c r="AD24" s="74">
        <f t="shared" si="59"/>
        <v>80000</v>
      </c>
      <c r="AF24" s="74">
        <f t="shared" ref="AF24" si="60">SUM(AF23:AF23)</f>
        <v>100000</v>
      </c>
      <c r="AG24" s="74">
        <f t="shared" ref="AG24:AK24" si="61">SUM(AG23:AG23)</f>
        <v>63000</v>
      </c>
      <c r="AH24" s="74">
        <f t="shared" si="61"/>
        <v>110000</v>
      </c>
      <c r="AI24" s="74">
        <f t="shared" si="61"/>
        <v>151800</v>
      </c>
      <c r="AJ24" s="74">
        <f t="shared" si="61"/>
        <v>182400</v>
      </c>
      <c r="AK24" s="74">
        <f t="shared" si="61"/>
        <v>190000</v>
      </c>
      <c r="AL24" s="592" t="b">
        <f>SUM(D24:I24,K24:P24,R24:W24,Y24:AD24)=SUM(AF24:AK24)</f>
        <v>1</v>
      </c>
    </row>
    <row r="25" spans="1:124" s="87" customFormat="1" outlineLevel="1" x14ac:dyDescent="0.35">
      <c r="A25"/>
      <c r="B25" s="85"/>
      <c r="C25" s="27"/>
      <c r="D25" s="86"/>
      <c r="E25" s="86"/>
      <c r="F25" s="86"/>
      <c r="G25" s="86"/>
      <c r="H25" s="86"/>
      <c r="I25" s="86"/>
      <c r="J25" s="27"/>
      <c r="K25" s="86"/>
      <c r="L25" s="86"/>
      <c r="M25" s="86"/>
      <c r="N25" s="86"/>
      <c r="O25" s="86"/>
      <c r="P25" s="86"/>
      <c r="Q25" s="27"/>
      <c r="R25" s="86"/>
      <c r="S25" s="86"/>
      <c r="T25" s="86"/>
      <c r="U25" s="86"/>
      <c r="V25" s="86"/>
      <c r="W25" s="86"/>
      <c r="X25" s="27"/>
      <c r="Y25" s="86"/>
      <c r="Z25" s="86"/>
      <c r="AA25" s="86"/>
      <c r="AB25" s="86"/>
      <c r="AC25" s="86"/>
      <c r="AD25" s="86"/>
      <c r="AE25" s="27"/>
      <c r="AF25" s="86"/>
      <c r="AG25" s="86"/>
      <c r="AH25" s="86"/>
      <c r="AI25" s="86"/>
      <c r="AJ25" s="86"/>
      <c r="AK25" s="86"/>
      <c r="AL25" s="593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  <c r="BS25" s="27"/>
      <c r="BT25" s="27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7"/>
      <c r="CJ25" s="27"/>
      <c r="CK25" s="27"/>
      <c r="CL25" s="27"/>
      <c r="CM25" s="27"/>
      <c r="CN25" s="27"/>
      <c r="CO25" s="27"/>
      <c r="CP25" s="27"/>
      <c r="CQ25" s="27"/>
      <c r="CR25" s="27"/>
      <c r="CS25" s="27"/>
      <c r="CT25" s="27"/>
      <c r="CU25" s="27"/>
      <c r="CV25" s="27"/>
      <c r="CW25" s="27"/>
      <c r="CX25" s="27"/>
      <c r="CY25" s="27"/>
      <c r="CZ25" s="27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7"/>
      <c r="DL25" s="27"/>
      <c r="DM25" s="27"/>
      <c r="DN25" s="27"/>
      <c r="DO25" s="27"/>
      <c r="DP25" s="27"/>
      <c r="DQ25" s="27"/>
      <c r="DR25" s="27"/>
      <c r="DS25" s="27"/>
      <c r="DT25" s="27"/>
    </row>
    <row r="26" spans="1:124" outlineLevel="1" x14ac:dyDescent="0.35">
      <c r="B26" s="227" t="s">
        <v>290</v>
      </c>
      <c r="D26" s="68"/>
      <c r="E26" s="68">
        <f>((Rent_Monthly*12)*E13)*(1+exp_index)</f>
        <v>37800</v>
      </c>
      <c r="F26" s="68">
        <f>((Rent_Monthly*12)*F13)*(1+exp_index*2)</f>
        <v>132000</v>
      </c>
      <c r="G26" s="68">
        <f>((Rent_Monthly*12)*G13)*(1+exp_index*3)</f>
        <v>248399.99999999997</v>
      </c>
      <c r="H26" s="68">
        <f>((Rent_Monthly*12)*H13)*(1+exp_index*4)</f>
        <v>259200</v>
      </c>
      <c r="I26" s="68">
        <f>((Rent_Monthly*12)*I13)*(1+exp_index*5)</f>
        <v>270000</v>
      </c>
      <c r="J26" s="145"/>
      <c r="K26" s="68"/>
      <c r="L26" s="68">
        <f>((Rent_Monthly*12)*L13)*(1+exp_index)</f>
        <v>0</v>
      </c>
      <c r="M26" s="68">
        <f>((Rent_Monthly*12)*M13)*(1+exp_index*2)</f>
        <v>0</v>
      </c>
      <c r="N26" s="68">
        <f>((Rent_Monthly*12)*N13)*(1+exp_index*3)</f>
        <v>0</v>
      </c>
      <c r="O26" s="68">
        <f>((Rent_Monthly*12)*O13)*(1+exp_index*4)</f>
        <v>0</v>
      </c>
      <c r="P26" s="68">
        <f>((Rent_Monthly*12)*P13)*(1+exp_index*5)</f>
        <v>0</v>
      </c>
      <c r="Q26" s="145"/>
      <c r="R26" s="68"/>
      <c r="S26" s="68">
        <f>((Rent_Monthly*12)*S13)*(1+exp_index)</f>
        <v>0</v>
      </c>
      <c r="T26" s="68">
        <f>((Rent_Monthly*12)*T13)*(1+exp_index*2)</f>
        <v>118800.00000000001</v>
      </c>
      <c r="U26" s="68">
        <f>((Rent_Monthly*12)*U13)*(1+exp_index*3)</f>
        <v>220799.99999999997</v>
      </c>
      <c r="V26" s="68">
        <f>((Rent_Monthly*12)*V13)*(1+exp_index*4)</f>
        <v>374400</v>
      </c>
      <c r="W26" s="68">
        <f>((Rent_Monthly*12)*W13)*(1+exp_index*5)</f>
        <v>390000</v>
      </c>
      <c r="X26" s="145"/>
      <c r="Y26" s="693">
        <v>306000</v>
      </c>
      <c r="Z26" s="68">
        <f>((Rent_Monthly*12)*Z13)*(1+exp_index)</f>
        <v>340200</v>
      </c>
      <c r="AA26" s="68">
        <f>((Rent_Monthly*12)*AA13)*(1+exp_index*2)</f>
        <v>409200.00000000006</v>
      </c>
      <c r="AB26" s="68">
        <f>((Rent_Monthly*12)*AB13)*(1+exp_index*3)</f>
        <v>441599.99999999994</v>
      </c>
      <c r="AC26" s="68">
        <f>((Rent_Monthly*12)*AC13)*(1+exp_index*4)</f>
        <v>460800</v>
      </c>
      <c r="AD26" s="68">
        <f>((Rent_Monthly*12)*AD13)*(1+exp_index*5)</f>
        <v>480000</v>
      </c>
      <c r="AF26" s="77">
        <f t="shared" ref="AF26:AK26" si="62">D26+K26+R26+Y26</f>
        <v>306000</v>
      </c>
      <c r="AG26" s="77">
        <f t="shared" si="62"/>
        <v>378000</v>
      </c>
      <c r="AH26" s="77">
        <f t="shared" si="62"/>
        <v>660000</v>
      </c>
      <c r="AI26" s="77">
        <f t="shared" si="62"/>
        <v>910799.99999999988</v>
      </c>
      <c r="AJ26" s="77">
        <f t="shared" si="62"/>
        <v>1094400</v>
      </c>
      <c r="AK26" s="77">
        <f t="shared" si="62"/>
        <v>1140000</v>
      </c>
    </row>
    <row r="27" spans="1:124" outlineLevel="1" x14ac:dyDescent="0.35">
      <c r="B27" s="12" t="s">
        <v>3</v>
      </c>
      <c r="D27" s="68"/>
      <c r="E27" s="68">
        <f>(Print_Annual*(1+exp_index))*E13</f>
        <v>787.5</v>
      </c>
      <c r="F27" s="68">
        <f>(Print_Annual*(1+exp_index*2))*F13</f>
        <v>2750</v>
      </c>
      <c r="G27" s="68">
        <f>(Print_Annual*(1+exp_index*3))*G13</f>
        <v>5175</v>
      </c>
      <c r="H27" s="68">
        <f>(Print_Annual*(1+exp_index*4))*H13</f>
        <v>5400</v>
      </c>
      <c r="I27" s="68">
        <f>(Print_Annual*(1+exp_index*5))*I13</f>
        <v>5625</v>
      </c>
      <c r="K27" s="68"/>
      <c r="L27" s="68">
        <f>(Print_Annual*(1+exp_index))*L13</f>
        <v>0</v>
      </c>
      <c r="M27" s="68">
        <f>(Print_Annual*(1+exp_index*2))*M13</f>
        <v>0</v>
      </c>
      <c r="N27" s="68">
        <f>(Print_Annual*(1+exp_index*3))*N13</f>
        <v>0</v>
      </c>
      <c r="O27" s="68">
        <f>(Print_Annual*(1+exp_index*4))*O13</f>
        <v>0</v>
      </c>
      <c r="P27" s="68">
        <f>(Print_Annual*(1+exp_index*5))*P13</f>
        <v>0</v>
      </c>
      <c r="R27" s="68"/>
      <c r="S27" s="68">
        <f>(Print_Annual*(1+exp_index))*S13</f>
        <v>0</v>
      </c>
      <c r="T27" s="68">
        <f>(Print_Annual*(1+exp_index*2))*T13</f>
        <v>2475</v>
      </c>
      <c r="U27" s="68">
        <f>(Print_Annual*(1+exp_index*3))*U13</f>
        <v>4600</v>
      </c>
      <c r="V27" s="68">
        <f>(Print_Annual*(1+exp_index*4))*V13</f>
        <v>7800</v>
      </c>
      <c r="W27" s="68">
        <f>(Print_Annual*(1+exp_index*5))*W13</f>
        <v>8125</v>
      </c>
      <c r="Y27" s="693">
        <v>5000</v>
      </c>
      <c r="Z27" s="68">
        <f>(Print_Annual*(1+exp_index))*Z13</f>
        <v>7087.5</v>
      </c>
      <c r="AA27" s="68">
        <f>(Print_Annual*(1+exp_index*2))*AA13</f>
        <v>8525</v>
      </c>
      <c r="AB27" s="68">
        <f>(Print_Annual*(1+exp_index*3))*AB13</f>
        <v>9200</v>
      </c>
      <c r="AC27" s="68">
        <f>(Print_Annual*(1+exp_index*4))*AC13</f>
        <v>9600</v>
      </c>
      <c r="AD27" s="68">
        <f>(Print_Annual*(1+exp_index*5))*AD13</f>
        <v>10000</v>
      </c>
      <c r="AF27" s="77">
        <f t="shared" ref="AF27:AG36" si="63">D27+K27+R27+Y27</f>
        <v>5000</v>
      </c>
      <c r="AG27" s="77">
        <f t="shared" si="63"/>
        <v>7875</v>
      </c>
      <c r="AH27" s="77">
        <f t="shared" ref="AH27:AH36" si="64">F27+M27+T27+AA27</f>
        <v>13750</v>
      </c>
      <c r="AI27" s="77">
        <f t="shared" ref="AI27:AI36" si="65">G27+N27+U27+AB27</f>
        <v>18975</v>
      </c>
      <c r="AJ27" s="77">
        <f t="shared" ref="AJ27:AJ36" si="66">H27+O27+V27+AC27</f>
        <v>22800</v>
      </c>
      <c r="AK27" s="77">
        <f t="shared" ref="AK27:AK36" si="67">I27+P27+W27+AD27</f>
        <v>23750</v>
      </c>
    </row>
    <row r="28" spans="1:124" outlineLevel="1" x14ac:dyDescent="0.35">
      <c r="B28" s="12" t="s">
        <v>4</v>
      </c>
      <c r="D28" s="68"/>
      <c r="E28" s="68">
        <f>(TelCom_Annual*(1+exp_index))*E13</f>
        <v>3150</v>
      </c>
      <c r="F28" s="68">
        <f>(TelCom_Annual*(1+exp_index*2))*F13</f>
        <v>11000</v>
      </c>
      <c r="G28" s="68">
        <f>(TelCom_Annual*(1+exp_index*3))*G13</f>
        <v>20700</v>
      </c>
      <c r="H28" s="68">
        <f>(TelCom_Annual*(1+exp_index*4))*H13</f>
        <v>21600</v>
      </c>
      <c r="I28" s="68">
        <f>(TelCom_Annual*(1+exp_index*5))*I13</f>
        <v>22500</v>
      </c>
      <c r="K28" s="68"/>
      <c r="L28" s="68">
        <f>(TelCom_Annual*(1+exp_index))*L13</f>
        <v>0</v>
      </c>
      <c r="M28" s="68">
        <f>(TelCom_Annual*(1+exp_index*2))*M13</f>
        <v>0</v>
      </c>
      <c r="N28" s="68">
        <f>(TelCom_Annual*(1+exp_index*3))*N13</f>
        <v>0</v>
      </c>
      <c r="O28" s="68">
        <f>(TelCom_Annual*(1+exp_index*4))*O13</f>
        <v>0</v>
      </c>
      <c r="P28" s="68">
        <f>(TelCom_Annual*(1+exp_index*5))*P13</f>
        <v>0</v>
      </c>
      <c r="R28" s="68"/>
      <c r="S28" s="68">
        <f>(TelCom_Annual*(1+exp_index))*S13</f>
        <v>0</v>
      </c>
      <c r="T28" s="68">
        <f>(TelCom_Annual*(1+exp_index*2))*T13</f>
        <v>9900</v>
      </c>
      <c r="U28" s="68">
        <f>(TelCom_Annual*(1+exp_index*3))*U13</f>
        <v>18400</v>
      </c>
      <c r="V28" s="68">
        <f>(TelCom_Annual*(1+exp_index*4))*V13</f>
        <v>31200</v>
      </c>
      <c r="W28" s="68">
        <f>(TelCom_Annual*(1+exp_index*5))*W13</f>
        <v>32500</v>
      </c>
      <c r="Y28" s="693">
        <v>20000</v>
      </c>
      <c r="Z28" s="68">
        <f>(TelCom_Annual*(1+exp_index))*Z13</f>
        <v>28350</v>
      </c>
      <c r="AA28" s="68">
        <f>(TelCom_Annual*(1+exp_index*2))*AA13</f>
        <v>34100</v>
      </c>
      <c r="AB28" s="68">
        <f>(TelCom_Annual*(1+exp_index*3))*AB13</f>
        <v>36800</v>
      </c>
      <c r="AC28" s="68">
        <f>(TelCom_Annual*(1+exp_index*4))*AC13</f>
        <v>38400</v>
      </c>
      <c r="AD28" s="68">
        <f>(TelCom_Annual*(1+exp_index*5))*AD13</f>
        <v>40000</v>
      </c>
      <c r="AF28" s="77">
        <f t="shared" si="63"/>
        <v>20000</v>
      </c>
      <c r="AG28" s="77">
        <f t="shared" si="63"/>
        <v>31500</v>
      </c>
      <c r="AH28" s="77">
        <f t="shared" si="64"/>
        <v>55000</v>
      </c>
      <c r="AI28" s="77">
        <f t="shared" si="65"/>
        <v>75900</v>
      </c>
      <c r="AJ28" s="77">
        <f t="shared" si="66"/>
        <v>91200</v>
      </c>
      <c r="AK28" s="77">
        <f t="shared" si="67"/>
        <v>95000</v>
      </c>
    </row>
    <row r="29" spans="1:124" outlineLevel="1" x14ac:dyDescent="0.35">
      <c r="B29" s="12" t="s">
        <v>5</v>
      </c>
      <c r="D29" s="68"/>
      <c r="E29" s="68">
        <f>(Office_Annual*(1+exp_index))*E13</f>
        <v>1575</v>
      </c>
      <c r="F29" s="68">
        <f>(Office_Annual*(1+exp_index*2))*F13</f>
        <v>5500</v>
      </c>
      <c r="G29" s="68">
        <f>(Office_Annual*(1+exp_index*3))*G13</f>
        <v>10350</v>
      </c>
      <c r="H29" s="68">
        <f>(Office_Annual*(1+exp_index*4))*H13</f>
        <v>10800</v>
      </c>
      <c r="I29" s="68">
        <f>(Office_Annual*(1+exp_index*5))*I13</f>
        <v>11250</v>
      </c>
      <c r="K29" s="68"/>
      <c r="L29" s="68">
        <f>(Office_Annual*(1+exp_index))*L13</f>
        <v>0</v>
      </c>
      <c r="M29" s="68">
        <f>(Office_Annual*(1+exp_index*2))*M13</f>
        <v>0</v>
      </c>
      <c r="N29" s="68">
        <f>(Office_Annual*(1+exp_index*3))*N13</f>
        <v>0</v>
      </c>
      <c r="O29" s="68">
        <f>(Office_Annual*(1+exp_index*4))*O13</f>
        <v>0</v>
      </c>
      <c r="P29" s="68">
        <f>(Office_Annual*(1+exp_index*5))*P13</f>
        <v>0</v>
      </c>
      <c r="R29" s="68"/>
      <c r="S29" s="68">
        <f>(Office_Annual*(1+exp_index))*S13</f>
        <v>0</v>
      </c>
      <c r="T29" s="68">
        <f>(Office_Annual*(1+exp_index*2))*T13</f>
        <v>4950</v>
      </c>
      <c r="U29" s="68">
        <f>(Office_Annual*(1+exp_index*3))*U13</f>
        <v>9200</v>
      </c>
      <c r="V29" s="68">
        <f>(Office_Annual*(1+exp_index*4))*V13</f>
        <v>15600</v>
      </c>
      <c r="W29" s="68">
        <f>(Office_Annual*(1+exp_index*5))*W13</f>
        <v>16250</v>
      </c>
      <c r="Y29" s="693">
        <v>9000</v>
      </c>
      <c r="Z29" s="68">
        <f>(Office_Annual*(1+exp_index))*Z13</f>
        <v>14175</v>
      </c>
      <c r="AA29" s="68">
        <f>(Office_Annual*(1+exp_index*2))*AA13</f>
        <v>17050</v>
      </c>
      <c r="AB29" s="68">
        <f>(Office_Annual*(1+exp_index*3))*AB13</f>
        <v>18400</v>
      </c>
      <c r="AC29" s="68">
        <f>(Office_Annual*(1+exp_index*4))*AC13</f>
        <v>19200</v>
      </c>
      <c r="AD29" s="68">
        <f>(Office_Annual*(1+exp_index*5))*AD13</f>
        <v>20000</v>
      </c>
      <c r="AF29" s="77">
        <f t="shared" si="63"/>
        <v>9000</v>
      </c>
      <c r="AG29" s="77">
        <f t="shared" si="63"/>
        <v>15750</v>
      </c>
      <c r="AH29" s="77">
        <f t="shared" si="64"/>
        <v>27500</v>
      </c>
      <c r="AI29" s="77">
        <f t="shared" si="65"/>
        <v>37950</v>
      </c>
      <c r="AJ29" s="77">
        <f t="shared" si="66"/>
        <v>45600</v>
      </c>
      <c r="AK29" s="77">
        <f t="shared" si="67"/>
        <v>47500</v>
      </c>
    </row>
    <row r="30" spans="1:124" outlineLevel="1" x14ac:dyDescent="0.35">
      <c r="B30" s="227" t="s">
        <v>316</v>
      </c>
      <c r="D30" s="68"/>
      <c r="E30" s="281">
        <f>((HQ_Trip_Per_Person*E13)*(1+exp_index))*0.7</f>
        <v>33075</v>
      </c>
      <c r="F30" s="281">
        <f>((HQ_Trip_Per_Person*F13)*(1+exp_index*1))*0.7</f>
        <v>110250</v>
      </c>
      <c r="G30" s="281">
        <f>((HQ_Trip_Per_Person*G13)*(1+exp_index*2))*0.7</f>
        <v>207900</v>
      </c>
      <c r="H30" s="281">
        <f>((HQ_Trip_Per_Person*H13)*(1+exp_index*3))*0.7</f>
        <v>217350</v>
      </c>
      <c r="I30" s="281">
        <f>((HQ_Trip_Per_Person*I13)*(1+exp_index*4))*0.7</f>
        <v>226800</v>
      </c>
      <c r="K30" s="68"/>
      <c r="L30" s="281">
        <f>((HQ_Trip_Per_Person*$L$13)*(1+exp_index))*0.7</f>
        <v>0</v>
      </c>
      <c r="M30" s="281">
        <f>((HQ_Trip_Per_Person*$M$13)*(1+exp_index*1))*0.7</f>
        <v>0</v>
      </c>
      <c r="N30" s="281">
        <f>((HQ_Trip_Per_Person*$N$13)*(1+exp_index*2))*0.7</f>
        <v>0</v>
      </c>
      <c r="O30" s="281">
        <f>((HQ_Trip_Per_Person*$O$13)*(1+exp_index*3))*0.7</f>
        <v>0</v>
      </c>
      <c r="P30" s="281">
        <f>((HQ_Trip_Per_Person*$P$13)*(1+exp_index*4))*0.7</f>
        <v>0</v>
      </c>
      <c r="R30" s="68"/>
      <c r="S30" s="281">
        <f>((HQ_Trip_Per_Person*$S$13)*(1+exp_index))*0.7</f>
        <v>0</v>
      </c>
      <c r="T30" s="281">
        <f>((HQ_Trip_Per_Person*$T$13)*(1+exp_index*1))*0.7</f>
        <v>99225</v>
      </c>
      <c r="U30" s="281">
        <f>((HQ_Trip_Per_Person*$U$13)*(1+exp_index*2))*0.7</f>
        <v>184800</v>
      </c>
      <c r="V30" s="281">
        <f>((HQ_Trip_Per_Person*$V$13)*(1+exp_index*3))*0.7</f>
        <v>313949.99999999994</v>
      </c>
      <c r="W30" s="281">
        <f>((HQ_Trip_Per_Person*$W$13)*(1+exp_index*4))*0.7</f>
        <v>327600</v>
      </c>
      <c r="Y30" s="693">
        <v>200000</v>
      </c>
      <c r="Z30" s="281">
        <f>((HQ_Trip_Per_Person*$Z$13)*(1+exp_index))*0.7</f>
        <v>297675</v>
      </c>
      <c r="AA30" s="281">
        <f>((HQ_Trip_Per_Person*$AA$13)*(1+exp_index*2))*0.7</f>
        <v>358050</v>
      </c>
      <c r="AB30" s="281">
        <f>((HQ_Trip_Per_Person*$AB$13)*(1+exp_index*3))*0.7</f>
        <v>386400</v>
      </c>
      <c r="AC30" s="281">
        <f>((HQ_Trip_Per_Person*$AC$13)*(1+exp_index*4))*0.7</f>
        <v>403200</v>
      </c>
      <c r="AD30" s="281">
        <f>((HQ_Trip_Per_Person*$AD$13)*(1+exp_index*5))*0.7</f>
        <v>420000</v>
      </c>
      <c r="AF30" s="745">
        <f>(D30+K30+R30+Y30)</f>
        <v>200000</v>
      </c>
      <c r="AG30" s="745">
        <f t="shared" si="63"/>
        <v>330750</v>
      </c>
      <c r="AH30" s="745">
        <f t="shared" si="64"/>
        <v>567525</v>
      </c>
      <c r="AI30" s="745">
        <f t="shared" si="65"/>
        <v>779100</v>
      </c>
      <c r="AJ30" s="745">
        <f t="shared" si="66"/>
        <v>934500</v>
      </c>
      <c r="AK30" s="745">
        <f t="shared" si="67"/>
        <v>974400</v>
      </c>
    </row>
    <row r="31" spans="1:124" outlineLevel="1" x14ac:dyDescent="0.35">
      <c r="B31" s="227" t="s">
        <v>304</v>
      </c>
      <c r="D31" s="68"/>
      <c r="E31" s="68">
        <f>(100000*(1+exp_index))</f>
        <v>105000</v>
      </c>
      <c r="F31" s="68">
        <f>(100000*(1+exp_index*2))</f>
        <v>110000.00000000001</v>
      </c>
      <c r="G31" s="68">
        <f>(100000*(1+exp_index*3))</f>
        <v>114999.99999999999</v>
      </c>
      <c r="H31" s="68">
        <f>(100000*(1+exp_index*4))</f>
        <v>120000</v>
      </c>
      <c r="I31" s="68">
        <f>(100000*(1+exp_index*5))</f>
        <v>125000</v>
      </c>
      <c r="K31" s="68"/>
      <c r="L31" s="281"/>
      <c r="M31" s="281"/>
      <c r="N31" s="281"/>
      <c r="O31" s="281"/>
      <c r="P31" s="281"/>
      <c r="R31" s="68"/>
      <c r="S31" s="68"/>
      <c r="T31" s="68">
        <f>(100000*(1+exp_index*2))</f>
        <v>110000.00000000001</v>
      </c>
      <c r="U31" s="68">
        <f>(100000*(1+exp_index*3))</f>
        <v>114999.99999999999</v>
      </c>
      <c r="V31" s="68">
        <f>(100000*(1+exp_index*4))</f>
        <v>120000</v>
      </c>
      <c r="W31" s="68">
        <f>(100000*(1+exp_index*5))</f>
        <v>125000</v>
      </c>
      <c r="Y31" s="693"/>
      <c r="Z31" s="281"/>
      <c r="AA31" s="281"/>
      <c r="AB31" s="281"/>
      <c r="AC31" s="281"/>
      <c r="AD31" s="281"/>
      <c r="AF31" s="745">
        <f>(D31+K31+R31+Y31)</f>
        <v>0</v>
      </c>
      <c r="AG31" s="745">
        <f t="shared" ref="AG31" si="68">E31+L31+S31+Z31</f>
        <v>105000</v>
      </c>
      <c r="AH31" s="745">
        <f t="shared" ref="AH31" si="69">F31+M31+T31+AA31</f>
        <v>220000.00000000003</v>
      </c>
      <c r="AI31" s="745">
        <f t="shared" ref="AI31" si="70">G31+N31+U31+AB31</f>
        <v>229999.99999999997</v>
      </c>
      <c r="AJ31" s="745">
        <f t="shared" ref="AJ31" si="71">H31+O31+V31+AC31</f>
        <v>240000</v>
      </c>
      <c r="AK31" s="745">
        <f t="shared" ref="AK31" si="72">I31+P31+W31+AD31</f>
        <v>250000</v>
      </c>
    </row>
    <row r="32" spans="1:124" outlineLevel="1" x14ac:dyDescent="0.35">
      <c r="B32" s="12" t="s">
        <v>6</v>
      </c>
      <c r="D32" s="68"/>
      <c r="E32" s="68">
        <f>(Postage_Annual*(1+exp_index))*E13</f>
        <v>1181.25</v>
      </c>
      <c r="F32" s="68">
        <f>(Postage_Annual*(1+exp_index*2))*F13</f>
        <v>4125.0000000000009</v>
      </c>
      <c r="G32" s="68">
        <f>(Postage_Annual*(1+exp_index*3))*G13</f>
        <v>7762.4999999999991</v>
      </c>
      <c r="H32" s="68">
        <f>(Postage_Annual*(1+exp_index*4))*H13</f>
        <v>8100</v>
      </c>
      <c r="I32" s="68">
        <f>(Postage_Annual*(1+exp_index*5))*I13</f>
        <v>8437.5</v>
      </c>
      <c r="K32" s="68"/>
      <c r="L32" s="68">
        <f>(Postage_Annual*(1+exp_index))*L13</f>
        <v>0</v>
      </c>
      <c r="M32" s="68">
        <f>(Postage_Annual*(1+exp_index*2))*M13</f>
        <v>0</v>
      </c>
      <c r="N32" s="68">
        <f>(Postage_Annual*(1+exp_index*3))*N13</f>
        <v>0</v>
      </c>
      <c r="O32" s="68">
        <f>(Postage_Annual*(1+exp_index*4))*O13</f>
        <v>0</v>
      </c>
      <c r="P32" s="68">
        <f>(Postage_Annual*(1+exp_index*5))*P13</f>
        <v>0</v>
      </c>
      <c r="R32" s="68"/>
      <c r="S32" s="68">
        <f>(Postage_Annual*(1+exp_index))*S13</f>
        <v>0</v>
      </c>
      <c r="T32" s="68">
        <f>(Postage_Annual*(1+exp_index*2))*T13</f>
        <v>3712.5000000000005</v>
      </c>
      <c r="U32" s="68">
        <f>(Postage_Annual*(1+exp_index*3))*U13</f>
        <v>6899.9999999999991</v>
      </c>
      <c r="V32" s="68">
        <f>(Postage_Annual*(1+exp_index*4))*V13</f>
        <v>11700</v>
      </c>
      <c r="W32" s="68">
        <f>(Postage_Annual*(1+exp_index*5))*W13</f>
        <v>12187.5</v>
      </c>
      <c r="X32" s="370"/>
      <c r="Y32" s="693">
        <v>8000</v>
      </c>
      <c r="Z32" s="68">
        <f>(Postage_Annual*(1+exp_index))*Z13</f>
        <v>10631.25</v>
      </c>
      <c r="AA32" s="68">
        <f>(Postage_Annual*(1+exp_index*2))*AA13</f>
        <v>12787.500000000002</v>
      </c>
      <c r="AB32" s="68">
        <f>(Postage_Annual*(1+exp_index*3))*AB13</f>
        <v>13799.999999999998</v>
      </c>
      <c r="AC32" s="68">
        <f>(Postage_Annual*(1+exp_index*4))*AC13</f>
        <v>14400</v>
      </c>
      <c r="AD32" s="68">
        <f>(Postage_Annual*(1+exp_index*5))*AD13</f>
        <v>15000</v>
      </c>
      <c r="AF32" s="77">
        <f t="shared" si="63"/>
        <v>8000</v>
      </c>
      <c r="AG32" s="77">
        <f t="shared" si="63"/>
        <v>11812.5</v>
      </c>
      <c r="AH32" s="77">
        <f t="shared" si="64"/>
        <v>20625.000000000004</v>
      </c>
      <c r="AI32" s="77">
        <f t="shared" si="65"/>
        <v>28462.499999999996</v>
      </c>
      <c r="AJ32" s="77">
        <f t="shared" si="66"/>
        <v>34200</v>
      </c>
      <c r="AK32" s="77">
        <f t="shared" si="67"/>
        <v>35625</v>
      </c>
    </row>
    <row r="33" spans="1:124" outlineLevel="1" x14ac:dyDescent="0.35">
      <c r="B33" s="227" t="s">
        <v>252</v>
      </c>
      <c r="D33" s="68"/>
      <c r="E33" s="68">
        <f>E13*Enter_FTE*(1+exp_index)</f>
        <v>3150</v>
      </c>
      <c r="F33" s="68">
        <f>F13*Enter_FTE*(1+exp_index*2)</f>
        <v>11000</v>
      </c>
      <c r="G33" s="68">
        <f>G13*Enter_FTE*(1+exp_index*3)</f>
        <v>20700</v>
      </c>
      <c r="H33" s="68">
        <f>H13*Enter_FTE*(1+exp_index*4)</f>
        <v>21600</v>
      </c>
      <c r="I33" s="68">
        <f>I13*Enter_FTE*(1+exp_index*5)</f>
        <v>22500</v>
      </c>
      <c r="K33" s="68"/>
      <c r="L33" s="68">
        <f>L13*Enter_FTE*(1+exp_index)</f>
        <v>0</v>
      </c>
      <c r="M33" s="68">
        <f>M13*Enter_FTE*(1+exp_index*2)</f>
        <v>0</v>
      </c>
      <c r="N33" s="68">
        <f>N13*Enter_FTE*(1+exp_index*3)</f>
        <v>0</v>
      </c>
      <c r="O33" s="68">
        <f>O13*Enter_FTE*(1+exp_index*4)</f>
        <v>0</v>
      </c>
      <c r="P33" s="68">
        <f>P13*Enter_FTE*(1+exp_index*5)</f>
        <v>0</v>
      </c>
      <c r="R33" s="68"/>
      <c r="S33" s="68">
        <f>S13*Enter_FTE*(1+exp_index)</f>
        <v>0</v>
      </c>
      <c r="T33" s="68">
        <f>T13*Enter_FTE*(1+exp_index*2)</f>
        <v>9900</v>
      </c>
      <c r="U33" s="68">
        <f>U13*Enter_FTE*(1+exp_index*3)</f>
        <v>18400</v>
      </c>
      <c r="V33" s="68">
        <f>V13*Enter_FTE*(1+exp_index*4)</f>
        <v>31200</v>
      </c>
      <c r="W33" s="68">
        <f>W13*Enter_FTE*(1+exp_index*5)</f>
        <v>32500</v>
      </c>
      <c r="Y33" s="693">
        <v>20000</v>
      </c>
      <c r="Z33" s="68">
        <f>Z13*Enter_FTE*(1+exp_index)</f>
        <v>28350</v>
      </c>
      <c r="AA33" s="68">
        <f>AA13*Enter_FTE*(1+exp_index*2)</f>
        <v>34100</v>
      </c>
      <c r="AB33" s="68">
        <f>AB13*Enter_FTE*(1+exp_index*3)</f>
        <v>36800</v>
      </c>
      <c r="AC33" s="68">
        <f>AC13*Enter_FTE*(1+exp_index*4)</f>
        <v>38400</v>
      </c>
      <c r="AD33" s="68">
        <f>AD13*Enter_FTE*(1+exp_index*5)</f>
        <v>40000</v>
      </c>
      <c r="AF33" s="77">
        <f t="shared" si="63"/>
        <v>20000</v>
      </c>
      <c r="AG33" s="77">
        <f t="shared" si="63"/>
        <v>31500</v>
      </c>
      <c r="AH33" s="77">
        <f t="shared" si="64"/>
        <v>55000</v>
      </c>
      <c r="AI33" s="77">
        <f t="shared" si="65"/>
        <v>75900</v>
      </c>
      <c r="AJ33" s="77">
        <f t="shared" si="66"/>
        <v>91200</v>
      </c>
      <c r="AK33" s="77">
        <f t="shared" si="67"/>
        <v>95000</v>
      </c>
    </row>
    <row r="34" spans="1:124" outlineLevel="1" x14ac:dyDescent="0.35">
      <c r="B34" s="12" t="s">
        <v>7</v>
      </c>
      <c r="D34" s="68"/>
      <c r="E34" s="68">
        <f>(Conferences_Annual*(1+exp_index))*E13</f>
        <v>3150</v>
      </c>
      <c r="F34" s="68">
        <f>(Conferences_Annual*(1+exp_index*2))*F13</f>
        <v>11000</v>
      </c>
      <c r="G34" s="68">
        <f>(Conferences_Annual*(1+exp_index*3))*G13</f>
        <v>20700</v>
      </c>
      <c r="H34" s="68">
        <f>(Conferences_Annual*(1+exp_index*4))*H13</f>
        <v>21600</v>
      </c>
      <c r="I34" s="68">
        <f>(Conferences_Annual*(1+exp_index*5))*I13</f>
        <v>22500</v>
      </c>
      <c r="K34" s="68"/>
      <c r="L34" s="68">
        <f>(Conferences_Annual*(1+exp_index))*L13</f>
        <v>0</v>
      </c>
      <c r="M34" s="68">
        <f>(Conferences_Annual*(1+exp_index*2))*M13</f>
        <v>0</v>
      </c>
      <c r="N34" s="68">
        <f>(Conferences_Annual*(1+exp_index*3))*N13</f>
        <v>0</v>
      </c>
      <c r="O34" s="68">
        <f>(Conferences_Annual*(1+exp_index*4))*O13</f>
        <v>0</v>
      </c>
      <c r="P34" s="68">
        <f>(Conferences_Annual*(1+exp_index*5))*P13</f>
        <v>0</v>
      </c>
      <c r="R34" s="68"/>
      <c r="S34" s="68">
        <f>(Conferences_Annual*(1+exp_index))*S13</f>
        <v>0</v>
      </c>
      <c r="T34" s="68">
        <f>(Conferences_Annual*(1+exp_index*2))*T13</f>
        <v>9900</v>
      </c>
      <c r="U34" s="68">
        <f>(Conferences_Annual*(1+exp_index*3))*U13</f>
        <v>18400</v>
      </c>
      <c r="V34" s="68">
        <f>(Conferences_Annual*(1+exp_index*4))*V13</f>
        <v>31200</v>
      </c>
      <c r="W34" s="68">
        <f>(Conferences_Annual*(1+exp_index*5))*W13</f>
        <v>32500</v>
      </c>
      <c r="Y34" s="693">
        <v>0</v>
      </c>
      <c r="Z34" s="68">
        <f>(Conferences_Annual*(1+exp_index))*Z13</f>
        <v>28350</v>
      </c>
      <c r="AA34" s="68">
        <f>(Conferences_Annual*(1+exp_index*2))*AA13</f>
        <v>34100</v>
      </c>
      <c r="AB34" s="68">
        <f>(Conferences_Annual*(1+exp_index*3))*AB13</f>
        <v>36800</v>
      </c>
      <c r="AC34" s="68">
        <f>(Conferences_Annual*(1+exp_index*4))*AC13</f>
        <v>38400</v>
      </c>
      <c r="AD34" s="68">
        <f>(Conferences_Annual*(1+exp_index*5))*AD13</f>
        <v>40000</v>
      </c>
      <c r="AF34" s="77">
        <f t="shared" si="63"/>
        <v>0</v>
      </c>
      <c r="AG34" s="77">
        <f t="shared" si="63"/>
        <v>31500</v>
      </c>
      <c r="AH34" s="77">
        <f t="shared" si="64"/>
        <v>55000</v>
      </c>
      <c r="AI34" s="77">
        <f t="shared" si="65"/>
        <v>75900</v>
      </c>
      <c r="AJ34" s="77">
        <f t="shared" si="66"/>
        <v>91200</v>
      </c>
      <c r="AK34" s="77">
        <f t="shared" si="67"/>
        <v>95000</v>
      </c>
    </row>
    <row r="35" spans="1:124" outlineLevel="1" x14ac:dyDescent="0.35">
      <c r="B35" s="12" t="s">
        <v>8</v>
      </c>
      <c r="D35" s="68"/>
      <c r="E35" s="68">
        <f>(Insurance_Annual*E13)*(1+exp_index)</f>
        <v>9450</v>
      </c>
      <c r="F35" s="68">
        <f>(Insurance_Annual*F13)*(1+exp_index*2)</f>
        <v>33000</v>
      </c>
      <c r="G35" s="68">
        <f>(Insurance_Annual*G13)*(1+exp_index*3)</f>
        <v>62099.999999999993</v>
      </c>
      <c r="H35" s="68">
        <f>(Insurance_Annual*H13)*(1+exp_index*4)</f>
        <v>64800</v>
      </c>
      <c r="I35" s="68">
        <f>(Insurance_Annual*I13)*(1+exp_index*5)</f>
        <v>67500</v>
      </c>
      <c r="K35" s="68"/>
      <c r="L35" s="68">
        <f>(Insurance_Annual*L13)*(1+exp_index)</f>
        <v>0</v>
      </c>
      <c r="M35" s="68">
        <f>(Insurance_Annual*M13)*(1+exp_index*2)</f>
        <v>0</v>
      </c>
      <c r="N35" s="68">
        <f>(Insurance_Annual*N13)*(1+exp_index*3)</f>
        <v>0</v>
      </c>
      <c r="O35" s="68">
        <f>(Insurance_Annual*O13)*(1+exp_index*4)</f>
        <v>0</v>
      </c>
      <c r="P35" s="68">
        <f>(Insurance_Annual*P13)*(1+exp_index*5)</f>
        <v>0</v>
      </c>
      <c r="R35" s="68"/>
      <c r="S35" s="68">
        <f>(Insurance_Annual*S13)*(1+exp_index)</f>
        <v>0</v>
      </c>
      <c r="T35" s="68">
        <f>(Insurance_Annual*T13)*(1+exp_index*2)</f>
        <v>29700.000000000004</v>
      </c>
      <c r="U35" s="68">
        <f>(Insurance_Annual*U13)*(1+exp_index*3)</f>
        <v>55199.999999999993</v>
      </c>
      <c r="V35" s="68">
        <f>(Insurance_Annual*V13)*(1+exp_index*4)</f>
        <v>93600</v>
      </c>
      <c r="W35" s="68">
        <f>(Insurance_Annual*W13)*(1+exp_index*5)</f>
        <v>97500</v>
      </c>
      <c r="Y35" s="693">
        <v>75000</v>
      </c>
      <c r="Z35" s="693">
        <v>75000</v>
      </c>
      <c r="AA35" s="68">
        <f>(Insurance_Annual*AA13)*(1+exp_index*2)+4000</f>
        <v>106300.00000000001</v>
      </c>
      <c r="AB35" s="68">
        <f>(Insurance_Annual*AB13)*(1+exp_index*3)+3000</f>
        <v>113399.99999999999</v>
      </c>
      <c r="AC35" s="68">
        <f>(Insurance_Annual*AC13)*(1+exp_index*4)+3000</f>
        <v>118200</v>
      </c>
      <c r="AD35" s="68">
        <f>(Insurance_Annual*AD13)*(1+exp_index*5)+3000</f>
        <v>123000</v>
      </c>
      <c r="AF35" s="77">
        <f t="shared" si="63"/>
        <v>75000</v>
      </c>
      <c r="AG35" s="77">
        <f t="shared" si="63"/>
        <v>84450</v>
      </c>
      <c r="AH35" s="77">
        <f t="shared" si="64"/>
        <v>169000</v>
      </c>
      <c r="AI35" s="77">
        <f t="shared" si="65"/>
        <v>230699.99999999997</v>
      </c>
      <c r="AJ35" s="77">
        <f t="shared" si="66"/>
        <v>276600</v>
      </c>
      <c r="AK35" s="77">
        <f t="shared" si="67"/>
        <v>288000</v>
      </c>
    </row>
    <row r="36" spans="1:124" outlineLevel="1" x14ac:dyDescent="0.35">
      <c r="B36" s="12" t="s">
        <v>9</v>
      </c>
      <c r="D36" s="68"/>
      <c r="E36" s="68">
        <f>(Sundry_Annual*(1+exp_index))*E13</f>
        <v>1575</v>
      </c>
      <c r="F36" s="68">
        <f>(Sundry_Annual*(1+exp_index*2))*F13</f>
        <v>5500</v>
      </c>
      <c r="G36" s="68">
        <f>(Sundry_Annual*(1+exp_index*3))*G13</f>
        <v>10350</v>
      </c>
      <c r="H36" s="68">
        <f>(Sundry_Annual*(1+exp_index*4))*H13</f>
        <v>10800</v>
      </c>
      <c r="I36" s="68">
        <f>(Sundry_Annual*(1+exp_index*5))*I13</f>
        <v>11250</v>
      </c>
      <c r="J36" s="371"/>
      <c r="K36" s="68"/>
      <c r="L36" s="68">
        <f>(Sundry_Annual*(1+exp_index))*L13</f>
        <v>0</v>
      </c>
      <c r="M36" s="68">
        <f>(Sundry_Annual*(1+exp_index*2))*M13</f>
        <v>0</v>
      </c>
      <c r="N36" s="68">
        <f>(Sundry_Annual*(1+exp_index*3))*N13</f>
        <v>0</v>
      </c>
      <c r="O36" s="68">
        <f>(Sundry_Annual*(1+exp_index*4))*O13</f>
        <v>0</v>
      </c>
      <c r="P36" s="68">
        <f>(Sundry_Annual*(1+exp_index*5))*P13</f>
        <v>0</v>
      </c>
      <c r="Q36" s="372"/>
      <c r="R36" s="68"/>
      <c r="S36" s="68">
        <f>(Sundry_Annual*(1+exp_index))*S13</f>
        <v>0</v>
      </c>
      <c r="T36" s="68">
        <f>(Sundry_Annual*(1+exp_index*2))*T13</f>
        <v>4950</v>
      </c>
      <c r="U36" s="68">
        <f>(Sundry_Annual*(1+exp_index*3))*U13</f>
        <v>9200</v>
      </c>
      <c r="V36" s="68">
        <f>(Sundry_Annual*(1+exp_index*4))*V13</f>
        <v>15600</v>
      </c>
      <c r="W36" s="68">
        <f>(Sundry_Annual*(1+exp_index*5))*W13</f>
        <v>16250</v>
      </c>
      <c r="X36" s="372"/>
      <c r="Y36" s="693">
        <v>12000</v>
      </c>
      <c r="Z36" s="68">
        <f>(Sundry_Annual*(1+exp_index))*Z13</f>
        <v>14175</v>
      </c>
      <c r="AA36" s="68">
        <f>(Sundry_Annual*(1+exp_index*2))*AA13</f>
        <v>17050</v>
      </c>
      <c r="AB36" s="68">
        <f>(Sundry_Annual*(1+exp_index*3))*AB13</f>
        <v>18400</v>
      </c>
      <c r="AC36" s="68">
        <f>(Sundry_Annual*(1+exp_index*4))*AC13</f>
        <v>19200</v>
      </c>
      <c r="AD36" s="68">
        <f>(Sundry_Annual*(1+exp_index*5))*AD13</f>
        <v>20000</v>
      </c>
      <c r="AF36" s="77">
        <f t="shared" si="63"/>
        <v>12000</v>
      </c>
      <c r="AG36" s="77">
        <f t="shared" si="63"/>
        <v>15750</v>
      </c>
      <c r="AH36" s="77">
        <f t="shared" si="64"/>
        <v>27500</v>
      </c>
      <c r="AI36" s="77">
        <f t="shared" si="65"/>
        <v>37950</v>
      </c>
      <c r="AJ36" s="77">
        <f t="shared" si="66"/>
        <v>45600</v>
      </c>
      <c r="AK36" s="77">
        <f t="shared" si="67"/>
        <v>47500</v>
      </c>
    </row>
    <row r="37" spans="1:124" ht="13.15" x14ac:dyDescent="0.4">
      <c r="B37" s="11" t="s">
        <v>34</v>
      </c>
      <c r="D37" s="74">
        <f t="shared" ref="D37" si="73">SUM(D26:D36)</f>
        <v>0</v>
      </c>
      <c r="E37" s="74">
        <f t="shared" ref="E37:I37" si="74">SUM(E26:E36)</f>
        <v>199893.75</v>
      </c>
      <c r="F37" s="74">
        <f t="shared" si="74"/>
        <v>436125</v>
      </c>
      <c r="G37" s="74">
        <f t="shared" si="74"/>
        <v>729137.5</v>
      </c>
      <c r="H37" s="74">
        <f t="shared" si="74"/>
        <v>761250</v>
      </c>
      <c r="I37" s="74">
        <f t="shared" si="74"/>
        <v>793362.5</v>
      </c>
      <c r="K37" s="74">
        <f t="shared" ref="K37" si="75">SUM(K26:K36)</f>
        <v>0</v>
      </c>
      <c r="L37" s="74">
        <f t="shared" ref="L37:P37" si="76">SUM(L26:L36)</f>
        <v>0</v>
      </c>
      <c r="M37" s="74">
        <f t="shared" si="76"/>
        <v>0</v>
      </c>
      <c r="N37" s="74">
        <f t="shared" si="76"/>
        <v>0</v>
      </c>
      <c r="O37" s="74">
        <f t="shared" si="76"/>
        <v>0</v>
      </c>
      <c r="P37" s="74">
        <f t="shared" si="76"/>
        <v>0</v>
      </c>
      <c r="R37" s="74">
        <f t="shared" ref="R37" si="77">SUM(R26:R36)</f>
        <v>0</v>
      </c>
      <c r="S37" s="74">
        <f t="shared" ref="S37:W37" si="78">SUM(S26:S36)</f>
        <v>0</v>
      </c>
      <c r="T37" s="74">
        <f t="shared" si="78"/>
        <v>403512.5</v>
      </c>
      <c r="U37" s="74">
        <f t="shared" si="78"/>
        <v>660900</v>
      </c>
      <c r="V37" s="74">
        <f t="shared" si="78"/>
        <v>1046250</v>
      </c>
      <c r="W37" s="74">
        <f t="shared" si="78"/>
        <v>1090412.5</v>
      </c>
      <c r="Y37" s="359">
        <f t="shared" ref="Y37" si="79">SUM(Y26:Y36)</f>
        <v>655000</v>
      </c>
      <c r="Z37" s="359">
        <f t="shared" ref="Z37:AD37" si="80">SUM(Z26:Z36)</f>
        <v>843993.75</v>
      </c>
      <c r="AA37" s="74">
        <f t="shared" si="80"/>
        <v>1031262.5</v>
      </c>
      <c r="AB37" s="74">
        <f t="shared" si="80"/>
        <v>1111600</v>
      </c>
      <c r="AC37" s="74">
        <f t="shared" si="80"/>
        <v>1159800</v>
      </c>
      <c r="AD37" s="74">
        <f t="shared" si="80"/>
        <v>1208000</v>
      </c>
      <c r="AF37" s="74">
        <f t="shared" ref="AF37" si="81">SUM(AF26:AF36)</f>
        <v>655000</v>
      </c>
      <c r="AG37" s="74">
        <f t="shared" ref="AG37:AK37" si="82">SUM(AG26:AG36)</f>
        <v>1043887.5</v>
      </c>
      <c r="AH37" s="74">
        <f t="shared" si="82"/>
        <v>1870900</v>
      </c>
      <c r="AI37" s="74">
        <f t="shared" si="82"/>
        <v>2501637.5</v>
      </c>
      <c r="AJ37" s="74">
        <f t="shared" si="82"/>
        <v>2967300</v>
      </c>
      <c r="AK37" s="74">
        <f t="shared" si="82"/>
        <v>3091775</v>
      </c>
      <c r="AL37" s="592" t="b">
        <f>SUM(D37:I37,K37:P37,R37:W37,Y37:AD37)=SUM(AF37:AK37)</f>
        <v>1</v>
      </c>
    </row>
    <row r="38" spans="1:124" s="87" customFormat="1" outlineLevel="1" x14ac:dyDescent="0.35">
      <c r="A38"/>
      <c r="B38" s="85"/>
      <c r="C38" s="27"/>
      <c r="D38" s="86"/>
      <c r="E38" s="86"/>
      <c r="F38" s="86"/>
      <c r="G38" s="86"/>
      <c r="H38" s="86"/>
      <c r="I38" s="86"/>
      <c r="J38" s="27"/>
      <c r="K38" s="86"/>
      <c r="L38" s="86"/>
      <c r="M38" s="86"/>
      <c r="N38" s="86"/>
      <c r="O38" s="86"/>
      <c r="P38" s="86"/>
      <c r="Q38" s="27"/>
      <c r="R38" s="86"/>
      <c r="S38" s="86"/>
      <c r="T38" s="86"/>
      <c r="U38" s="86"/>
      <c r="V38" s="86"/>
      <c r="W38" s="86"/>
      <c r="X38" s="27"/>
      <c r="Y38" s="86"/>
      <c r="Z38" s="86"/>
      <c r="AA38" s="86"/>
      <c r="AB38" s="86"/>
      <c r="AC38" s="86"/>
      <c r="AD38" s="86"/>
      <c r="AE38" s="27"/>
      <c r="AF38" s="86"/>
      <c r="AG38" s="86"/>
      <c r="AH38" s="86"/>
      <c r="AI38" s="86"/>
      <c r="AJ38" s="86"/>
      <c r="AK38" s="86"/>
      <c r="AL38" s="593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  <c r="BS38" s="27"/>
      <c r="BT38" s="27"/>
      <c r="BU38" s="2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  <c r="CJ38" s="27"/>
      <c r="CK38" s="27"/>
      <c r="CL38" s="27"/>
      <c r="CM38" s="27"/>
      <c r="CN38" s="27"/>
      <c r="CO38" s="27"/>
      <c r="CP38" s="27"/>
      <c r="CQ38" s="27"/>
      <c r="CR38" s="27"/>
      <c r="CS38" s="27"/>
      <c r="CT38" s="27"/>
      <c r="CU38" s="27"/>
      <c r="CV38" s="27"/>
      <c r="CW38" s="27"/>
      <c r="CX38" s="27"/>
      <c r="CY38" s="27"/>
      <c r="CZ38" s="27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7"/>
      <c r="DL38" s="27"/>
      <c r="DM38" s="27"/>
      <c r="DN38" s="27"/>
      <c r="DO38" s="27"/>
      <c r="DP38" s="27"/>
      <c r="DQ38" s="27"/>
      <c r="DR38" s="27"/>
      <c r="DS38" s="27"/>
      <c r="DT38" s="27"/>
    </row>
    <row r="39" spans="1:124" outlineLevel="1" x14ac:dyDescent="0.35">
      <c r="B39" s="12" t="s">
        <v>90</v>
      </c>
      <c r="D39" s="252"/>
      <c r="E39" s="281">
        <f>200000*'FeeLic&amp;Roy'!F45</f>
        <v>200000</v>
      </c>
      <c r="F39" s="281">
        <f>(200000*(1+exp_index*1))*'FeeLic&amp;Roy'!G45</f>
        <v>420000</v>
      </c>
      <c r="G39" s="281">
        <f>(200000*(1+exp_index*2))*'FeeLic&amp;Roy'!H45</f>
        <v>440000.00000000006</v>
      </c>
      <c r="H39" s="281">
        <f>(200000*(1+exp_index*3))*'FeeLic&amp;Roy'!I45</f>
        <v>459999.99999999994</v>
      </c>
      <c r="I39" s="281">
        <f>(200000*(1+exp_index*4))*'FeeLic&amp;Roy'!J45</f>
        <v>480000</v>
      </c>
      <c r="K39" s="252"/>
      <c r="L39" s="252">
        <f>200000*'FeeLic&amp;Roy'!P45</f>
        <v>0</v>
      </c>
      <c r="M39" s="252">
        <f>(200000*(1+exp_index*1))*'FeeLic&amp;Roy'!Q45</f>
        <v>0</v>
      </c>
      <c r="N39" s="252">
        <f>(200000*(1+exp_index*2))*'FeeLic&amp;Roy'!R45</f>
        <v>0</v>
      </c>
      <c r="O39" s="252">
        <f>(200000*(1+exp_index*3))*'FeeLic&amp;Roy'!S45</f>
        <v>0</v>
      </c>
      <c r="P39" s="252">
        <f>(200000*(1+exp_index*4))*'FeeLic&amp;Roy'!T45</f>
        <v>0</v>
      </c>
      <c r="R39" s="252"/>
      <c r="S39" s="252">
        <f>200000*'FeeLic&amp;Roy'!Z45</f>
        <v>0</v>
      </c>
      <c r="T39" s="252">
        <f>(200000*(1+exp_index*1))*'FeeLic&amp;Roy'!AA45</f>
        <v>210000</v>
      </c>
      <c r="U39" s="252">
        <f>(200000*(1+exp_index*2))*'FeeLic&amp;Roy'!AB45</f>
        <v>440000.00000000006</v>
      </c>
      <c r="V39" s="252">
        <f>(200000*(1+exp_index*3))*'FeeLic&amp;Roy'!AC45</f>
        <v>919999.99999999988</v>
      </c>
      <c r="W39" s="252">
        <f>(200000*(1+exp_index*4))*'FeeLic&amp;Roy'!AD45</f>
        <v>960000</v>
      </c>
      <c r="Y39" s="694">
        <v>714285</v>
      </c>
      <c r="Z39" s="68">
        <f>Y39*(1+exp_index)-300000</f>
        <v>449999.25</v>
      </c>
      <c r="AA39" s="68">
        <f t="shared" ref="AA39" si="83">Z39*(1+exp_index)</f>
        <v>472499.21250000002</v>
      </c>
      <c r="AB39" s="68">
        <f t="shared" ref="AB39" si="84">AA39*(1+exp_index)</f>
        <v>496124.17312500003</v>
      </c>
      <c r="AC39" s="68">
        <f t="shared" ref="AC39" si="85">AB39*(1+exp_index)</f>
        <v>520930.38178125006</v>
      </c>
      <c r="AD39" s="68">
        <f t="shared" ref="AD39" si="86">AC39*(1+exp_index)</f>
        <v>546976.90087031259</v>
      </c>
      <c r="AF39" s="77">
        <f t="shared" ref="AF39:AK39" si="87">D39+K39+R39+Y39</f>
        <v>714285</v>
      </c>
      <c r="AG39" s="77">
        <f t="shared" si="87"/>
        <v>649999.25</v>
      </c>
      <c r="AH39" s="77">
        <f t="shared" si="87"/>
        <v>1102499.2124999999</v>
      </c>
      <c r="AI39" s="77">
        <f t="shared" si="87"/>
        <v>1376124.1731250002</v>
      </c>
      <c r="AJ39" s="77">
        <f t="shared" si="87"/>
        <v>1900930.3817812498</v>
      </c>
      <c r="AK39" s="77">
        <f t="shared" si="87"/>
        <v>1986976.9008703125</v>
      </c>
    </row>
    <row r="40" spans="1:124" outlineLevel="1" x14ac:dyDescent="0.35">
      <c r="B40" s="12" t="s">
        <v>91</v>
      </c>
      <c r="D40" s="252"/>
      <c r="E40" s="281"/>
      <c r="F40" s="281"/>
      <c r="G40" s="281"/>
      <c r="H40" s="281"/>
      <c r="I40" s="281"/>
      <c r="K40" s="89"/>
      <c r="L40" s="89"/>
      <c r="M40" s="89"/>
      <c r="N40" s="89"/>
      <c r="O40" s="89"/>
      <c r="P40" s="89"/>
      <c r="R40" s="89"/>
      <c r="S40" s="89"/>
      <c r="T40" s="89"/>
      <c r="U40" s="89"/>
      <c r="V40" s="89"/>
      <c r="W40" s="89"/>
      <c r="Y40" s="89">
        <f>'P&amp;L'!C8*0.001+10000</f>
        <v>10000</v>
      </c>
      <c r="Z40" s="89">
        <f>'P&amp;L'!D8*0.001+8000</f>
        <v>12487.7595395438</v>
      </c>
      <c r="AA40" s="89">
        <f>'P&amp;L'!E8*0.001+8000</f>
        <v>32339.559582178597</v>
      </c>
      <c r="AB40" s="89">
        <f>'P&amp;L'!F8*0.001</f>
        <v>69203.761266254412</v>
      </c>
      <c r="AC40" s="89">
        <f>'P&amp;L'!G8*0.001</f>
        <v>149669.1343583455</v>
      </c>
      <c r="AD40" s="89">
        <f>'P&amp;L'!H8*0.001</f>
        <v>273763.59166899335</v>
      </c>
      <c r="AF40" s="77">
        <f t="shared" ref="AF40:AG45" si="88">D40+K40+R40+Y40</f>
        <v>10000</v>
      </c>
      <c r="AG40" s="77">
        <f t="shared" si="88"/>
        <v>12487.7595395438</v>
      </c>
      <c r="AH40" s="77">
        <f t="shared" ref="AH40:AK45" si="89">F40+M40+T40+AA40</f>
        <v>32339.559582178597</v>
      </c>
      <c r="AI40" s="77">
        <f t="shared" si="89"/>
        <v>69203.761266254412</v>
      </c>
      <c r="AJ40" s="77">
        <f t="shared" si="89"/>
        <v>149669.1343583455</v>
      </c>
      <c r="AK40" s="77">
        <f t="shared" si="89"/>
        <v>273763.59166899335</v>
      </c>
    </row>
    <row r="41" spans="1:124" outlineLevel="1" x14ac:dyDescent="0.35">
      <c r="B41" s="12" t="s">
        <v>149</v>
      </c>
      <c r="D41" s="252"/>
      <c r="E41" s="281"/>
      <c r="F41" s="281"/>
      <c r="G41" s="281"/>
      <c r="H41" s="281"/>
      <c r="I41" s="281"/>
      <c r="K41" s="89"/>
      <c r="L41" s="89"/>
      <c r="M41" s="89"/>
      <c r="N41" s="89"/>
      <c r="O41" s="89"/>
      <c r="P41" s="89"/>
      <c r="R41" s="89"/>
      <c r="S41" s="89"/>
      <c r="T41" s="89"/>
      <c r="U41" s="89"/>
      <c r="V41" s="89"/>
      <c r="W41" s="89"/>
      <c r="Y41" s="694">
        <f>40000+40000</f>
        <v>80000</v>
      </c>
      <c r="Z41" s="89">
        <f>'P&amp;L'!D8*0.006+200000</f>
        <v>226926.55723726278</v>
      </c>
      <c r="AA41" s="89">
        <f>'P&amp;L'!E8*0.006+200000</f>
        <v>346037.35749307158</v>
      </c>
      <c r="AB41" s="89">
        <f>'P&amp;L'!F8*0.006+190000</f>
        <v>605222.56759752647</v>
      </c>
      <c r="AC41" s="89">
        <f>'P&amp;L'!G8*0.006+10000</f>
        <v>908014.80615007307</v>
      </c>
      <c r="AD41" s="89">
        <f>'P&amp;L'!H8*0.006</f>
        <v>1642581.5500139601</v>
      </c>
      <c r="AF41" s="77">
        <f t="shared" si="88"/>
        <v>80000</v>
      </c>
      <c r="AG41" s="77">
        <f t="shared" si="88"/>
        <v>226926.55723726278</v>
      </c>
      <c r="AH41" s="77">
        <f t="shared" si="89"/>
        <v>346037.35749307158</v>
      </c>
      <c r="AI41" s="77">
        <f t="shared" si="89"/>
        <v>605222.56759752647</v>
      </c>
      <c r="AJ41" s="77">
        <f t="shared" si="89"/>
        <v>908014.80615007307</v>
      </c>
      <c r="AK41" s="77">
        <f t="shared" si="89"/>
        <v>1642581.5500139601</v>
      </c>
    </row>
    <row r="42" spans="1:124" outlineLevel="1" x14ac:dyDescent="0.35">
      <c r="B42" s="227" t="s">
        <v>273</v>
      </c>
      <c r="D42" s="373"/>
      <c r="E42" s="373"/>
      <c r="F42" s="281"/>
      <c r="G42" s="281"/>
      <c r="H42" s="281"/>
      <c r="I42" s="281"/>
      <c r="K42" s="68"/>
      <c r="L42" s="68"/>
      <c r="M42" s="89"/>
      <c r="N42" s="68"/>
      <c r="O42" s="68"/>
      <c r="P42" s="68"/>
      <c r="R42" s="89"/>
      <c r="S42" s="89"/>
      <c r="T42" s="89"/>
      <c r="U42" s="68"/>
      <c r="V42" s="68"/>
      <c r="W42" s="68"/>
      <c r="Y42" s="694">
        <v>300000</v>
      </c>
      <c r="Z42" s="89">
        <f>'P&amp;L'!D8*0.03+500000</f>
        <v>634632.78618631396</v>
      </c>
      <c r="AA42" s="89">
        <f>'P&amp;L'!E8*0.03+700000</f>
        <v>1430186.7874653579</v>
      </c>
      <c r="AB42" s="89">
        <f>'P&amp;L'!F8*0.03+400000</f>
        <v>2476112.8379876325</v>
      </c>
      <c r="AC42" s="89">
        <f>'P&amp;L'!G8*0.03</f>
        <v>4490074.030750365</v>
      </c>
      <c r="AD42" s="89">
        <f>'P&amp;L'!H8*0.03</f>
        <v>8212907.7500698008</v>
      </c>
      <c r="AF42" s="77">
        <f t="shared" si="88"/>
        <v>300000</v>
      </c>
      <c r="AG42" s="77">
        <f t="shared" si="88"/>
        <v>634632.78618631396</v>
      </c>
      <c r="AH42" s="77">
        <f t="shared" si="89"/>
        <v>1430186.7874653579</v>
      </c>
      <c r="AI42" s="77">
        <f t="shared" si="89"/>
        <v>2476112.8379876325</v>
      </c>
      <c r="AJ42" s="77">
        <f t="shared" si="89"/>
        <v>4490074.030750365</v>
      </c>
      <c r="AK42" s="77">
        <f t="shared" si="89"/>
        <v>8212907.7500698008</v>
      </c>
    </row>
    <row r="43" spans="1:124" outlineLevel="1" x14ac:dyDescent="0.35">
      <c r="B43" s="227" t="s">
        <v>319</v>
      </c>
      <c r="D43" s="373"/>
      <c r="E43" s="373"/>
      <c r="F43" s="281">
        <v>1000000</v>
      </c>
      <c r="G43" s="281"/>
      <c r="H43" s="281"/>
      <c r="I43" s="281"/>
      <c r="K43" s="68"/>
      <c r="L43" s="68"/>
      <c r="M43" s="89"/>
      <c r="N43" s="68"/>
      <c r="O43" s="68"/>
      <c r="P43" s="68"/>
      <c r="R43" s="89"/>
      <c r="S43" s="89"/>
      <c r="T43" s="89"/>
      <c r="U43" s="68"/>
      <c r="V43" s="68"/>
      <c r="W43" s="68"/>
      <c r="Y43" s="694">
        <v>3000000</v>
      </c>
      <c r="Z43" s="252">
        <f>($Y$43*0.15)+1500000</f>
        <v>1950000</v>
      </c>
      <c r="AA43" s="252">
        <f>($Y$43*0.15)*(1+exp_index)</f>
        <v>472500</v>
      </c>
      <c r="AB43" s="252">
        <f>($Y$43*0.15)*(1+exp_index*2)</f>
        <v>495000.00000000006</v>
      </c>
      <c r="AC43" s="252">
        <f>($Y$43*0.15)*(1+exp_index*3)</f>
        <v>517499.99999999994</v>
      </c>
      <c r="AD43" s="252">
        <f>($Y$43*0.15)*(1+exp_index*4)</f>
        <v>540000</v>
      </c>
      <c r="AF43" s="77">
        <f t="shared" si="88"/>
        <v>3000000</v>
      </c>
      <c r="AG43" s="77">
        <f t="shared" si="88"/>
        <v>1950000</v>
      </c>
      <c r="AH43" s="77">
        <f t="shared" si="89"/>
        <v>1472500</v>
      </c>
      <c r="AI43" s="77">
        <f t="shared" si="89"/>
        <v>495000.00000000006</v>
      </c>
      <c r="AJ43" s="77">
        <f t="shared" si="89"/>
        <v>517499.99999999994</v>
      </c>
      <c r="AK43" s="77">
        <f t="shared" si="89"/>
        <v>540000</v>
      </c>
    </row>
    <row r="44" spans="1:124" outlineLevel="1" x14ac:dyDescent="0.35">
      <c r="B44" s="227" t="s">
        <v>320</v>
      </c>
      <c r="D44" s="252"/>
      <c r="E44" s="252"/>
      <c r="F44" s="252"/>
      <c r="G44" s="252"/>
      <c r="H44" s="252"/>
      <c r="I44" s="252"/>
      <c r="K44" s="89"/>
      <c r="L44" s="89"/>
      <c r="M44" s="89"/>
      <c r="N44" s="89"/>
      <c r="O44" s="89"/>
      <c r="P44" s="89"/>
      <c r="R44" s="89"/>
      <c r="S44" s="89"/>
      <c r="T44" s="89"/>
      <c r="U44" s="89"/>
      <c r="V44" s="89"/>
      <c r="W44" s="89"/>
      <c r="Y44" s="694">
        <v>0</v>
      </c>
      <c r="Z44" s="694">
        <f>350000</f>
        <v>350000</v>
      </c>
      <c r="AA44" s="89">
        <f>Z44*(1+exp_index)</f>
        <v>367500</v>
      </c>
      <c r="AB44" s="89">
        <f>AA44*(1+exp_index)</f>
        <v>385875</v>
      </c>
      <c r="AC44" s="89">
        <f>AB44*(1+exp_index)</f>
        <v>405168.75</v>
      </c>
      <c r="AD44" s="68">
        <f>AC44*(1+exp_index)</f>
        <v>425427.1875</v>
      </c>
      <c r="AF44" s="77">
        <f t="shared" si="88"/>
        <v>0</v>
      </c>
      <c r="AG44" s="77">
        <f t="shared" si="88"/>
        <v>350000</v>
      </c>
      <c r="AH44" s="77">
        <f t="shared" si="89"/>
        <v>367500</v>
      </c>
      <c r="AI44" s="77">
        <f t="shared" si="89"/>
        <v>385875</v>
      </c>
      <c r="AJ44" s="77">
        <f t="shared" si="89"/>
        <v>405168.75</v>
      </c>
      <c r="AK44" s="77">
        <f t="shared" si="89"/>
        <v>425427.1875</v>
      </c>
    </row>
    <row r="45" spans="1:124" outlineLevel="1" x14ac:dyDescent="0.35">
      <c r="B45" s="227" t="s">
        <v>279</v>
      </c>
      <c r="D45" s="252"/>
      <c r="E45" s="252"/>
      <c r="F45" s="252"/>
      <c r="G45" s="252"/>
      <c r="H45" s="252"/>
      <c r="I45" s="252"/>
      <c r="K45" s="89"/>
      <c r="L45" s="89"/>
      <c r="M45" s="89"/>
      <c r="N45" s="89"/>
      <c r="O45" s="89"/>
      <c r="P45" s="89"/>
      <c r="R45" s="89"/>
      <c r="S45" s="89"/>
      <c r="T45" s="89"/>
      <c r="U45" s="89"/>
      <c r="V45" s="89"/>
      <c r="W45" s="89"/>
      <c r="Y45" s="252"/>
      <c r="Z45" s="89">
        <f>(50000*2)</f>
        <v>100000</v>
      </c>
      <c r="AA45" s="68">
        <f>((50000*2)*(1+exp_index))</f>
        <v>105000</v>
      </c>
      <c r="AB45" s="68">
        <f>AA45*(1+exp_index)</f>
        <v>110250</v>
      </c>
      <c r="AC45" s="68">
        <f>AB45*(1+exp_index)</f>
        <v>115762.5</v>
      </c>
      <c r="AD45" s="68">
        <f>AC45*(1+exp_index)</f>
        <v>121550.625</v>
      </c>
      <c r="AF45" s="77">
        <f t="shared" si="88"/>
        <v>0</v>
      </c>
      <c r="AG45" s="77">
        <f t="shared" si="88"/>
        <v>100000</v>
      </c>
      <c r="AH45" s="77">
        <f t="shared" si="89"/>
        <v>105000</v>
      </c>
      <c r="AI45" s="77">
        <f t="shared" si="89"/>
        <v>110250</v>
      </c>
      <c r="AJ45" s="77">
        <f t="shared" si="89"/>
        <v>115762.5</v>
      </c>
      <c r="AK45" s="77">
        <f t="shared" si="89"/>
        <v>121550.625</v>
      </c>
    </row>
    <row r="46" spans="1:124" ht="13.15" x14ac:dyDescent="0.4">
      <c r="B46" s="11" t="s">
        <v>11</v>
      </c>
      <c r="D46" s="74">
        <f t="shared" ref="D46:I46" si="90">SUM(D39:D45)</f>
        <v>0</v>
      </c>
      <c r="E46" s="74">
        <f t="shared" si="90"/>
        <v>200000</v>
      </c>
      <c r="F46" s="74">
        <f t="shared" si="90"/>
        <v>1420000</v>
      </c>
      <c r="G46" s="74">
        <f t="shared" si="90"/>
        <v>440000.00000000006</v>
      </c>
      <c r="H46" s="74">
        <f t="shared" si="90"/>
        <v>459999.99999999994</v>
      </c>
      <c r="I46" s="74">
        <f t="shared" si="90"/>
        <v>480000</v>
      </c>
      <c r="K46" s="74">
        <f t="shared" ref="K46:P46" si="91">SUM(K39:K45)</f>
        <v>0</v>
      </c>
      <c r="L46" s="74">
        <f t="shared" si="91"/>
        <v>0</v>
      </c>
      <c r="M46" s="74">
        <f t="shared" si="91"/>
        <v>0</v>
      </c>
      <c r="N46" s="74">
        <f t="shared" si="91"/>
        <v>0</v>
      </c>
      <c r="O46" s="74">
        <f t="shared" si="91"/>
        <v>0</v>
      </c>
      <c r="P46" s="74">
        <f t="shared" si="91"/>
        <v>0</v>
      </c>
      <c r="R46" s="74">
        <f t="shared" ref="R46:W46" si="92">SUM(R39:R45)</f>
        <v>0</v>
      </c>
      <c r="S46" s="74">
        <f t="shared" si="92"/>
        <v>0</v>
      </c>
      <c r="T46" s="74">
        <f t="shared" si="92"/>
        <v>210000</v>
      </c>
      <c r="U46" s="74">
        <f t="shared" si="92"/>
        <v>440000.00000000006</v>
      </c>
      <c r="V46" s="74">
        <f t="shared" si="92"/>
        <v>919999.99999999988</v>
      </c>
      <c r="W46" s="74">
        <f t="shared" si="92"/>
        <v>960000</v>
      </c>
      <c r="Y46" s="74">
        <f t="shared" ref="Y46:AD46" si="93">SUM(Y39:Y45)</f>
        <v>4104285</v>
      </c>
      <c r="Z46" s="74">
        <f t="shared" si="93"/>
        <v>3724046.3529631207</v>
      </c>
      <c r="AA46" s="74">
        <f t="shared" si="93"/>
        <v>3226062.9170406079</v>
      </c>
      <c r="AB46" s="74">
        <f t="shared" si="93"/>
        <v>4637788.3399764132</v>
      </c>
      <c r="AC46" s="74">
        <f t="shared" si="93"/>
        <v>7107119.603040034</v>
      </c>
      <c r="AD46" s="74">
        <f t="shared" si="93"/>
        <v>11763207.605123067</v>
      </c>
      <c r="AF46" s="74">
        <f t="shared" ref="AF46:AK46" si="94">SUM(AF39:AF45)</f>
        <v>4104285</v>
      </c>
      <c r="AG46" s="74">
        <f t="shared" si="94"/>
        <v>3924046.3529631207</v>
      </c>
      <c r="AH46" s="74">
        <f t="shared" si="94"/>
        <v>4856062.9170406079</v>
      </c>
      <c r="AI46" s="74">
        <f t="shared" si="94"/>
        <v>5517788.3399764132</v>
      </c>
      <c r="AJ46" s="74">
        <f t="shared" si="94"/>
        <v>8487119.603040034</v>
      </c>
      <c r="AK46" s="74">
        <f t="shared" si="94"/>
        <v>13203207.605123065</v>
      </c>
      <c r="AL46" s="592" t="b">
        <f>SUM(D46:I46,K46:P46,R46:W46,Y46:AD46)=SUM(AF46:AK46)</f>
        <v>1</v>
      </c>
      <c r="AM46" s="675"/>
    </row>
    <row r="47" spans="1:124" s="87" customFormat="1" ht="13.15" thickBot="1" x14ac:dyDescent="0.4">
      <c r="A47"/>
      <c r="B47" s="85"/>
      <c r="C47" s="27"/>
      <c r="D47" s="86"/>
      <c r="E47" s="86"/>
      <c r="F47" s="86"/>
      <c r="G47" s="86"/>
      <c r="H47" s="86"/>
      <c r="I47" s="86"/>
      <c r="J47" s="27"/>
      <c r="K47" s="86"/>
      <c r="L47" s="86"/>
      <c r="M47" s="86"/>
      <c r="N47" s="86"/>
      <c r="O47" s="86"/>
      <c r="P47" s="86"/>
      <c r="Q47" s="27"/>
      <c r="R47" s="86"/>
      <c r="S47" s="86"/>
      <c r="T47" s="86"/>
      <c r="U47" s="86"/>
      <c r="V47" s="86"/>
      <c r="W47" s="86"/>
      <c r="X47" s="27"/>
      <c r="Y47" s="86"/>
      <c r="Z47" s="86"/>
      <c r="AA47" s="86"/>
      <c r="AB47" s="86"/>
      <c r="AC47" s="86"/>
      <c r="AD47" s="86"/>
      <c r="AE47" s="27"/>
      <c r="AF47" s="86"/>
      <c r="AG47" s="86"/>
      <c r="AH47" s="86"/>
      <c r="AI47" s="86"/>
      <c r="AJ47" s="86"/>
      <c r="AK47" s="86"/>
      <c r="AL47" s="593"/>
      <c r="AM47" s="27"/>
      <c r="AN47" s="27"/>
      <c r="AO47" s="27"/>
      <c r="AP47" s="27"/>
      <c r="AQ47" s="27"/>
      <c r="AR47" s="27"/>
      <c r="AS47" s="27"/>
      <c r="AT47" s="27"/>
      <c r="AU47" s="27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  <c r="BW47" s="27"/>
      <c r="BX47" s="27"/>
      <c r="BY47" s="27"/>
      <c r="BZ47" s="27"/>
      <c r="CA47" s="27"/>
      <c r="CB47" s="27"/>
      <c r="CC47" s="27"/>
      <c r="CD47" s="27"/>
      <c r="CE47" s="27"/>
      <c r="CF47" s="27"/>
      <c r="CG47" s="27"/>
      <c r="CH47" s="27"/>
      <c r="CI47" s="27"/>
      <c r="CJ47" s="27"/>
      <c r="CK47" s="27"/>
      <c r="CL47" s="27"/>
      <c r="CM47" s="27"/>
      <c r="CN47" s="27"/>
      <c r="CO47" s="27"/>
      <c r="CP47" s="27"/>
      <c r="CQ47" s="27"/>
      <c r="CR47" s="27"/>
      <c r="CS47" s="27"/>
      <c r="CT47" s="27"/>
      <c r="CU47" s="27"/>
      <c r="CV47" s="27"/>
      <c r="CW47" s="27"/>
      <c r="CX47" s="27"/>
      <c r="CY47" s="27"/>
      <c r="CZ47" s="27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7"/>
      <c r="DL47" s="27"/>
      <c r="DM47" s="27"/>
      <c r="DN47" s="27"/>
      <c r="DO47" s="27"/>
      <c r="DP47" s="27"/>
      <c r="DQ47" s="27"/>
      <c r="DR47" s="27"/>
      <c r="DS47" s="27"/>
      <c r="DT47" s="27"/>
    </row>
    <row r="48" spans="1:124" s="3" customFormat="1" ht="13.5" thickBot="1" x14ac:dyDescent="0.45">
      <c r="B48" s="26" t="s">
        <v>37</v>
      </c>
      <c r="D48" s="78">
        <f t="shared" ref="D48:I48" si="95">D16+D21+D24+D37+D46</f>
        <v>0</v>
      </c>
      <c r="E48" s="78">
        <f t="shared" si="95"/>
        <v>1330968.75</v>
      </c>
      <c r="F48" s="78">
        <f t="shared" si="95"/>
        <v>3497575</v>
      </c>
      <c r="G48" s="78">
        <f t="shared" si="95"/>
        <v>4230037.5</v>
      </c>
      <c r="H48" s="78">
        <f t="shared" si="95"/>
        <v>4398200</v>
      </c>
      <c r="I48" s="78">
        <f t="shared" si="95"/>
        <v>4458362.5</v>
      </c>
      <c r="K48" s="78">
        <f t="shared" ref="K48:P48" si="96">K16+K21+K24+K37+K46</f>
        <v>0</v>
      </c>
      <c r="L48" s="78">
        <f t="shared" si="96"/>
        <v>0</v>
      </c>
      <c r="M48" s="78">
        <f t="shared" si="96"/>
        <v>0</v>
      </c>
      <c r="N48" s="78">
        <f t="shared" si="96"/>
        <v>0</v>
      </c>
      <c r="O48" s="78">
        <f t="shared" si="96"/>
        <v>0</v>
      </c>
      <c r="P48" s="78">
        <f t="shared" si="96"/>
        <v>216000</v>
      </c>
      <c r="R48" s="78">
        <f t="shared" ref="R48:W48" si="97">R16+R21+R24+R37+R46</f>
        <v>0</v>
      </c>
      <c r="S48" s="78">
        <f t="shared" si="97"/>
        <v>94500</v>
      </c>
      <c r="T48" s="78">
        <f t="shared" si="97"/>
        <v>2040037.5</v>
      </c>
      <c r="U48" s="78">
        <f t="shared" si="97"/>
        <v>4021300</v>
      </c>
      <c r="V48" s="78">
        <f t="shared" si="97"/>
        <v>6754800</v>
      </c>
      <c r="W48" s="78">
        <f t="shared" si="97"/>
        <v>7122612.5</v>
      </c>
      <c r="Y48" s="78">
        <f t="shared" ref="Y48:AD48" si="98">Y16+Y21+Y24+Y37+Y46</f>
        <v>5761285</v>
      </c>
      <c r="Z48" s="78">
        <f t="shared" si="98"/>
        <v>9653521.8592289053</v>
      </c>
      <c r="AA48" s="78">
        <f t="shared" si="98"/>
        <v>12011871.056168955</v>
      </c>
      <c r="AB48" s="78">
        <f t="shared" si="98"/>
        <v>15637670.50817192</v>
      </c>
      <c r="AC48" s="78">
        <f t="shared" si="98"/>
        <v>22693695.208963573</v>
      </c>
      <c r="AD48" s="78">
        <f t="shared" si="98"/>
        <v>42471534.092194505</v>
      </c>
      <c r="AF48" s="78">
        <f t="shared" ref="AF48:AK48" si="99">AF16+AF21+AF24+AF37+AF46</f>
        <v>5761285</v>
      </c>
      <c r="AG48" s="78">
        <f t="shared" si="99"/>
        <v>11078990.609228905</v>
      </c>
      <c r="AH48" s="78">
        <f t="shared" si="99"/>
        <v>17549483.556168955</v>
      </c>
      <c r="AI48" s="78">
        <f t="shared" si="99"/>
        <v>23889008.008171923</v>
      </c>
      <c r="AJ48" s="78">
        <f t="shared" si="99"/>
        <v>33846695.208963573</v>
      </c>
      <c r="AK48" s="78">
        <f t="shared" si="99"/>
        <v>54268509.092194505</v>
      </c>
      <c r="AL48" s="592" t="b">
        <f>SUM(D48:I48,K48:P48,R48:W48,Y48:AD48)=SUM(AF48:AK48)</f>
        <v>1</v>
      </c>
    </row>
    <row r="49" spans="2:38" s="3" customFormat="1" ht="13.15" x14ac:dyDescent="0.4">
      <c r="B49" s="70"/>
      <c r="D49" s="79"/>
      <c r="E49" s="79"/>
      <c r="F49" s="79"/>
      <c r="G49" s="79"/>
      <c r="H49" s="79"/>
      <c r="I49" s="79"/>
      <c r="K49" s="79"/>
      <c r="L49" s="79"/>
      <c r="M49" s="79"/>
      <c r="N49" s="79"/>
      <c r="O49" s="79"/>
      <c r="P49" s="79"/>
      <c r="R49" s="79"/>
      <c r="S49" s="79"/>
      <c r="T49" s="79"/>
      <c r="U49" s="79"/>
      <c r="V49" s="79"/>
      <c r="W49" s="79"/>
      <c r="Y49" s="79"/>
      <c r="Z49" s="79"/>
      <c r="AA49" s="79"/>
      <c r="AB49" s="79"/>
      <c r="AC49" s="79"/>
      <c r="AD49" s="79"/>
      <c r="AF49" s="79"/>
      <c r="AG49" s="79"/>
      <c r="AH49" s="79"/>
      <c r="AI49" s="79"/>
      <c r="AJ49" s="79"/>
      <c r="AK49" s="79"/>
      <c r="AL49" s="594"/>
    </row>
    <row r="50" spans="2:38" s="3" customFormat="1" ht="13.15" thickBot="1" x14ac:dyDescent="0.4">
      <c r="B50" s="83" t="s">
        <v>70</v>
      </c>
      <c r="D50" s="81"/>
      <c r="E50" s="81"/>
      <c r="F50" s="81"/>
      <c r="G50" s="81"/>
      <c r="H50" s="81"/>
      <c r="I50" s="81"/>
      <c r="K50" s="81"/>
      <c r="L50" s="81"/>
      <c r="M50" s="81"/>
      <c r="N50" s="81"/>
      <c r="O50" s="81"/>
      <c r="P50" s="81"/>
      <c r="R50" s="81"/>
      <c r="S50" s="81"/>
      <c r="T50" s="81"/>
      <c r="U50" s="81"/>
      <c r="V50" s="81"/>
      <c r="W50" s="81"/>
      <c r="Y50" s="81"/>
      <c r="Z50" s="81"/>
      <c r="AA50" s="81"/>
      <c r="AB50" s="81"/>
      <c r="AC50" s="81"/>
      <c r="AD50" s="81"/>
      <c r="AF50" s="782">
        <f>Assumptions!$D$56</f>
        <v>0.04</v>
      </c>
      <c r="AG50" s="782">
        <f>Assumptions!$D$56</f>
        <v>0.04</v>
      </c>
      <c r="AH50" s="782">
        <f>Assumptions!$D$56</f>
        <v>0.04</v>
      </c>
      <c r="AI50" s="782">
        <f>Assumptions!$D$56</f>
        <v>0.04</v>
      </c>
      <c r="AJ50" s="782">
        <f>Assumptions!$D$56</f>
        <v>0.04</v>
      </c>
      <c r="AK50" s="782">
        <f>Assumptions!$D$56</f>
        <v>0.04</v>
      </c>
      <c r="AL50" s="594"/>
    </row>
    <row r="51" spans="2:38" s="3" customFormat="1" ht="13.5" thickBot="1" x14ac:dyDescent="0.45">
      <c r="B51" s="173" t="s">
        <v>71</v>
      </c>
      <c r="D51" s="78"/>
      <c r="E51" s="78"/>
      <c r="F51" s="78"/>
      <c r="G51" s="78"/>
      <c r="H51" s="78"/>
      <c r="I51" s="78"/>
      <c r="K51" s="78"/>
      <c r="L51" s="78"/>
      <c r="M51" s="78"/>
      <c r="N51" s="78"/>
      <c r="O51" s="78"/>
      <c r="P51" s="78"/>
      <c r="R51" s="78"/>
      <c r="S51" s="78"/>
      <c r="T51" s="78"/>
      <c r="U51" s="78"/>
      <c r="V51" s="78"/>
      <c r="W51" s="78"/>
      <c r="Y51" s="78"/>
      <c r="Z51" s="78"/>
      <c r="AA51" s="78"/>
      <c r="AB51" s="78"/>
      <c r="AC51" s="78"/>
      <c r="AD51" s="78"/>
      <c r="AF51" s="151">
        <f>AF48 *AF50</f>
        <v>230451.4</v>
      </c>
      <c r="AG51" s="151">
        <f>AG48 *AG50</f>
        <v>443159.6243691562</v>
      </c>
      <c r="AH51" s="151">
        <f t="shared" ref="AH51:AK51" si="100">AH48 *AH50</f>
        <v>701979.34224675817</v>
      </c>
      <c r="AI51" s="151">
        <f t="shared" si="100"/>
        <v>955560.32032687694</v>
      </c>
      <c r="AJ51" s="151">
        <f t="shared" si="100"/>
        <v>1353867.8083585429</v>
      </c>
      <c r="AK51" s="151">
        <f t="shared" si="100"/>
        <v>2170740.3636877802</v>
      </c>
      <c r="AL51" s="592"/>
    </row>
    <row r="52" spans="2:38" s="3" customFormat="1" ht="13.15" x14ac:dyDescent="0.4">
      <c r="B52" s="70"/>
      <c r="D52" s="79"/>
      <c r="E52" s="79"/>
      <c r="F52" s="79"/>
      <c r="G52" s="79"/>
      <c r="H52" s="79"/>
      <c r="I52" s="79"/>
      <c r="K52" s="79"/>
      <c r="L52" s="79"/>
      <c r="M52" s="79"/>
      <c r="N52" s="79"/>
      <c r="O52" s="79"/>
      <c r="P52" s="79"/>
      <c r="R52" s="79"/>
      <c r="S52" s="79"/>
      <c r="T52" s="79"/>
      <c r="U52" s="79"/>
      <c r="V52" s="79"/>
      <c r="W52" s="79"/>
      <c r="Y52" s="79"/>
      <c r="Z52" s="79"/>
      <c r="AA52" s="79"/>
      <c r="AB52" s="79"/>
      <c r="AC52" s="79"/>
      <c r="AD52" s="79"/>
      <c r="AF52" s="79"/>
      <c r="AG52" s="79"/>
      <c r="AH52" s="640"/>
      <c r="AI52" s="79"/>
      <c r="AJ52" s="79"/>
      <c r="AK52" s="79"/>
      <c r="AL52" s="594"/>
    </row>
    <row r="53" spans="2:38" ht="13.15" thickBot="1" x14ac:dyDescent="0.4">
      <c r="B53" s="630" t="s">
        <v>271</v>
      </c>
      <c r="D53" s="82"/>
      <c r="E53" s="82"/>
      <c r="F53" s="82"/>
      <c r="G53" s="82"/>
      <c r="H53" s="82"/>
      <c r="I53" s="82"/>
      <c r="K53" s="82"/>
      <c r="L53" s="82"/>
      <c r="M53" s="82"/>
      <c r="N53" s="82"/>
      <c r="O53" s="82"/>
      <c r="P53" s="82"/>
      <c r="R53" s="82"/>
      <c r="S53" s="82"/>
      <c r="T53" s="82"/>
      <c r="U53" s="82"/>
      <c r="V53" s="82"/>
      <c r="W53" s="82"/>
      <c r="Y53" s="82"/>
      <c r="Z53" s="82"/>
      <c r="AA53" s="82"/>
      <c r="AB53" s="82"/>
      <c r="AC53" s="82"/>
      <c r="AD53" s="82"/>
      <c r="AF53" s="81">
        <f t="shared" ref="AF53:AK53" si="101">IF(AF12&lt;=0," ",AF54 /AF12)</f>
        <v>-2.6313553939393941</v>
      </c>
      <c r="AG53" s="81">
        <f t="shared" si="101"/>
        <v>-0.19226436570766267</v>
      </c>
      <c r="AH53" s="81">
        <f t="shared" si="101"/>
        <v>0.4388759318010978</v>
      </c>
      <c r="AI53" s="81">
        <f t="shared" si="101"/>
        <v>0.69626049375313404</v>
      </c>
      <c r="AJ53" s="81">
        <f t="shared" si="101"/>
        <v>0.79077112995587728</v>
      </c>
      <c r="AK53" s="81">
        <f t="shared" si="101"/>
        <v>0.93936277868192097</v>
      </c>
    </row>
    <row r="54" spans="2:38" ht="13.5" thickBot="1" x14ac:dyDescent="0.45">
      <c r="B54" s="553" t="s">
        <v>270</v>
      </c>
      <c r="D54" s="74"/>
      <c r="E54" s="74"/>
      <c r="F54" s="74"/>
      <c r="G54" s="74"/>
      <c r="H54" s="74"/>
      <c r="I54" s="74"/>
      <c r="K54" s="74"/>
      <c r="L54" s="74"/>
      <c r="M54" s="74"/>
      <c r="N54" s="74"/>
      <c r="O54" s="74"/>
      <c r="P54" s="74"/>
      <c r="R54" s="74"/>
      <c r="S54" s="74"/>
      <c r="T54" s="74"/>
      <c r="U54" s="74"/>
      <c r="V54" s="74"/>
      <c r="W54" s="74"/>
      <c r="Y54" s="74"/>
      <c r="Z54" s="74"/>
      <c r="AA54" s="74"/>
      <c r="AB54" s="74"/>
      <c r="AC54" s="74"/>
      <c r="AD54" s="74"/>
      <c r="AF54" s="351">
        <f t="shared" ref="AF54:AK54" si="102">AF12-AF48-AF51</f>
        <v>-4341736.4000000004</v>
      </c>
      <c r="AG54" s="351">
        <f t="shared" si="102"/>
        <v>-1858060.1500542616</v>
      </c>
      <c r="AH54" s="351">
        <f t="shared" si="102"/>
        <v>14275145.623295566</v>
      </c>
      <c r="AI54" s="351">
        <f t="shared" si="102"/>
        <v>56951075.035411336</v>
      </c>
      <c r="AJ54" s="351">
        <f t="shared" si="102"/>
        <v>133038949.10114864</v>
      </c>
      <c r="AK54" s="351">
        <f t="shared" si="102"/>
        <v>874329810.02697527</v>
      </c>
      <c r="AL54" s="592"/>
    </row>
    <row r="55" spans="2:38" ht="13.15" x14ac:dyDescent="0.4">
      <c r="B55" s="5"/>
      <c r="D55" s="76"/>
      <c r="E55" s="76"/>
      <c r="F55" s="76"/>
      <c r="G55" s="76"/>
      <c r="H55" s="76"/>
      <c r="I55" s="76"/>
      <c r="K55" s="76"/>
      <c r="L55" s="76"/>
      <c r="M55" s="76"/>
      <c r="N55" s="76"/>
      <c r="O55" s="76"/>
      <c r="P55" s="76"/>
      <c r="R55" s="76"/>
      <c r="S55" s="76"/>
      <c r="T55" s="76"/>
      <c r="U55" s="76"/>
      <c r="V55" s="76"/>
      <c r="W55" s="76"/>
      <c r="Y55" s="76"/>
      <c r="Z55" s="76"/>
      <c r="AA55" s="76"/>
      <c r="AB55" s="76"/>
      <c r="AC55" s="76"/>
      <c r="AD55" s="76"/>
      <c r="AF55" s="76"/>
      <c r="AG55" s="76"/>
      <c r="AH55" s="76"/>
      <c r="AI55" s="76"/>
      <c r="AJ55" s="76"/>
      <c r="AK55" s="76"/>
    </row>
    <row r="56" spans="2:38" ht="13.15" x14ac:dyDescent="0.4">
      <c r="B56" s="2"/>
    </row>
    <row r="57" spans="2:38" x14ac:dyDescent="0.35">
      <c r="B57" s="7"/>
      <c r="AG57" s="45"/>
      <c r="AH57" s="45"/>
      <c r="AI57" s="45"/>
      <c r="AJ57" s="45"/>
      <c r="AK57" s="45"/>
    </row>
    <row r="58" spans="2:38" x14ac:dyDescent="0.35">
      <c r="B58" s="6"/>
    </row>
    <row r="59" spans="2:38" x14ac:dyDescent="0.35">
      <c r="B59" s="6"/>
    </row>
    <row r="60" spans="2:38" x14ac:dyDescent="0.35">
      <c r="B60" s="6"/>
    </row>
    <row r="61" spans="2:38" x14ac:dyDescent="0.35">
      <c r="B61" s="6"/>
    </row>
    <row r="62" spans="2:38" x14ac:dyDescent="0.35">
      <c r="B62" s="6"/>
    </row>
    <row r="63" spans="2:38" x14ac:dyDescent="0.35">
      <c r="B63" s="6"/>
    </row>
    <row r="64" spans="2:38" x14ac:dyDescent="0.35">
      <c r="B64" s="6"/>
    </row>
    <row r="65" spans="2:2" x14ac:dyDescent="0.35">
      <c r="B65" s="6"/>
    </row>
    <row r="66" spans="2:2" x14ac:dyDescent="0.35">
      <c r="B66" s="6"/>
    </row>
  </sheetData>
  <phoneticPr fontId="0" type="noConversion"/>
  <pageMargins left="0.75" right="0.75" top="1" bottom="1" header="0.5" footer="0.5"/>
  <pageSetup paperSize="9" scale="7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BG61"/>
  <sheetViews>
    <sheetView topLeftCell="L1" zoomScale="81" zoomScaleNormal="81" workbookViewId="0">
      <selection activeCell="AA30" sqref="AA30"/>
    </sheetView>
  </sheetViews>
  <sheetFormatPr defaultColWidth="9.1328125" defaultRowHeight="12.75" x14ac:dyDescent="0.35"/>
  <cols>
    <col min="1" max="1" width="2" style="30" customWidth="1"/>
    <col min="2" max="2" width="4.1328125" style="29" customWidth="1"/>
    <col min="3" max="3" width="27.46484375" style="30" customWidth="1"/>
    <col min="4" max="4" width="29.86328125" style="30" customWidth="1"/>
    <col min="5" max="5" width="13.3984375" style="30" customWidth="1"/>
    <col min="6" max="6" width="13.6640625" style="90" customWidth="1"/>
    <col min="7" max="8" width="13.6640625" style="98" customWidth="1"/>
    <col min="9" max="9" width="15.1328125" style="98" bestFit="1" customWidth="1"/>
    <col min="10" max="10" width="15.46484375" style="98" bestFit="1" customWidth="1"/>
    <col min="11" max="11" width="5.53125" style="30" customWidth="1"/>
    <col min="12" max="12" width="4.1328125" style="29" customWidth="1"/>
    <col min="13" max="13" width="27.46484375" style="30" customWidth="1"/>
    <col min="14" max="14" width="29.86328125" style="30" customWidth="1"/>
    <col min="15" max="15" width="17.1328125" style="30" customWidth="1"/>
    <col min="16" max="16" width="13.6640625" style="90" customWidth="1"/>
    <col min="17" max="19" width="13.6640625" style="98" customWidth="1"/>
    <col min="20" max="20" width="15.1328125" style="98" customWidth="1"/>
    <col min="21" max="21" width="9.1328125" style="30" customWidth="1"/>
    <col min="22" max="22" width="4.1328125" style="29" customWidth="1"/>
    <col min="23" max="23" width="27.46484375" style="30" customWidth="1"/>
    <col min="24" max="24" width="20.86328125" style="30" customWidth="1"/>
    <col min="25" max="25" width="17.19921875" style="30" customWidth="1"/>
    <col min="26" max="26" width="13.6640625" style="90" customWidth="1"/>
    <col min="27" max="30" width="13.6640625" style="98" customWidth="1"/>
    <col min="31" max="31" width="9.1328125" style="30"/>
    <col min="32" max="32" width="4.1328125" style="29" hidden="1" customWidth="1"/>
    <col min="33" max="33" width="27.46484375" style="30" hidden="1" customWidth="1"/>
    <col min="34" max="34" width="18.3984375" style="30" hidden="1" customWidth="1"/>
    <col min="35" max="35" width="13.6640625" style="90" hidden="1" customWidth="1"/>
    <col min="36" max="39" width="13.6640625" style="98" hidden="1" customWidth="1"/>
    <col min="40" max="40" width="15.1328125" style="98" hidden="1" customWidth="1"/>
    <col min="41" max="41" width="15.46484375" style="98" hidden="1" customWidth="1"/>
    <col min="42" max="42" width="14.19921875" style="30" hidden="1" customWidth="1"/>
    <col min="43" max="43" width="4.1328125" style="29" hidden="1" customWidth="1"/>
    <col min="44" max="44" width="27.46484375" style="30" hidden="1" customWidth="1"/>
    <col min="45" max="45" width="29.86328125" style="30" hidden="1" customWidth="1"/>
    <col min="46" max="46" width="13.6640625" style="90" hidden="1" customWidth="1"/>
    <col min="47" max="52" width="13.6640625" style="98" hidden="1" customWidth="1"/>
    <col min="53" max="53" width="9.1328125" style="30" hidden="1" customWidth="1"/>
    <col min="54" max="56" width="8.86328125" style="30" hidden="1" customWidth="1"/>
    <col min="57" max="57" width="8.86328125" style="30" customWidth="1"/>
    <col min="58" max="58" width="13.6640625" style="30" customWidth="1"/>
    <col min="59" max="59" width="14.86328125" style="30" customWidth="1"/>
    <col min="60" max="60" width="8.86328125" style="30" customWidth="1"/>
    <col min="61" max="16384" width="9.1328125" style="30"/>
  </cols>
  <sheetData>
    <row r="1" spans="1:59" ht="13.15" thickBot="1" x14ac:dyDescent="0.4">
      <c r="D1" s="31"/>
      <c r="E1" s="31"/>
      <c r="F1" s="185"/>
      <c r="N1" s="31"/>
      <c r="O1" s="31"/>
      <c r="X1" s="31"/>
      <c r="Y1" s="31"/>
      <c r="AH1" s="31"/>
      <c r="AS1" s="31"/>
    </row>
    <row r="2" spans="1:59" s="160" customFormat="1" ht="15.4" thickBot="1" x14ac:dyDescent="0.45">
      <c r="A2" s="159"/>
      <c r="B2" s="154">
        <v>1</v>
      </c>
      <c r="C2" s="155" t="s">
        <v>39</v>
      </c>
      <c r="D2" s="752" t="str">
        <f>BF3</f>
        <v>UK/APAC</v>
      </c>
      <c r="E2" s="155"/>
      <c r="F2" s="156"/>
      <c r="G2" s="157"/>
      <c r="H2" s="157"/>
      <c r="I2" s="157"/>
      <c r="J2" s="157"/>
      <c r="K2" s="158"/>
      <c r="L2" s="154">
        <v>2</v>
      </c>
      <c r="M2" s="155" t="s">
        <v>39</v>
      </c>
      <c r="N2" s="155" t="str">
        <f>BF4</f>
        <v>Other</v>
      </c>
      <c r="O2" s="155"/>
      <c r="P2" s="156"/>
      <c r="Q2" s="157"/>
      <c r="R2" s="157"/>
      <c r="S2" s="157"/>
      <c r="T2" s="157"/>
      <c r="U2" s="159"/>
      <c r="V2" s="154">
        <v>3</v>
      </c>
      <c r="W2" s="155" t="s">
        <v>39</v>
      </c>
      <c r="X2" s="155" t="str">
        <f>BF5</f>
        <v>USA</v>
      </c>
      <c r="Y2" s="155"/>
      <c r="Z2" s="156"/>
      <c r="AA2" s="157"/>
      <c r="AB2" s="157"/>
      <c r="AC2" s="157"/>
      <c r="AD2" s="157"/>
      <c r="AE2" s="159"/>
      <c r="AF2" s="154">
        <v>4</v>
      </c>
      <c r="AG2" s="155" t="s">
        <v>39</v>
      </c>
      <c r="AH2" s="155">
        <f>BF6</f>
        <v>0</v>
      </c>
      <c r="AI2" s="156"/>
      <c r="AJ2" s="157"/>
      <c r="AK2" s="157"/>
      <c r="AL2" s="157"/>
      <c r="AM2" s="157"/>
      <c r="AN2" s="157"/>
      <c r="AO2" s="157"/>
      <c r="AP2" s="159"/>
      <c r="AQ2" s="154">
        <v>5</v>
      </c>
      <c r="AR2" s="155" t="s">
        <v>39</v>
      </c>
      <c r="AS2" s="155">
        <f>BF7</f>
        <v>0</v>
      </c>
      <c r="AT2" s="156"/>
      <c r="AU2" s="157"/>
      <c r="AV2" s="157"/>
      <c r="AW2" s="157"/>
      <c r="AX2" s="157"/>
      <c r="AY2" s="157"/>
      <c r="AZ2" s="157"/>
      <c r="BG2" s="160" t="s">
        <v>27</v>
      </c>
    </row>
    <row r="3" spans="1:59" s="285" customFormat="1" ht="13.5" thickBot="1" x14ac:dyDescent="0.45">
      <c r="B3" s="286"/>
      <c r="C3" s="152" t="s">
        <v>276</v>
      </c>
      <c r="D3" s="287" t="s">
        <v>44</v>
      </c>
      <c r="E3" s="152" t="s">
        <v>282</v>
      </c>
      <c r="F3" s="152" t="s">
        <v>41</v>
      </c>
      <c r="G3" s="152" t="s">
        <v>127</v>
      </c>
      <c r="H3" s="152" t="s">
        <v>128</v>
      </c>
      <c r="I3" s="152" t="s">
        <v>129</v>
      </c>
      <c r="J3" s="152" t="s">
        <v>130</v>
      </c>
      <c r="L3" s="286"/>
      <c r="M3" s="152" t="s">
        <v>276</v>
      </c>
      <c r="N3" s="287" t="s">
        <v>44</v>
      </c>
      <c r="O3" s="152" t="s">
        <v>282</v>
      </c>
      <c r="P3" s="152" t="s">
        <v>41</v>
      </c>
      <c r="Q3" s="152" t="s">
        <v>127</v>
      </c>
      <c r="R3" s="152" t="s">
        <v>128</v>
      </c>
      <c r="S3" s="152" t="s">
        <v>129</v>
      </c>
      <c r="T3" s="152" t="s">
        <v>130</v>
      </c>
      <c r="U3" s="285" t="s">
        <v>131</v>
      </c>
      <c r="V3" s="286"/>
      <c r="W3" s="152" t="s">
        <v>276</v>
      </c>
      <c r="X3" s="287" t="s">
        <v>44</v>
      </c>
      <c r="Y3" s="727" t="s">
        <v>282</v>
      </c>
      <c r="Z3" s="726" t="s">
        <v>41</v>
      </c>
      <c r="AA3" s="152" t="s">
        <v>127</v>
      </c>
      <c r="AB3" s="152" t="s">
        <v>128</v>
      </c>
      <c r="AC3" s="152" t="s">
        <v>129</v>
      </c>
      <c r="AD3" s="153" t="s">
        <v>130</v>
      </c>
      <c r="AE3" s="285" t="s">
        <v>131</v>
      </c>
      <c r="AF3" s="286"/>
      <c r="AG3" s="152" t="s">
        <v>276</v>
      </c>
      <c r="AH3" s="287" t="s">
        <v>44</v>
      </c>
      <c r="AI3" s="152" t="s">
        <v>41</v>
      </c>
      <c r="AJ3" s="152" t="s">
        <v>127</v>
      </c>
      <c r="AK3" s="152" t="s">
        <v>128</v>
      </c>
      <c r="AL3" s="152" t="s">
        <v>129</v>
      </c>
      <c r="AM3" s="152" t="s">
        <v>130</v>
      </c>
      <c r="AN3" s="152" t="s">
        <v>131</v>
      </c>
      <c r="AO3" s="152" t="s">
        <v>132</v>
      </c>
      <c r="AQ3" s="286"/>
      <c r="AR3" s="152" t="s">
        <v>40</v>
      </c>
      <c r="AS3" s="287" t="s">
        <v>44</v>
      </c>
      <c r="AT3" s="152">
        <v>2007</v>
      </c>
      <c r="AU3" s="152">
        <v>2008</v>
      </c>
      <c r="AV3" s="152">
        <v>2009</v>
      </c>
      <c r="AW3" s="152">
        <v>2010</v>
      </c>
      <c r="AX3" s="152">
        <v>2011</v>
      </c>
      <c r="AY3" s="152">
        <v>2012</v>
      </c>
      <c r="AZ3" s="153">
        <v>2013</v>
      </c>
      <c r="BF3" s="288" t="s">
        <v>293</v>
      </c>
    </row>
    <row r="4" spans="1:59" x14ac:dyDescent="0.35">
      <c r="B4" s="29">
        <v>1</v>
      </c>
      <c r="C4" s="528" t="s">
        <v>99</v>
      </c>
      <c r="D4" s="529" t="s">
        <v>293</v>
      </c>
      <c r="E4" s="780"/>
      <c r="F4" s="731" t="s">
        <v>38</v>
      </c>
      <c r="G4" s="734"/>
      <c r="H4" s="231"/>
      <c r="I4" s="231"/>
      <c r="J4" s="705"/>
      <c r="L4" s="29">
        <v>1</v>
      </c>
      <c r="M4" s="528" t="s">
        <v>99</v>
      </c>
      <c r="N4" s="529"/>
      <c r="O4" s="718"/>
      <c r="P4" s="719"/>
      <c r="Q4" s="175"/>
      <c r="R4" s="175"/>
      <c r="S4" s="175"/>
      <c r="T4" s="720"/>
      <c r="V4" s="29">
        <v>1</v>
      </c>
      <c r="W4" s="528" t="s">
        <v>99</v>
      </c>
      <c r="X4" s="531" t="s">
        <v>53</v>
      </c>
      <c r="Y4" s="701"/>
      <c r="Z4" s="719"/>
      <c r="AA4" s="175"/>
      <c r="AB4" s="175"/>
      <c r="AC4" s="175"/>
      <c r="AD4" s="720"/>
      <c r="AF4" s="29">
        <v>1</v>
      </c>
      <c r="AG4" s="103"/>
      <c r="AH4" s="37"/>
      <c r="AI4" s="215"/>
      <c r="AJ4" s="92"/>
      <c r="AK4" s="175"/>
      <c r="AL4" s="175"/>
      <c r="AM4" s="175"/>
      <c r="AN4" s="175"/>
      <c r="AO4" s="93" t="s">
        <v>73</v>
      </c>
      <c r="AQ4" s="29">
        <v>1</v>
      </c>
      <c r="AR4" s="103"/>
      <c r="AS4" s="37"/>
      <c r="AT4" s="91"/>
      <c r="AU4" s="92"/>
      <c r="AV4" s="92" t="s">
        <v>73</v>
      </c>
      <c r="AW4" s="92" t="s">
        <v>73</v>
      </c>
      <c r="AX4" s="92" t="s">
        <v>73</v>
      </c>
      <c r="AY4" s="92" t="s">
        <v>73</v>
      </c>
      <c r="AZ4" s="93" t="s">
        <v>73</v>
      </c>
      <c r="BF4" s="39" t="s">
        <v>29</v>
      </c>
    </row>
    <row r="5" spans="1:59" x14ac:dyDescent="0.35">
      <c r="B5" s="29">
        <v>2</v>
      </c>
      <c r="C5" s="530" t="s">
        <v>100</v>
      </c>
      <c r="D5" s="699" t="s">
        <v>293</v>
      </c>
      <c r="E5" s="701"/>
      <c r="F5" s="706"/>
      <c r="G5" s="232"/>
      <c r="H5" s="232"/>
      <c r="I5" s="232"/>
      <c r="J5" s="707"/>
      <c r="L5" s="29">
        <v>2</v>
      </c>
      <c r="M5" s="530" t="s">
        <v>100</v>
      </c>
      <c r="N5" s="531"/>
      <c r="O5" s="702"/>
      <c r="P5" s="721"/>
      <c r="Q5" s="176"/>
      <c r="R5" s="176"/>
      <c r="S5" s="176"/>
      <c r="T5" s="722"/>
      <c r="V5" s="29">
        <v>2</v>
      </c>
      <c r="W5" s="530" t="s">
        <v>52</v>
      </c>
      <c r="X5" s="531" t="s">
        <v>53</v>
      </c>
      <c r="Y5" s="702"/>
      <c r="Z5" s="721"/>
      <c r="AA5" s="176"/>
      <c r="AB5" s="176"/>
      <c r="AC5" s="176"/>
      <c r="AD5" s="722"/>
      <c r="AF5" s="29">
        <v>2</v>
      </c>
      <c r="AG5" s="120"/>
      <c r="AH5" s="41"/>
      <c r="AI5" s="213"/>
      <c r="AJ5" s="100"/>
      <c r="AK5" s="176"/>
      <c r="AL5" s="176"/>
      <c r="AM5" s="176"/>
      <c r="AN5" s="176"/>
      <c r="AO5" s="101" t="s">
        <v>73</v>
      </c>
      <c r="AQ5" s="29">
        <v>2</v>
      </c>
      <c r="AR5" s="120"/>
      <c r="AS5" s="41"/>
      <c r="AT5" s="94"/>
      <c r="AU5" s="100"/>
      <c r="AV5" s="94" t="s">
        <v>73</v>
      </c>
      <c r="AW5" s="94" t="s">
        <v>73</v>
      </c>
      <c r="AX5" s="94" t="s">
        <v>73</v>
      </c>
      <c r="AY5" s="94" t="s">
        <v>73</v>
      </c>
      <c r="AZ5" s="101" t="s">
        <v>73</v>
      </c>
      <c r="BF5" s="39" t="s">
        <v>233</v>
      </c>
    </row>
    <row r="6" spans="1:59" x14ac:dyDescent="0.35">
      <c r="B6" s="29">
        <v>3</v>
      </c>
      <c r="C6" s="530" t="s">
        <v>101</v>
      </c>
      <c r="D6" s="531"/>
      <c r="E6" s="702"/>
      <c r="F6" s="706"/>
      <c r="G6" s="232" t="s">
        <v>38</v>
      </c>
      <c r="H6" s="232"/>
      <c r="I6" s="232"/>
      <c r="J6" s="707"/>
      <c r="L6" s="29">
        <v>3</v>
      </c>
      <c r="M6" s="530" t="s">
        <v>101</v>
      </c>
      <c r="N6" s="531"/>
      <c r="O6" s="702"/>
      <c r="P6" s="721"/>
      <c r="Q6" s="176"/>
      <c r="R6" s="176"/>
      <c r="S6" s="176"/>
      <c r="T6" s="722"/>
      <c r="V6" s="29">
        <v>3</v>
      </c>
      <c r="W6" s="530" t="s">
        <v>101</v>
      </c>
      <c r="X6" s="531" t="s">
        <v>53</v>
      </c>
      <c r="Y6" s="702"/>
      <c r="Z6" s="721"/>
      <c r="AA6" s="176" t="s">
        <v>38</v>
      </c>
      <c r="AB6" s="176"/>
      <c r="AC6" s="176"/>
      <c r="AD6" s="722"/>
      <c r="AF6" s="29">
        <v>3</v>
      </c>
      <c r="AG6" s="120"/>
      <c r="AH6" s="41"/>
      <c r="AI6" s="216"/>
      <c r="AJ6" s="94"/>
      <c r="AK6" s="176"/>
      <c r="AL6" s="176"/>
      <c r="AM6" s="176"/>
      <c r="AN6" s="176" t="s">
        <v>73</v>
      </c>
      <c r="AO6" s="101" t="s">
        <v>73</v>
      </c>
      <c r="AQ6" s="29">
        <v>3</v>
      </c>
      <c r="AR6" s="120"/>
      <c r="AS6" s="41"/>
      <c r="AT6" s="100"/>
      <c r="AU6" s="94"/>
      <c r="AV6" s="94" t="s">
        <v>73</v>
      </c>
      <c r="AW6" s="94" t="s">
        <v>73</v>
      </c>
      <c r="AX6" s="94" t="s">
        <v>73</v>
      </c>
      <c r="AY6" s="94" t="s">
        <v>73</v>
      </c>
      <c r="AZ6" s="101" t="s">
        <v>73</v>
      </c>
      <c r="BF6" s="39"/>
    </row>
    <row r="7" spans="1:59" ht="13.15" thickBot="1" x14ac:dyDescent="0.4">
      <c r="B7" s="29">
        <v>4</v>
      </c>
      <c r="C7" s="530" t="s">
        <v>102</v>
      </c>
      <c r="D7" s="531"/>
      <c r="E7" s="702"/>
      <c r="F7" s="706"/>
      <c r="G7" s="232" t="s">
        <v>38</v>
      </c>
      <c r="H7" s="232"/>
      <c r="I7" s="232"/>
      <c r="J7" s="707"/>
      <c r="L7" s="29">
        <v>4</v>
      </c>
      <c r="M7" s="530" t="s">
        <v>102</v>
      </c>
      <c r="N7" s="531"/>
      <c r="O7" s="702"/>
      <c r="P7" s="721"/>
      <c r="Q7" s="176"/>
      <c r="R7" s="176"/>
      <c r="S7" s="176"/>
      <c r="T7" s="722"/>
      <c r="V7" s="29">
        <v>4</v>
      </c>
      <c r="W7" s="530" t="s">
        <v>102</v>
      </c>
      <c r="X7" s="531" t="s">
        <v>53</v>
      </c>
      <c r="Y7" s="702"/>
      <c r="Z7" s="721"/>
      <c r="AA7" s="176"/>
      <c r="AB7" s="176" t="s">
        <v>38</v>
      </c>
      <c r="AC7" s="176"/>
      <c r="AD7" s="722"/>
      <c r="AF7" s="29">
        <v>4</v>
      </c>
      <c r="AG7" s="120"/>
      <c r="AH7" s="41"/>
      <c r="AI7" s="213"/>
      <c r="AJ7" s="100"/>
      <c r="AK7" s="176"/>
      <c r="AL7" s="176"/>
      <c r="AM7" s="176"/>
      <c r="AN7" s="176"/>
      <c r="AO7" s="101" t="s">
        <v>73</v>
      </c>
      <c r="AQ7" s="29">
        <v>4</v>
      </c>
      <c r="AR7" s="120"/>
      <c r="AS7" s="41"/>
      <c r="AT7" s="94"/>
      <c r="AU7" s="100"/>
      <c r="AV7" s="94" t="s">
        <v>73</v>
      </c>
      <c r="AW7" s="94" t="s">
        <v>73</v>
      </c>
      <c r="AX7" s="94" t="s">
        <v>73</v>
      </c>
      <c r="AY7" s="94" t="s">
        <v>73</v>
      </c>
      <c r="AZ7" s="101" t="s">
        <v>73</v>
      </c>
      <c r="BF7" s="174"/>
    </row>
    <row r="8" spans="1:59" x14ac:dyDescent="0.35">
      <c r="B8" s="29">
        <v>5</v>
      </c>
      <c r="C8" s="530" t="s">
        <v>103</v>
      </c>
      <c r="D8" s="531"/>
      <c r="E8" s="702"/>
      <c r="F8" s="706"/>
      <c r="G8" s="232"/>
      <c r="H8" s="232" t="s">
        <v>38</v>
      </c>
      <c r="I8" s="232"/>
      <c r="J8" s="707"/>
      <c r="L8" s="29">
        <v>5</v>
      </c>
      <c r="M8" s="530" t="s">
        <v>103</v>
      </c>
      <c r="N8" s="531"/>
      <c r="O8" s="702"/>
      <c r="P8" s="721"/>
      <c r="Q8" s="176"/>
      <c r="R8" s="176"/>
      <c r="S8" s="176"/>
      <c r="T8" s="722"/>
      <c r="V8" s="29">
        <v>5</v>
      </c>
      <c r="W8" s="530" t="s">
        <v>103</v>
      </c>
      <c r="X8" s="531" t="s">
        <v>53</v>
      </c>
      <c r="Y8" s="702"/>
      <c r="Z8" s="721"/>
      <c r="AA8" s="176"/>
      <c r="AB8" s="176" t="s">
        <v>38</v>
      </c>
      <c r="AC8" s="176"/>
      <c r="AD8" s="722"/>
      <c r="AF8" s="29">
        <v>5</v>
      </c>
      <c r="AG8" s="120"/>
      <c r="AH8" s="41"/>
      <c r="AI8" s="213"/>
      <c r="AJ8" s="94"/>
      <c r="AK8" s="94"/>
      <c r="AL8" s="94"/>
      <c r="AM8" s="94"/>
      <c r="AN8" s="94" t="s">
        <v>73</v>
      </c>
      <c r="AO8" s="101" t="s">
        <v>73</v>
      </c>
      <c r="AQ8" s="29">
        <v>5</v>
      </c>
      <c r="AR8" s="120"/>
      <c r="AS8" s="41"/>
      <c r="AT8" s="94"/>
      <c r="AU8" s="94"/>
      <c r="AV8" s="94" t="s">
        <v>73</v>
      </c>
      <c r="AW8" s="94" t="s">
        <v>73</v>
      </c>
      <c r="AX8" s="94" t="s">
        <v>73</v>
      </c>
      <c r="AY8" s="94" t="s">
        <v>73</v>
      </c>
      <c r="AZ8" s="101" t="s">
        <v>73</v>
      </c>
    </row>
    <row r="9" spans="1:59" x14ac:dyDescent="0.35">
      <c r="B9" s="29">
        <v>6</v>
      </c>
      <c r="C9" s="530" t="s">
        <v>104</v>
      </c>
      <c r="D9" s="531"/>
      <c r="E9" s="702"/>
      <c r="F9" s="706"/>
      <c r="G9" s="232"/>
      <c r="H9" s="232" t="s">
        <v>38</v>
      </c>
      <c r="I9" s="232"/>
      <c r="J9" s="707"/>
      <c r="L9" s="29">
        <v>6</v>
      </c>
      <c r="M9" s="530" t="s">
        <v>104</v>
      </c>
      <c r="N9" s="531"/>
      <c r="O9" s="702"/>
      <c r="P9" s="721"/>
      <c r="Q9" s="176"/>
      <c r="R9" s="176"/>
      <c r="S9" s="176"/>
      <c r="T9" s="722"/>
      <c r="V9" s="29">
        <v>6</v>
      </c>
      <c r="W9" s="530" t="s">
        <v>104</v>
      </c>
      <c r="X9" s="531" t="s">
        <v>53</v>
      </c>
      <c r="Y9" s="702"/>
      <c r="Z9" s="721"/>
      <c r="AA9" s="176"/>
      <c r="AB9" s="176"/>
      <c r="AC9" s="176" t="s">
        <v>38</v>
      </c>
      <c r="AD9" s="722"/>
      <c r="AF9" s="29">
        <v>6</v>
      </c>
      <c r="AG9" s="120"/>
      <c r="AH9" s="41"/>
      <c r="AI9" s="213"/>
      <c r="AJ9" s="94"/>
      <c r="AK9" s="94"/>
      <c r="AL9" s="94"/>
      <c r="AM9" s="94"/>
      <c r="AN9" s="94" t="s">
        <v>73</v>
      </c>
      <c r="AO9" s="101" t="s">
        <v>73</v>
      </c>
      <c r="AQ9" s="29">
        <v>6</v>
      </c>
      <c r="AR9" s="120"/>
      <c r="AS9" s="41"/>
      <c r="AT9" s="94"/>
      <c r="AU9" s="94"/>
      <c r="AV9" s="94" t="s">
        <v>73</v>
      </c>
      <c r="AW9" s="94" t="s">
        <v>73</v>
      </c>
      <c r="AX9" s="94" t="s">
        <v>73</v>
      </c>
      <c r="AY9" s="94" t="s">
        <v>73</v>
      </c>
      <c r="AZ9" s="101" t="s">
        <v>73</v>
      </c>
    </row>
    <row r="10" spans="1:59" x14ac:dyDescent="0.35">
      <c r="B10" s="29">
        <v>7</v>
      </c>
      <c r="C10" s="530" t="s">
        <v>105</v>
      </c>
      <c r="D10" s="531"/>
      <c r="E10" s="702"/>
      <c r="F10" s="706"/>
      <c r="G10" s="232"/>
      <c r="H10" s="232"/>
      <c r="I10" s="232" t="s">
        <v>38</v>
      </c>
      <c r="J10" s="707"/>
      <c r="L10" s="29">
        <v>7</v>
      </c>
      <c r="M10" s="530" t="s">
        <v>105</v>
      </c>
      <c r="N10" s="531"/>
      <c r="O10" s="702"/>
      <c r="P10" s="721"/>
      <c r="Q10" s="176"/>
      <c r="R10" s="176"/>
      <c r="S10" s="176"/>
      <c r="T10" s="722"/>
      <c r="V10" s="29">
        <v>7</v>
      </c>
      <c r="W10" s="530" t="s">
        <v>105</v>
      </c>
      <c r="X10" s="531" t="s">
        <v>53</v>
      </c>
      <c r="Y10" s="702"/>
      <c r="Z10" s="721"/>
      <c r="AA10" s="176"/>
      <c r="AB10" s="176"/>
      <c r="AC10" s="176" t="s">
        <v>38</v>
      </c>
      <c r="AD10" s="722"/>
      <c r="AF10" s="29">
        <v>7</v>
      </c>
      <c r="AG10" s="120"/>
      <c r="AH10" s="41"/>
      <c r="AI10" s="213"/>
      <c r="AJ10" s="94"/>
      <c r="AK10" s="94" t="s">
        <v>73</v>
      </c>
      <c r="AL10" s="94" t="s">
        <v>73</v>
      </c>
      <c r="AM10" s="94" t="s">
        <v>73</v>
      </c>
      <c r="AN10" s="94" t="s">
        <v>73</v>
      </c>
      <c r="AO10" s="101" t="s">
        <v>73</v>
      </c>
      <c r="AQ10" s="29">
        <v>7</v>
      </c>
      <c r="AR10" s="120"/>
      <c r="AS10" s="41"/>
      <c r="AT10" s="94"/>
      <c r="AU10" s="94"/>
      <c r="AV10" s="94" t="s">
        <v>73</v>
      </c>
      <c r="AW10" s="94" t="s">
        <v>73</v>
      </c>
      <c r="AX10" s="94" t="s">
        <v>73</v>
      </c>
      <c r="AY10" s="94" t="s">
        <v>73</v>
      </c>
      <c r="AZ10" s="101" t="s">
        <v>73</v>
      </c>
    </row>
    <row r="11" spans="1:59" x14ac:dyDescent="0.35">
      <c r="B11" s="29">
        <v>8</v>
      </c>
      <c r="C11" s="530" t="s">
        <v>106</v>
      </c>
      <c r="D11" s="531"/>
      <c r="E11" s="702"/>
      <c r="F11" s="706"/>
      <c r="G11" s="232"/>
      <c r="H11" s="232"/>
      <c r="I11" s="232" t="s">
        <v>38</v>
      </c>
      <c r="J11" s="707"/>
      <c r="L11" s="29">
        <v>8</v>
      </c>
      <c r="M11" s="530" t="s">
        <v>106</v>
      </c>
      <c r="N11" s="531"/>
      <c r="O11" s="702"/>
      <c r="P11" s="721"/>
      <c r="Q11" s="176"/>
      <c r="R11" s="176"/>
      <c r="S11" s="176"/>
      <c r="T11" s="722"/>
      <c r="V11" s="29">
        <v>8</v>
      </c>
      <c r="W11" s="530" t="s">
        <v>106</v>
      </c>
      <c r="X11" s="531" t="s">
        <v>53</v>
      </c>
      <c r="Y11" s="702"/>
      <c r="Z11" s="721"/>
      <c r="AA11" s="176"/>
      <c r="AB11" s="176"/>
      <c r="AC11" s="176" t="s">
        <v>38</v>
      </c>
      <c r="AD11" s="722"/>
      <c r="AF11" s="29">
        <v>8</v>
      </c>
      <c r="AG11" s="120"/>
      <c r="AH11" s="41"/>
      <c r="AI11" s="213"/>
      <c r="AJ11" s="94"/>
      <c r="AK11" s="94" t="s">
        <v>73</v>
      </c>
      <c r="AL11" s="94" t="s">
        <v>73</v>
      </c>
      <c r="AM11" s="94" t="s">
        <v>73</v>
      </c>
      <c r="AN11" s="94" t="s">
        <v>73</v>
      </c>
      <c r="AO11" s="101" t="s">
        <v>73</v>
      </c>
      <c r="AQ11" s="29">
        <v>8</v>
      </c>
      <c r="AR11" s="120"/>
      <c r="AS11" s="41"/>
      <c r="AT11" s="94"/>
      <c r="AU11" s="94"/>
      <c r="AV11" s="94" t="s">
        <v>73</v>
      </c>
      <c r="AW11" s="94" t="s">
        <v>73</v>
      </c>
      <c r="AX11" s="94" t="s">
        <v>73</v>
      </c>
      <c r="AY11" s="94" t="s">
        <v>73</v>
      </c>
      <c r="AZ11" s="101" t="s">
        <v>73</v>
      </c>
    </row>
    <row r="12" spans="1:59" x14ac:dyDescent="0.35">
      <c r="B12" s="29">
        <v>9</v>
      </c>
      <c r="C12" s="530" t="s">
        <v>107</v>
      </c>
      <c r="D12" s="531"/>
      <c r="E12" s="702"/>
      <c r="F12" s="706"/>
      <c r="G12" s="232"/>
      <c r="H12" s="232"/>
      <c r="I12" s="232"/>
      <c r="J12" s="707" t="s">
        <v>38</v>
      </c>
      <c r="L12" s="29">
        <v>9</v>
      </c>
      <c r="M12" s="530" t="s">
        <v>107</v>
      </c>
      <c r="N12" s="531"/>
      <c r="O12" s="702"/>
      <c r="P12" s="721"/>
      <c r="Q12" s="176"/>
      <c r="R12" s="176"/>
      <c r="S12" s="176"/>
      <c r="T12" s="722"/>
      <c r="V12" s="29">
        <v>9</v>
      </c>
      <c r="W12" s="530" t="s">
        <v>107</v>
      </c>
      <c r="X12" s="531" t="s">
        <v>53</v>
      </c>
      <c r="Y12" s="702"/>
      <c r="Z12" s="721"/>
      <c r="AA12" s="176"/>
      <c r="AB12" s="176"/>
      <c r="AC12" s="176" t="s">
        <v>38</v>
      </c>
      <c r="AD12" s="722"/>
      <c r="AF12" s="29">
        <v>9</v>
      </c>
      <c r="AG12" s="120"/>
      <c r="AH12" s="41"/>
      <c r="AI12" s="213"/>
      <c r="AJ12" s="94"/>
      <c r="AK12" s="94" t="s">
        <v>73</v>
      </c>
      <c r="AL12" s="94" t="s">
        <v>73</v>
      </c>
      <c r="AM12" s="94" t="s">
        <v>73</v>
      </c>
      <c r="AN12" s="94" t="s">
        <v>73</v>
      </c>
      <c r="AO12" s="101" t="s">
        <v>73</v>
      </c>
      <c r="AQ12" s="29">
        <v>9</v>
      </c>
      <c r="AR12" s="120"/>
      <c r="AS12" s="41"/>
      <c r="AT12" s="94"/>
      <c r="AU12" s="94"/>
      <c r="AV12" s="94" t="s">
        <v>73</v>
      </c>
      <c r="AW12" s="94" t="s">
        <v>73</v>
      </c>
      <c r="AX12" s="94" t="s">
        <v>73</v>
      </c>
      <c r="AY12" s="94" t="s">
        <v>73</v>
      </c>
      <c r="AZ12" s="101" t="s">
        <v>73</v>
      </c>
    </row>
    <row r="13" spans="1:59" x14ac:dyDescent="0.35">
      <c r="B13" s="29">
        <v>10</v>
      </c>
      <c r="C13" s="530" t="s">
        <v>108</v>
      </c>
      <c r="D13" s="531"/>
      <c r="E13" s="702"/>
      <c r="F13" s="706"/>
      <c r="G13" s="232"/>
      <c r="H13" s="232"/>
      <c r="I13" s="232"/>
      <c r="J13" s="707" t="s">
        <v>38</v>
      </c>
      <c r="L13" s="29">
        <v>10</v>
      </c>
      <c r="M13" s="530" t="s">
        <v>108</v>
      </c>
      <c r="N13" s="531"/>
      <c r="O13" s="702"/>
      <c r="P13" s="721"/>
      <c r="Q13" s="176"/>
      <c r="R13" s="176"/>
      <c r="S13" s="176"/>
      <c r="T13" s="722"/>
      <c r="V13" s="29">
        <v>10</v>
      </c>
      <c r="W13" s="530" t="s">
        <v>108</v>
      </c>
      <c r="X13" s="531" t="s">
        <v>53</v>
      </c>
      <c r="Y13" s="702"/>
      <c r="Z13" s="721"/>
      <c r="AA13" s="176"/>
      <c r="AB13" s="176"/>
      <c r="AC13" s="176"/>
      <c r="AD13" s="722" t="s">
        <v>38</v>
      </c>
      <c r="AF13" s="29">
        <v>10</v>
      </c>
      <c r="AG13" s="120"/>
      <c r="AH13" s="41"/>
      <c r="AI13" s="213"/>
      <c r="AJ13" s="94"/>
      <c r="AK13" s="94" t="s">
        <v>73</v>
      </c>
      <c r="AL13" s="94" t="s">
        <v>73</v>
      </c>
      <c r="AM13" s="94" t="s">
        <v>73</v>
      </c>
      <c r="AN13" s="94" t="s">
        <v>73</v>
      </c>
      <c r="AO13" s="101" t="s">
        <v>73</v>
      </c>
      <c r="AQ13" s="29">
        <v>10</v>
      </c>
      <c r="AR13" s="120"/>
      <c r="AS13" s="41"/>
      <c r="AT13" s="94"/>
      <c r="AU13" s="94"/>
      <c r="AV13" s="94" t="s">
        <v>73</v>
      </c>
      <c r="AW13" s="94" t="s">
        <v>73</v>
      </c>
      <c r="AX13" s="94" t="s">
        <v>73</v>
      </c>
      <c r="AY13" s="94" t="s">
        <v>73</v>
      </c>
      <c r="AZ13" s="101" t="s">
        <v>73</v>
      </c>
    </row>
    <row r="14" spans="1:59" x14ac:dyDescent="0.35">
      <c r="B14" s="29">
        <v>11</v>
      </c>
      <c r="C14" s="530" t="s">
        <v>109</v>
      </c>
      <c r="D14" s="532"/>
      <c r="E14" s="703"/>
      <c r="F14" s="706"/>
      <c r="G14" s="232"/>
      <c r="H14" s="232"/>
      <c r="I14" s="232"/>
      <c r="J14" s="707"/>
      <c r="L14" s="29">
        <v>11</v>
      </c>
      <c r="M14" s="530" t="s">
        <v>109</v>
      </c>
      <c r="N14" s="531"/>
      <c r="O14" s="702"/>
      <c r="P14" s="721"/>
      <c r="Q14" s="176"/>
      <c r="R14" s="176"/>
      <c r="S14" s="176"/>
      <c r="T14" s="722"/>
      <c r="V14" s="29">
        <v>11</v>
      </c>
      <c r="W14" s="530" t="s">
        <v>109</v>
      </c>
      <c r="X14" s="531" t="s">
        <v>53</v>
      </c>
      <c r="Y14" s="702"/>
      <c r="Z14" s="721"/>
      <c r="AA14" s="176"/>
      <c r="AB14" s="176"/>
      <c r="AC14" s="176"/>
      <c r="AD14" s="722" t="s">
        <v>38</v>
      </c>
      <c r="AF14" s="29">
        <v>11</v>
      </c>
      <c r="AG14" s="120"/>
      <c r="AH14" s="121"/>
      <c r="AI14" s="213"/>
      <c r="AJ14" s="94"/>
      <c r="AK14" s="94" t="s">
        <v>73</v>
      </c>
      <c r="AL14" s="94" t="s">
        <v>73</v>
      </c>
      <c r="AM14" s="94" t="s">
        <v>73</v>
      </c>
      <c r="AN14" s="94" t="s">
        <v>73</v>
      </c>
      <c r="AO14" s="101" t="s">
        <v>73</v>
      </c>
      <c r="AQ14" s="29">
        <v>11</v>
      </c>
      <c r="AR14" s="120"/>
      <c r="AS14" s="121"/>
      <c r="AT14" s="94"/>
      <c r="AU14" s="94"/>
      <c r="AV14" s="94" t="s">
        <v>73</v>
      </c>
      <c r="AW14" s="94" t="s">
        <v>73</v>
      </c>
      <c r="AX14" s="94" t="s">
        <v>73</v>
      </c>
      <c r="AY14" s="94" t="s">
        <v>73</v>
      </c>
      <c r="AZ14" s="101" t="s">
        <v>73</v>
      </c>
    </row>
    <row r="15" spans="1:59" x14ac:dyDescent="0.35">
      <c r="B15" s="29">
        <v>12</v>
      </c>
      <c r="C15" s="530" t="s">
        <v>110</v>
      </c>
      <c r="D15" s="532"/>
      <c r="E15" s="703"/>
      <c r="F15" s="706"/>
      <c r="G15" s="232"/>
      <c r="H15" s="232"/>
      <c r="I15" s="232"/>
      <c r="J15" s="707"/>
      <c r="L15" s="29">
        <v>12</v>
      </c>
      <c r="M15" s="530" t="s">
        <v>110</v>
      </c>
      <c r="N15" s="531"/>
      <c r="O15" s="702"/>
      <c r="P15" s="721"/>
      <c r="Q15" s="176"/>
      <c r="R15" s="176"/>
      <c r="S15" s="176"/>
      <c r="T15" s="722"/>
      <c r="V15" s="29">
        <v>12</v>
      </c>
      <c r="W15" s="530" t="s">
        <v>110</v>
      </c>
      <c r="X15" s="531" t="s">
        <v>53</v>
      </c>
      <c r="Y15" s="702"/>
      <c r="Z15" s="721"/>
      <c r="AA15" s="176"/>
      <c r="AB15" s="176"/>
      <c r="AC15" s="176"/>
      <c r="AD15" s="722" t="s">
        <v>38</v>
      </c>
      <c r="AF15" s="29">
        <v>12</v>
      </c>
      <c r="AG15" s="120"/>
      <c r="AH15" s="121"/>
      <c r="AI15" s="213"/>
      <c r="AJ15" s="94"/>
      <c r="AK15" s="94" t="s">
        <v>73</v>
      </c>
      <c r="AL15" s="94" t="s">
        <v>73</v>
      </c>
      <c r="AM15" s="94" t="s">
        <v>73</v>
      </c>
      <c r="AN15" s="94" t="s">
        <v>73</v>
      </c>
      <c r="AO15" s="101" t="s">
        <v>73</v>
      </c>
      <c r="AQ15" s="29">
        <v>12</v>
      </c>
      <c r="AR15" s="120"/>
      <c r="AS15" s="121"/>
      <c r="AT15" s="94"/>
      <c r="AU15" s="94"/>
      <c r="AV15" s="94" t="s">
        <v>73</v>
      </c>
      <c r="AW15" s="94" t="s">
        <v>73</v>
      </c>
      <c r="AX15" s="94" t="s">
        <v>73</v>
      </c>
      <c r="AY15" s="94" t="s">
        <v>73</v>
      </c>
      <c r="AZ15" s="101" t="s">
        <v>73</v>
      </c>
    </row>
    <row r="16" spans="1:59" x14ac:dyDescent="0.35">
      <c r="B16" s="29">
        <v>13</v>
      </c>
      <c r="C16" s="530" t="s">
        <v>111</v>
      </c>
      <c r="D16" s="531"/>
      <c r="E16" s="702"/>
      <c r="F16" s="706"/>
      <c r="G16" s="232"/>
      <c r="H16" s="232"/>
      <c r="I16" s="232"/>
      <c r="J16" s="707"/>
      <c r="L16" s="29">
        <v>13</v>
      </c>
      <c r="M16" s="251" t="s">
        <v>111</v>
      </c>
      <c r="N16" s="531"/>
      <c r="O16" s="702"/>
      <c r="P16" s="721"/>
      <c r="Q16" s="176"/>
      <c r="R16" s="176"/>
      <c r="S16" s="176"/>
      <c r="T16" s="722"/>
      <c r="V16" s="29">
        <v>13</v>
      </c>
      <c r="W16" s="251" t="s">
        <v>117</v>
      </c>
      <c r="X16" s="531" t="s">
        <v>53</v>
      </c>
      <c r="Y16" s="702"/>
      <c r="Z16" s="721"/>
      <c r="AA16" s="176"/>
      <c r="AB16" s="176"/>
      <c r="AC16" s="176"/>
      <c r="AD16" s="722" t="s">
        <v>38</v>
      </c>
      <c r="AF16" s="29">
        <v>13</v>
      </c>
      <c r="AG16" s="40"/>
      <c r="AH16" s="41"/>
      <c r="AI16" s="213"/>
      <c r="AJ16" s="94"/>
      <c r="AK16" s="94" t="s">
        <v>73</v>
      </c>
      <c r="AL16" s="94" t="s">
        <v>73</v>
      </c>
      <c r="AM16" s="94" t="s">
        <v>73</v>
      </c>
      <c r="AN16" s="94" t="s">
        <v>73</v>
      </c>
      <c r="AO16" s="101" t="s">
        <v>73</v>
      </c>
      <c r="AQ16" s="29">
        <v>13</v>
      </c>
      <c r="AR16" s="40"/>
      <c r="AS16" s="41"/>
      <c r="AT16" s="94"/>
      <c r="AU16" s="94"/>
      <c r="AV16" s="94" t="s">
        <v>73</v>
      </c>
      <c r="AW16" s="94" t="s">
        <v>73</v>
      </c>
      <c r="AX16" s="94" t="s">
        <v>73</v>
      </c>
      <c r="AY16" s="94" t="s">
        <v>73</v>
      </c>
      <c r="AZ16" s="101" t="s">
        <v>73</v>
      </c>
    </row>
    <row r="17" spans="2:53" x14ac:dyDescent="0.35">
      <c r="B17" s="29">
        <v>14</v>
      </c>
      <c r="C17" s="251" t="s">
        <v>114</v>
      </c>
      <c r="D17" s="531"/>
      <c r="E17" s="702"/>
      <c r="F17" s="706"/>
      <c r="G17" s="232"/>
      <c r="H17" s="232"/>
      <c r="I17" s="232"/>
      <c r="J17" s="707"/>
      <c r="L17" s="29">
        <v>14</v>
      </c>
      <c r="M17" s="251" t="s">
        <v>112</v>
      </c>
      <c r="N17" s="531"/>
      <c r="O17" s="702"/>
      <c r="P17" s="721"/>
      <c r="Q17" s="176"/>
      <c r="R17" s="176"/>
      <c r="S17" s="176"/>
      <c r="T17" s="722"/>
      <c r="V17" s="29">
        <v>14</v>
      </c>
      <c r="W17" s="251" t="s">
        <v>114</v>
      </c>
      <c r="X17" s="531" t="s">
        <v>53</v>
      </c>
      <c r="Y17" s="702"/>
      <c r="Z17" s="721"/>
      <c r="AA17" s="176"/>
      <c r="AB17" s="176"/>
      <c r="AC17" s="176"/>
      <c r="AD17" s="722"/>
      <c r="AF17" s="29">
        <v>14</v>
      </c>
      <c r="AG17" s="40"/>
      <c r="AH17" s="41"/>
      <c r="AI17" s="213"/>
      <c r="AJ17" s="94"/>
      <c r="AK17" s="94" t="s">
        <v>73</v>
      </c>
      <c r="AL17" s="94" t="s">
        <v>73</v>
      </c>
      <c r="AM17" s="94" t="s">
        <v>73</v>
      </c>
      <c r="AN17" s="94" t="s">
        <v>73</v>
      </c>
      <c r="AO17" s="101" t="s">
        <v>73</v>
      </c>
      <c r="AQ17" s="29">
        <v>14</v>
      </c>
      <c r="AR17" s="40"/>
      <c r="AS17" s="41"/>
      <c r="AT17" s="94"/>
      <c r="AU17" s="94"/>
      <c r="AV17" s="94" t="s">
        <v>73</v>
      </c>
      <c r="AW17" s="94" t="s">
        <v>73</v>
      </c>
      <c r="AX17" s="94" t="s">
        <v>73</v>
      </c>
      <c r="AY17" s="94" t="s">
        <v>73</v>
      </c>
      <c r="AZ17" s="101" t="s">
        <v>73</v>
      </c>
    </row>
    <row r="18" spans="2:53" x14ac:dyDescent="0.35">
      <c r="B18" s="29">
        <v>15</v>
      </c>
      <c r="C18" s="251" t="s">
        <v>115</v>
      </c>
      <c r="D18" s="531"/>
      <c r="E18" s="702"/>
      <c r="F18" s="706"/>
      <c r="G18" s="232"/>
      <c r="H18" s="232"/>
      <c r="I18" s="232"/>
      <c r="J18" s="707"/>
      <c r="L18" s="29">
        <v>15</v>
      </c>
      <c r="M18" s="251" t="s">
        <v>113</v>
      </c>
      <c r="N18" s="531"/>
      <c r="O18" s="702"/>
      <c r="P18" s="721"/>
      <c r="Q18" s="176"/>
      <c r="R18" s="176"/>
      <c r="S18" s="176"/>
      <c r="T18" s="722"/>
      <c r="V18" s="29">
        <v>15</v>
      </c>
      <c r="W18" s="251" t="s">
        <v>115</v>
      </c>
      <c r="X18" s="531"/>
      <c r="Y18" s="702"/>
      <c r="Z18" s="728"/>
      <c r="AA18" s="94"/>
      <c r="AB18" s="94"/>
      <c r="AC18" s="94"/>
      <c r="AD18" s="101"/>
      <c r="AF18" s="29">
        <v>15</v>
      </c>
      <c r="AG18" s="40"/>
      <c r="AH18" s="41"/>
      <c r="AI18" s="213"/>
      <c r="AJ18" s="94"/>
      <c r="AK18" s="94" t="s">
        <v>73</v>
      </c>
      <c r="AL18" s="94" t="s">
        <v>73</v>
      </c>
      <c r="AM18" s="94" t="s">
        <v>73</v>
      </c>
      <c r="AN18" s="94" t="s">
        <v>73</v>
      </c>
      <c r="AO18" s="101" t="s">
        <v>73</v>
      </c>
      <c r="AQ18" s="29">
        <v>15</v>
      </c>
      <c r="AR18" s="40"/>
      <c r="AS18" s="41"/>
      <c r="AT18" s="94"/>
      <c r="AU18" s="94"/>
      <c r="AV18" s="94" t="s">
        <v>73</v>
      </c>
      <c r="AW18" s="94" t="s">
        <v>73</v>
      </c>
      <c r="AX18" s="94" t="s">
        <v>73</v>
      </c>
      <c r="AY18" s="94" t="s">
        <v>73</v>
      </c>
      <c r="AZ18" s="101" t="s">
        <v>73</v>
      </c>
    </row>
    <row r="19" spans="2:53" x14ac:dyDescent="0.35">
      <c r="B19" s="29">
        <v>16</v>
      </c>
      <c r="C19" s="251" t="s">
        <v>116</v>
      </c>
      <c r="D19" s="531"/>
      <c r="E19" s="702"/>
      <c r="F19" s="706"/>
      <c r="G19" s="232"/>
      <c r="H19" s="232"/>
      <c r="I19" s="232"/>
      <c r="J19" s="707"/>
      <c r="L19" s="29">
        <v>16</v>
      </c>
      <c r="M19" s="251" t="s">
        <v>139</v>
      </c>
      <c r="N19" s="531"/>
      <c r="O19" s="702"/>
      <c r="P19" s="721"/>
      <c r="Q19" s="176"/>
      <c r="R19" s="176"/>
      <c r="S19" s="176"/>
      <c r="T19" s="722"/>
      <c r="V19" s="29">
        <v>16</v>
      </c>
      <c r="W19" s="251" t="s">
        <v>116</v>
      </c>
      <c r="X19" s="531"/>
      <c r="Y19" s="702"/>
      <c r="Z19" s="728"/>
      <c r="AA19" s="94"/>
      <c r="AB19" s="94"/>
      <c r="AC19" s="94"/>
      <c r="AD19" s="101"/>
      <c r="AF19" s="29">
        <v>16</v>
      </c>
      <c r="AG19" s="40"/>
      <c r="AH19" s="41"/>
      <c r="AI19" s="213"/>
      <c r="AJ19" s="94"/>
      <c r="AK19" s="94" t="s">
        <v>73</v>
      </c>
      <c r="AL19" s="94" t="s">
        <v>73</v>
      </c>
      <c r="AM19" s="94" t="s">
        <v>73</v>
      </c>
      <c r="AN19" s="94" t="s">
        <v>73</v>
      </c>
      <c r="AO19" s="101" t="s">
        <v>73</v>
      </c>
      <c r="AQ19" s="29">
        <v>16</v>
      </c>
      <c r="AR19" s="40"/>
      <c r="AS19" s="41"/>
      <c r="AT19" s="94"/>
      <c r="AU19" s="94"/>
      <c r="AV19" s="94" t="s">
        <v>73</v>
      </c>
      <c r="AW19" s="94" t="s">
        <v>73</v>
      </c>
      <c r="AX19" s="94" t="s">
        <v>73</v>
      </c>
      <c r="AY19" s="94" t="s">
        <v>73</v>
      </c>
      <c r="AZ19" s="101" t="s">
        <v>73</v>
      </c>
    </row>
    <row r="20" spans="2:53" x14ac:dyDescent="0.35">
      <c r="B20" s="29">
        <v>17</v>
      </c>
      <c r="C20" s="251" t="s">
        <v>118</v>
      </c>
      <c r="D20" s="531"/>
      <c r="E20" s="702"/>
      <c r="F20" s="706"/>
      <c r="G20" s="232"/>
      <c r="H20" s="232"/>
      <c r="I20" s="232"/>
      <c r="J20" s="707"/>
      <c r="L20" s="29">
        <v>17</v>
      </c>
      <c r="M20" s="251" t="s">
        <v>140</v>
      </c>
      <c r="N20" s="531"/>
      <c r="O20" s="702"/>
      <c r="P20" s="723"/>
      <c r="Q20" s="177"/>
      <c r="R20" s="176"/>
      <c r="S20" s="176"/>
      <c r="T20" s="722"/>
      <c r="V20" s="29">
        <v>17</v>
      </c>
      <c r="W20" s="251" t="s">
        <v>118</v>
      </c>
      <c r="X20" s="531"/>
      <c r="Y20" s="702"/>
      <c r="Z20" s="729"/>
      <c r="AA20" s="102"/>
      <c r="AB20" s="94"/>
      <c r="AC20" s="94"/>
      <c r="AD20" s="101"/>
      <c r="AF20" s="29">
        <v>17</v>
      </c>
      <c r="AG20" s="40"/>
      <c r="AH20" s="67"/>
      <c r="AI20" s="214"/>
      <c r="AJ20" s="102"/>
      <c r="AK20" s="94" t="s">
        <v>73</v>
      </c>
      <c r="AL20" s="94" t="s">
        <v>73</v>
      </c>
      <c r="AM20" s="94" t="s">
        <v>73</v>
      </c>
      <c r="AN20" s="94" t="s">
        <v>73</v>
      </c>
      <c r="AO20" s="101" t="s">
        <v>73</v>
      </c>
      <c r="AQ20" s="29">
        <v>20</v>
      </c>
      <c r="AR20" s="40"/>
      <c r="AS20" s="67"/>
      <c r="AT20" s="102"/>
      <c r="AU20" s="102"/>
      <c r="AV20" s="94" t="s">
        <v>73</v>
      </c>
      <c r="AW20" s="94" t="s">
        <v>73</v>
      </c>
      <c r="AX20" s="94" t="s">
        <v>73</v>
      </c>
      <c r="AY20" s="94" t="s">
        <v>73</v>
      </c>
      <c r="AZ20" s="101" t="s">
        <v>73</v>
      </c>
    </row>
    <row r="21" spans="2:53" x14ac:dyDescent="0.35">
      <c r="B21" s="29">
        <v>18</v>
      </c>
      <c r="C21" s="251" t="s">
        <v>143</v>
      </c>
      <c r="D21" s="252"/>
      <c r="E21" s="704"/>
      <c r="F21" s="708"/>
      <c r="G21" s="233"/>
      <c r="H21" s="232"/>
      <c r="I21" s="232"/>
      <c r="J21" s="707"/>
      <c r="L21" s="29">
        <v>18</v>
      </c>
      <c r="M21" s="251" t="s">
        <v>141</v>
      </c>
      <c r="N21" s="252"/>
      <c r="O21" s="704"/>
      <c r="P21" s="723"/>
      <c r="Q21" s="177"/>
      <c r="R21" s="176"/>
      <c r="S21" s="176"/>
      <c r="T21" s="722"/>
      <c r="V21" s="29">
        <v>18</v>
      </c>
      <c r="W21" s="251" t="s">
        <v>143</v>
      </c>
      <c r="X21" s="531"/>
      <c r="Y21" s="702"/>
      <c r="Z21" s="729"/>
      <c r="AA21" s="102"/>
      <c r="AB21" s="94"/>
      <c r="AC21" s="94"/>
      <c r="AD21" s="101"/>
      <c r="AF21" s="29">
        <v>18</v>
      </c>
      <c r="AG21" s="40"/>
      <c r="AH21" s="67"/>
      <c r="AI21" s="214"/>
      <c r="AJ21" s="102"/>
      <c r="AK21" s="94" t="s">
        <v>73</v>
      </c>
      <c r="AL21" s="94" t="s">
        <v>73</v>
      </c>
      <c r="AM21" s="94" t="s">
        <v>73</v>
      </c>
      <c r="AN21" s="94" t="s">
        <v>73</v>
      </c>
      <c r="AO21" s="101" t="s">
        <v>73</v>
      </c>
      <c r="AQ21" s="29">
        <v>21</v>
      </c>
      <c r="AR21" s="40"/>
      <c r="AS21" s="67"/>
      <c r="AT21" s="102"/>
      <c r="AU21" s="102"/>
      <c r="AV21" s="94" t="s">
        <v>73</v>
      </c>
      <c r="AW21" s="94" t="s">
        <v>73</v>
      </c>
      <c r="AX21" s="94" t="s">
        <v>73</v>
      </c>
      <c r="AY21" s="94" t="s">
        <v>73</v>
      </c>
      <c r="AZ21" s="101" t="s">
        <v>73</v>
      </c>
    </row>
    <row r="22" spans="2:53" ht="13.15" thickBot="1" x14ac:dyDescent="0.4">
      <c r="B22" s="29">
        <v>19</v>
      </c>
      <c r="C22" s="251" t="s">
        <v>144</v>
      </c>
      <c r="D22" s="252"/>
      <c r="E22" s="704"/>
      <c r="F22" s="708"/>
      <c r="G22" s="233"/>
      <c r="H22" s="232"/>
      <c r="I22" s="232"/>
      <c r="J22" s="707"/>
      <c r="L22" s="29">
        <v>19</v>
      </c>
      <c r="M22" s="251" t="s">
        <v>142</v>
      </c>
      <c r="N22" s="252"/>
      <c r="O22" s="704"/>
      <c r="P22" s="723"/>
      <c r="Q22" s="177"/>
      <c r="R22" s="176"/>
      <c r="S22" s="176"/>
      <c r="T22" s="722"/>
      <c r="V22" s="29">
        <v>19</v>
      </c>
      <c r="W22" s="251" t="s">
        <v>144</v>
      </c>
      <c r="X22" s="531"/>
      <c r="Y22" s="702"/>
      <c r="Z22" s="729"/>
      <c r="AA22" s="102"/>
      <c r="AB22" s="94"/>
      <c r="AC22" s="94"/>
      <c r="AD22" s="101"/>
      <c r="AF22" s="29">
        <v>19</v>
      </c>
      <c r="AG22" s="40"/>
      <c r="AH22" s="67"/>
      <c r="AI22" s="214"/>
      <c r="AJ22" s="102"/>
      <c r="AK22" s="94" t="s">
        <v>73</v>
      </c>
      <c r="AL22" s="94" t="s">
        <v>73</v>
      </c>
      <c r="AM22" s="94" t="s">
        <v>73</v>
      </c>
      <c r="AN22" s="94" t="s">
        <v>73</v>
      </c>
      <c r="AO22" s="101" t="s">
        <v>73</v>
      </c>
      <c r="AQ22" s="29">
        <v>22</v>
      </c>
      <c r="AR22" s="40"/>
      <c r="AS22" s="67"/>
      <c r="AT22" s="102"/>
      <c r="AU22" s="102"/>
      <c r="AV22" s="94" t="s">
        <v>73</v>
      </c>
      <c r="AW22" s="94" t="s">
        <v>73</v>
      </c>
      <c r="AX22" s="94" t="s">
        <v>73</v>
      </c>
      <c r="AY22" s="94" t="s">
        <v>73</v>
      </c>
      <c r="AZ22" s="101" t="s">
        <v>73</v>
      </c>
    </row>
    <row r="23" spans="2:53" ht="13.5" thickBot="1" x14ac:dyDescent="0.45">
      <c r="C23" s="234" t="s">
        <v>74</v>
      </c>
      <c r="D23" s="95"/>
      <c r="E23" s="95">
        <f>COUNTIF(E4:E22,"F")</f>
        <v>0</v>
      </c>
      <c r="F23" s="95">
        <f>COUNTIF(F4:F22,"F")</f>
        <v>1</v>
      </c>
      <c r="G23" s="95">
        <f>COUNTIF(G4:G22,"F")</f>
        <v>2</v>
      </c>
      <c r="H23" s="95">
        <f t="shared" ref="H23:J23" si="0">COUNTIF(H4:H22,"F")</f>
        <v>2</v>
      </c>
      <c r="I23" s="95">
        <f t="shared" si="0"/>
        <v>2</v>
      </c>
      <c r="J23" s="709">
        <f t="shared" si="0"/>
        <v>2</v>
      </c>
      <c r="K23" s="30">
        <v>1</v>
      </c>
      <c r="M23" s="234" t="s">
        <v>74</v>
      </c>
      <c r="N23" s="95"/>
      <c r="O23" s="95"/>
      <c r="P23" s="533">
        <f t="shared" ref="P23:T23" si="1">COUNTIF(P4:P22,"F")</f>
        <v>0</v>
      </c>
      <c r="Q23" s="96">
        <f t="shared" si="1"/>
        <v>0</v>
      </c>
      <c r="R23" s="96">
        <f t="shared" si="1"/>
        <v>0</v>
      </c>
      <c r="S23" s="96">
        <f t="shared" si="1"/>
        <v>0</v>
      </c>
      <c r="T23" s="97">
        <f t="shared" si="1"/>
        <v>0</v>
      </c>
      <c r="U23" s="733">
        <v>2</v>
      </c>
      <c r="W23" s="234" t="s">
        <v>74</v>
      </c>
      <c r="X23" s="95"/>
      <c r="Y23" s="95"/>
      <c r="Z23" s="96">
        <f t="shared" ref="Z23:AD23" si="2">COUNTIF(Z4:Z22,"F")</f>
        <v>0</v>
      </c>
      <c r="AA23" s="96">
        <f t="shared" si="2"/>
        <v>1</v>
      </c>
      <c r="AB23" s="96">
        <f t="shared" si="2"/>
        <v>2</v>
      </c>
      <c r="AC23" s="96">
        <f t="shared" si="2"/>
        <v>4</v>
      </c>
      <c r="AD23" s="97">
        <f t="shared" si="2"/>
        <v>4</v>
      </c>
      <c r="AE23" s="733">
        <v>5</v>
      </c>
      <c r="AG23" s="234" t="s">
        <v>74</v>
      </c>
      <c r="AH23" s="95"/>
      <c r="AI23" s="96">
        <f t="shared" ref="AI23:AO23" si="3">COUNTIF(AI4:AI22,"F")</f>
        <v>0</v>
      </c>
      <c r="AJ23" s="96">
        <f t="shared" si="3"/>
        <v>0</v>
      </c>
      <c r="AK23" s="96">
        <f t="shared" si="3"/>
        <v>0</v>
      </c>
      <c r="AL23" s="96">
        <f t="shared" si="3"/>
        <v>0</v>
      </c>
      <c r="AM23" s="96">
        <f t="shared" si="3"/>
        <v>0</v>
      </c>
      <c r="AN23" s="96">
        <f t="shared" si="3"/>
        <v>0</v>
      </c>
      <c r="AO23" s="97">
        <f t="shared" si="3"/>
        <v>0</v>
      </c>
      <c r="AP23" s="130">
        <f>SUM(AI23:AO23)</f>
        <v>0</v>
      </c>
      <c r="AR23" s="95" t="s">
        <v>74</v>
      </c>
      <c r="AS23" s="95"/>
      <c r="AT23" s="96">
        <f t="shared" ref="AT23:AZ23" si="4">COUNTIF(AT4:AT22,"F")</f>
        <v>0</v>
      </c>
      <c r="AU23" s="96">
        <f t="shared" si="4"/>
        <v>0</v>
      </c>
      <c r="AV23" s="96">
        <f t="shared" si="4"/>
        <v>0</v>
      </c>
      <c r="AW23" s="96">
        <f t="shared" si="4"/>
        <v>0</v>
      </c>
      <c r="AX23" s="96">
        <f t="shared" si="4"/>
        <v>0</v>
      </c>
      <c r="AY23" s="96">
        <f t="shared" si="4"/>
        <v>0</v>
      </c>
      <c r="AZ23" s="97">
        <f t="shared" si="4"/>
        <v>0</v>
      </c>
      <c r="BA23" s="130">
        <f>SUM(AT23:AZ23)</f>
        <v>0</v>
      </c>
    </row>
    <row r="24" spans="2:53" ht="13.5" thickBot="1" x14ac:dyDescent="0.45">
      <c r="C24" s="234" t="s">
        <v>75</v>
      </c>
      <c r="D24" s="95"/>
      <c r="E24" s="95">
        <f>E23</f>
        <v>0</v>
      </c>
      <c r="F24" s="95">
        <f>F23</f>
        <v>1</v>
      </c>
      <c r="G24" s="95">
        <f>F23+G23</f>
        <v>3</v>
      </c>
      <c r="H24" s="95">
        <f>G24+H23</f>
        <v>5</v>
      </c>
      <c r="I24" s="95">
        <f>H24+I23</f>
        <v>7</v>
      </c>
      <c r="J24" s="709">
        <f>I24+J23</f>
        <v>9</v>
      </c>
      <c r="K24" s="238"/>
      <c r="M24" s="234" t="s">
        <v>75</v>
      </c>
      <c r="N24" s="95"/>
      <c r="O24" s="95"/>
      <c r="P24" s="95">
        <f>P23</f>
        <v>0</v>
      </c>
      <c r="Q24" s="95">
        <f>P23+Q23</f>
        <v>0</v>
      </c>
      <c r="R24" s="96">
        <f>Q24+R23</f>
        <v>0</v>
      </c>
      <c r="S24" s="96">
        <f>R24+S23</f>
        <v>0</v>
      </c>
      <c r="T24" s="97">
        <f>S24+T23</f>
        <v>0</v>
      </c>
      <c r="U24" s="733"/>
      <c r="W24" s="234" t="s">
        <v>75</v>
      </c>
      <c r="X24" s="95"/>
      <c r="Y24" s="95"/>
      <c r="Z24" s="95">
        <f>Z23</f>
        <v>0</v>
      </c>
      <c r="AA24" s="95">
        <f>Z23+AA23</f>
        <v>1</v>
      </c>
      <c r="AB24" s="96">
        <f>AA24+AB23</f>
        <v>3</v>
      </c>
      <c r="AC24" s="96">
        <f>AB24+AC23</f>
        <v>7</v>
      </c>
      <c r="AD24" s="97">
        <f>AC24+AD23</f>
        <v>11</v>
      </c>
      <c r="AE24" s="130"/>
      <c r="AG24" s="234" t="s">
        <v>75</v>
      </c>
      <c r="AH24" s="95"/>
      <c r="AI24" s="95">
        <f>AI23</f>
        <v>0</v>
      </c>
      <c r="AJ24" s="95">
        <f>AI23+AJ23</f>
        <v>0</v>
      </c>
      <c r="AK24" s="96">
        <f>AJ24+AK23</f>
        <v>0</v>
      </c>
      <c r="AL24" s="96">
        <f>AK24+AL23</f>
        <v>0</v>
      </c>
      <c r="AM24" s="96">
        <f>AL24+AM23</f>
        <v>0</v>
      </c>
      <c r="AN24" s="96">
        <f>AM24+AN23</f>
        <v>0</v>
      </c>
      <c r="AO24" s="97">
        <f>AN24+AO23</f>
        <v>0</v>
      </c>
      <c r="AP24" s="130">
        <f>SUM(AI24:AO24)</f>
        <v>0</v>
      </c>
      <c r="AR24" s="95" t="s">
        <v>75</v>
      </c>
      <c r="AS24" s="95"/>
      <c r="AT24" s="96">
        <f>AT23</f>
        <v>0</v>
      </c>
      <c r="AU24" s="96">
        <f t="shared" ref="AU24:AZ24" si="5">AT24+AU23</f>
        <v>0</v>
      </c>
      <c r="AV24" s="96">
        <f t="shared" si="5"/>
        <v>0</v>
      </c>
      <c r="AW24" s="96">
        <f t="shared" si="5"/>
        <v>0</v>
      </c>
      <c r="AX24" s="96">
        <f t="shared" si="5"/>
        <v>0</v>
      </c>
      <c r="AY24" s="96">
        <f t="shared" si="5"/>
        <v>0</v>
      </c>
      <c r="AZ24" s="97">
        <f t="shared" si="5"/>
        <v>0</v>
      </c>
      <c r="BA24" s="130">
        <f>SUM(AT24:AZ24)</f>
        <v>0</v>
      </c>
    </row>
    <row r="25" spans="2:53" ht="13.15" x14ac:dyDescent="0.4">
      <c r="D25" s="236"/>
      <c r="E25" s="236"/>
      <c r="F25" s="237"/>
      <c r="G25" s="237"/>
      <c r="H25" s="237"/>
      <c r="I25" s="237"/>
      <c r="J25" s="237"/>
      <c r="K25" s="238"/>
      <c r="N25" s="236"/>
      <c r="O25" s="236"/>
      <c r="P25" s="237"/>
      <c r="Q25" s="237"/>
      <c r="R25" s="237"/>
      <c r="S25" s="237"/>
      <c r="T25" s="237"/>
      <c r="X25" s="236"/>
      <c r="Y25" s="236"/>
      <c r="Z25" s="793"/>
      <c r="AA25" s="793"/>
      <c r="AB25" s="793"/>
      <c r="AC25" s="793"/>
      <c r="AD25" s="793"/>
      <c r="AH25" s="236"/>
      <c r="AI25" s="237"/>
      <c r="AJ25" s="237"/>
      <c r="AK25" s="237"/>
      <c r="AL25" s="237"/>
      <c r="AM25" s="237"/>
      <c r="AN25" s="237"/>
      <c r="AO25" s="237"/>
      <c r="AR25" s="235"/>
      <c r="AS25" s="123"/>
      <c r="AT25" s="124"/>
      <c r="AU25" s="124"/>
      <c r="AV25" s="124"/>
      <c r="AW25" s="124"/>
      <c r="AX25" s="124"/>
      <c r="AY25" s="124"/>
      <c r="AZ25" s="125"/>
    </row>
    <row r="26" spans="2:53" ht="13.15" thickBot="1" x14ac:dyDescent="0.4">
      <c r="D26" s="236"/>
      <c r="E26" s="236"/>
      <c r="F26" s="237"/>
      <c r="G26" s="237"/>
      <c r="H26" s="237"/>
      <c r="I26" s="237"/>
      <c r="J26" s="237"/>
      <c r="N26" s="236"/>
      <c r="O26" s="236"/>
      <c r="P26" s="237"/>
      <c r="Q26" s="237"/>
      <c r="R26" s="237"/>
      <c r="S26" s="237"/>
      <c r="T26" s="237"/>
      <c r="X26" s="236"/>
      <c r="Y26" s="236"/>
      <c r="Z26" s="237"/>
      <c r="AA26" s="237"/>
      <c r="AB26" s="237"/>
      <c r="AC26" s="237"/>
      <c r="AD26" s="237"/>
      <c r="AH26" s="236"/>
      <c r="AI26" s="237"/>
      <c r="AJ26" s="237"/>
      <c r="AK26" s="237"/>
      <c r="AL26" s="237"/>
      <c r="AM26" s="237"/>
      <c r="AN26" s="237"/>
      <c r="AO26" s="237"/>
      <c r="AR26" s="235"/>
      <c r="AS26" s="123"/>
      <c r="AT26" s="124"/>
      <c r="AU26" s="124"/>
      <c r="AV26" s="124"/>
      <c r="AW26" s="124"/>
      <c r="AX26" s="124"/>
      <c r="AY26" s="124"/>
      <c r="AZ26" s="125"/>
    </row>
    <row r="27" spans="2:53" ht="13.5" thickBot="1" x14ac:dyDescent="0.45">
      <c r="C27" s="163"/>
      <c r="D27" s="164"/>
      <c r="E27" s="164"/>
      <c r="F27" s="165" t="s">
        <v>41</v>
      </c>
      <c r="G27" s="165" t="s">
        <v>127</v>
      </c>
      <c r="H27" s="165" t="s">
        <v>128</v>
      </c>
      <c r="I27" s="165" t="s">
        <v>129</v>
      </c>
      <c r="J27" s="165" t="s">
        <v>130</v>
      </c>
      <c r="M27" s="163"/>
      <c r="N27" s="164"/>
      <c r="O27" s="164"/>
      <c r="P27" s="165" t="s">
        <v>41</v>
      </c>
      <c r="Q27" s="165" t="s">
        <v>127</v>
      </c>
      <c r="R27" s="165" t="s">
        <v>128</v>
      </c>
      <c r="S27" s="165" t="s">
        <v>129</v>
      </c>
      <c r="T27" s="165" t="s">
        <v>130</v>
      </c>
      <c r="W27" s="163"/>
      <c r="X27" s="164"/>
      <c r="Y27" s="164"/>
      <c r="Z27" s="165" t="s">
        <v>41</v>
      </c>
      <c r="AA27" s="165" t="s">
        <v>127</v>
      </c>
      <c r="AB27" s="165" t="s">
        <v>128</v>
      </c>
      <c r="AC27" s="165" t="s">
        <v>129</v>
      </c>
      <c r="AD27" s="165" t="s">
        <v>130</v>
      </c>
      <c r="AG27" s="582"/>
      <c r="AH27" s="583"/>
      <c r="AI27" s="584" t="s">
        <v>41</v>
      </c>
      <c r="AJ27" s="584" t="s">
        <v>127</v>
      </c>
      <c r="AK27" s="584" t="s">
        <v>128</v>
      </c>
      <c r="AL27" s="584" t="s">
        <v>129</v>
      </c>
      <c r="AM27" s="584" t="s">
        <v>130</v>
      </c>
      <c r="AN27" s="584" t="s">
        <v>131</v>
      </c>
      <c r="AO27" s="585" t="s">
        <v>132</v>
      </c>
      <c r="AR27" s="163"/>
      <c r="AS27" s="164"/>
      <c r="AT27" s="165">
        <v>2007</v>
      </c>
      <c r="AU27" s="165">
        <v>2008</v>
      </c>
      <c r="AV27" s="165">
        <v>2009</v>
      </c>
      <c r="AW27" s="165">
        <v>2010</v>
      </c>
      <c r="AX27" s="165">
        <v>2011</v>
      </c>
      <c r="AY27" s="165">
        <v>2012</v>
      </c>
      <c r="AZ27" s="166">
        <v>2013</v>
      </c>
    </row>
    <row r="28" spans="2:53" ht="13.5" thickBot="1" x14ac:dyDescent="0.45">
      <c r="B28" s="126"/>
      <c r="C28" s="167" t="str">
        <f>D2</f>
        <v>UK/APAC</v>
      </c>
      <c r="D28" s="212"/>
      <c r="E28" s="212"/>
      <c r="F28" s="710"/>
      <c r="G28" s="711"/>
      <c r="H28" s="711"/>
      <c r="I28" s="711"/>
      <c r="J28" s="712"/>
      <c r="L28" s="126"/>
      <c r="M28" s="167" t="str">
        <f>N2</f>
        <v>Other</v>
      </c>
      <c r="N28" s="212"/>
      <c r="O28" s="212"/>
      <c r="P28" s="710"/>
      <c r="Q28" s="711"/>
      <c r="R28" s="711"/>
      <c r="S28" s="711"/>
      <c r="T28" s="712"/>
      <c r="V28" s="126"/>
      <c r="W28" s="167" t="str">
        <f>X2</f>
        <v>USA</v>
      </c>
      <c r="X28" s="212"/>
      <c r="Y28" s="212"/>
      <c r="Z28" s="710"/>
      <c r="AA28" s="711"/>
      <c r="AB28" s="711"/>
      <c r="AC28" s="711"/>
      <c r="AD28" s="712"/>
      <c r="AF28" s="126"/>
      <c r="AG28" s="580">
        <f>AH2</f>
        <v>0</v>
      </c>
      <c r="AH28" s="212"/>
      <c r="AI28" s="239">
        <v>0</v>
      </c>
      <c r="AJ28" s="239">
        <v>0</v>
      </c>
      <c r="AK28" s="239">
        <v>0</v>
      </c>
      <c r="AL28" s="239">
        <v>0</v>
      </c>
      <c r="AM28" s="239">
        <v>0</v>
      </c>
      <c r="AN28" s="239">
        <v>0</v>
      </c>
      <c r="AO28" s="240">
        <v>0</v>
      </c>
      <c r="AQ28" s="126"/>
      <c r="AR28" s="32"/>
      <c r="AS28" s="212" t="s">
        <v>83</v>
      </c>
      <c r="AT28" s="127"/>
      <c r="AU28" s="127"/>
      <c r="AV28" s="127"/>
      <c r="AW28" s="127"/>
      <c r="AX28" s="127"/>
      <c r="AY28" s="127"/>
      <c r="AZ28" s="127"/>
    </row>
    <row r="29" spans="2:53" ht="13.15" x14ac:dyDescent="0.4">
      <c r="B29" s="29">
        <v>1</v>
      </c>
      <c r="C29" s="246" t="s">
        <v>24</v>
      </c>
      <c r="D29" s="210">
        <f t="array" ref="D29:D35">TRANSPOSE(F23:J23)</f>
        <v>1</v>
      </c>
      <c r="E29" s="581"/>
      <c r="F29" s="713">
        <f>$D$29*'FPFeeEscalation UK_AP'!G44</f>
        <v>4487759.5395437991</v>
      </c>
      <c r="G29" s="98">
        <f>$D$29*'FPFeeEscalation UK_AP'!H44</f>
        <v>12559190.790876124</v>
      </c>
      <c r="H29" s="98">
        <f>$D$29*'FPFeeEscalation UK_AP'!I44</f>
        <v>21650666.936687239</v>
      </c>
      <c r="I29" s="98">
        <f>$D$29*'FPFeeEscalation UK_AP'!J44</f>
        <v>31823845.651247017</v>
      </c>
      <c r="J29" s="244">
        <f>$D$29*'FPFeeEscalation UK_AP'!K44</f>
        <v>43150052.803346775</v>
      </c>
      <c r="L29" s="29">
        <v>1</v>
      </c>
      <c r="M29" s="246" t="s">
        <v>24</v>
      </c>
      <c r="N29" s="210">
        <f t="array" ref="N29:N35">TRANSPOSE(P23:T23)</f>
        <v>0</v>
      </c>
      <c r="O29" s="581"/>
      <c r="P29" s="713"/>
      <c r="T29" s="244"/>
      <c r="V29" s="29">
        <v>1</v>
      </c>
      <c r="W29" s="246" t="s">
        <v>24</v>
      </c>
      <c r="X29" s="210">
        <f t="array" ref="X29:X35">TRANSPOSE(Z23:AD23)</f>
        <v>0</v>
      </c>
      <c r="Y29" s="581"/>
      <c r="Z29" s="713">
        <f>$X$29*'FPFeeEscalation US'!G44</f>
        <v>0</v>
      </c>
      <c r="AA29" s="98">
        <f>$X$29*'FPFeeEscalation US'!H44</f>
        <v>0</v>
      </c>
      <c r="AB29" s="98">
        <f>$X$29*'FPFeeEscalation US'!I44</f>
        <v>0</v>
      </c>
      <c r="AC29" s="98">
        <f>$X$29*'FPFeeEscalation US'!J44</f>
        <v>0</v>
      </c>
      <c r="AD29" s="244">
        <f>$X$29*'FPFeeEscalation US'!K44</f>
        <v>0</v>
      </c>
      <c r="AF29" s="29">
        <v>1</v>
      </c>
      <c r="AG29" s="246" t="s">
        <v>24</v>
      </c>
      <c r="AH29" s="581">
        <f t="array" ref="AH29:AH35">TRANSPOSE(AI23:AO23)</f>
        <v>0</v>
      </c>
      <c r="AI29" s="98">
        <f>$AH$29*AI28</f>
        <v>0</v>
      </c>
      <c r="AJ29" s="98">
        <f>$AH$29*AJ28</f>
        <v>0</v>
      </c>
      <c r="AK29" s="98">
        <f>AH29*AK28</f>
        <v>0</v>
      </c>
      <c r="AL29" s="98">
        <f>AH29*AL28</f>
        <v>0</v>
      </c>
      <c r="AM29" s="98">
        <f>AH29*AM28</f>
        <v>0</v>
      </c>
      <c r="AN29" s="98">
        <f>AH29*AN28</f>
        <v>0</v>
      </c>
      <c r="AO29" s="244">
        <f>AH29*AO28</f>
        <v>0</v>
      </c>
      <c r="AQ29" s="29">
        <v>1</v>
      </c>
      <c r="AR29" s="30" t="s">
        <v>24</v>
      </c>
      <c r="AS29" s="210">
        <f t="array" ref="AS29:AS35">TRANSPOSE(AT23:AZ23)</f>
        <v>0</v>
      </c>
      <c r="AU29" s="99"/>
      <c r="AV29" s="99"/>
      <c r="AW29" s="99"/>
      <c r="AX29" s="99"/>
      <c r="AY29" s="99"/>
      <c r="AZ29" s="99"/>
    </row>
    <row r="30" spans="2:53" x14ac:dyDescent="0.35">
      <c r="B30" s="29">
        <v>2</v>
      </c>
      <c r="C30" s="242"/>
      <c r="D30" s="210">
        <v>2</v>
      </c>
      <c r="E30" s="581"/>
      <c r="F30" s="714"/>
      <c r="G30" s="98">
        <f>$D$30*'FPFeeEscalation UK_AP'!G44</f>
        <v>8975519.0790875982</v>
      </c>
      <c r="H30" s="98">
        <f>$D$30*'FPFeeEscalation UK_AP'!H44</f>
        <v>25118381.581752248</v>
      </c>
      <c r="I30" s="98">
        <f>$D$30*'FPFeeEscalation UK_AP'!I44</f>
        <v>43301333.873374477</v>
      </c>
      <c r="J30" s="244">
        <f>$D$30*'FPFeeEscalation UK_AP'!J44</f>
        <v>63647691.302494034</v>
      </c>
      <c r="K30" s="98"/>
      <c r="L30" s="29">
        <v>2</v>
      </c>
      <c r="M30" s="242"/>
      <c r="N30" s="210">
        <v>0</v>
      </c>
      <c r="O30" s="581"/>
      <c r="P30" s="714"/>
      <c r="T30" s="244"/>
      <c r="V30" s="29">
        <v>2</v>
      </c>
      <c r="W30" s="242"/>
      <c r="X30" s="210">
        <v>1</v>
      </c>
      <c r="Y30" s="581"/>
      <c r="Z30" s="714"/>
      <c r="AA30" s="98">
        <f>$X$30*'FPFeeEscalation US'!G44</f>
        <v>2804849.7122148746</v>
      </c>
      <c r="AB30" s="98">
        <f>$X$30*'FPFeeEscalation US'!H44</f>
        <v>7849494.2442975789</v>
      </c>
      <c r="AC30" s="98">
        <f>$X$30*'FPFeeEscalation US'!I44</f>
        <v>13531666.835429525</v>
      </c>
      <c r="AD30" s="244">
        <f>$X$30*'FPFeeEscalation US'!J44</f>
        <v>19889903.53202939</v>
      </c>
      <c r="AF30" s="29">
        <v>2</v>
      </c>
      <c r="AG30" s="242"/>
      <c r="AH30" s="581">
        <v>0</v>
      </c>
      <c r="AI30" s="243"/>
      <c r="AJ30" s="98">
        <f>$AH$30*AI28</f>
        <v>0</v>
      </c>
      <c r="AK30" s="98">
        <f>$AH$30*AJ28</f>
        <v>0</v>
      </c>
      <c r="AL30" s="98">
        <f>AH30*AK28</f>
        <v>0</v>
      </c>
      <c r="AM30" s="98">
        <f>AH30*AL28</f>
        <v>0</v>
      </c>
      <c r="AN30" s="98">
        <f>AH30*AM28</f>
        <v>0</v>
      </c>
      <c r="AO30" s="244">
        <f>AH30*AN28</f>
        <v>0</v>
      </c>
      <c r="AQ30" s="29">
        <v>2</v>
      </c>
      <c r="AS30" s="210">
        <v>0</v>
      </c>
      <c r="AU30" s="98">
        <f>AS30*AU28</f>
        <v>0</v>
      </c>
      <c r="AV30" s="98">
        <f>AS30*AV28</f>
        <v>0</v>
      </c>
      <c r="AW30" s="98">
        <f>AS30*AW28</f>
        <v>0</v>
      </c>
      <c r="AX30" s="98">
        <f>AS30*AX28</f>
        <v>0</v>
      </c>
      <c r="AY30" s="98">
        <f>AS30*AY28</f>
        <v>0</v>
      </c>
      <c r="AZ30" s="98">
        <f>AS30*AZ28</f>
        <v>0</v>
      </c>
    </row>
    <row r="31" spans="2:53" x14ac:dyDescent="0.35">
      <c r="B31" s="29">
        <v>3</v>
      </c>
      <c r="C31" s="242"/>
      <c r="D31" s="210">
        <v>2</v>
      </c>
      <c r="E31" s="581"/>
      <c r="F31" s="714"/>
      <c r="H31" s="98">
        <f>$D$31*'FPFeeEscalation UK_AP'!G44</f>
        <v>8975519.0790875982</v>
      </c>
      <c r="I31" s="98">
        <f>$D$31*'FPFeeEscalation UK_AP'!H44</f>
        <v>25118381.581752248</v>
      </c>
      <c r="J31" s="244">
        <f>$D$31*'FPFeeEscalation UK_AP'!I44</f>
        <v>43301333.873374477</v>
      </c>
      <c r="K31" s="604"/>
      <c r="L31" s="29">
        <v>3</v>
      </c>
      <c r="M31" s="242"/>
      <c r="N31" s="210">
        <v>0</v>
      </c>
      <c r="O31" s="581"/>
      <c r="P31" s="714"/>
      <c r="T31" s="244"/>
      <c r="V31" s="29">
        <v>3</v>
      </c>
      <c r="W31" s="242"/>
      <c r="X31" s="210">
        <v>2</v>
      </c>
      <c r="Y31" s="581"/>
      <c r="Z31" s="714"/>
      <c r="AB31" s="98">
        <f>$X$31*'FPFeeEscalation US'!G44</f>
        <v>5609699.4244297491</v>
      </c>
      <c r="AC31" s="98">
        <f>$X$31*'FPFeeEscalation US'!H44</f>
        <v>15698988.488595158</v>
      </c>
      <c r="AD31" s="244">
        <f>$X$31*'FPFeeEscalation US'!I44</f>
        <v>27063333.67085905</v>
      </c>
      <c r="AF31" s="29">
        <v>3</v>
      </c>
      <c r="AG31" s="242"/>
      <c r="AH31" s="581">
        <v>0</v>
      </c>
      <c r="AI31" s="243"/>
      <c r="AK31" s="98">
        <f>$AH$31*AI28</f>
        <v>0</v>
      </c>
      <c r="AL31" s="98">
        <f>$AH$31*AJ28</f>
        <v>0</v>
      </c>
      <c r="AM31" s="98">
        <f>AH32*AK28</f>
        <v>0</v>
      </c>
      <c r="AN31" s="98">
        <f>AH31*AL28</f>
        <v>0</v>
      </c>
      <c r="AO31" s="244">
        <f>AH31*AM28</f>
        <v>0</v>
      </c>
      <c r="AQ31" s="29">
        <v>3</v>
      </c>
      <c r="AS31" s="210">
        <v>0</v>
      </c>
      <c r="AV31" s="98">
        <f>AS31*AU28</f>
        <v>0</v>
      </c>
      <c r="AW31" s="98">
        <f>AS31*AV28</f>
        <v>0</v>
      </c>
      <c r="AX31" s="98">
        <f>AS31*AW28</f>
        <v>0</v>
      </c>
      <c r="AY31" s="98">
        <f>AS31*AX28</f>
        <v>0</v>
      </c>
      <c r="AZ31" s="98">
        <f>AS31*AY28</f>
        <v>0</v>
      </c>
    </row>
    <row r="32" spans="2:53" x14ac:dyDescent="0.35">
      <c r="B32" s="29">
        <v>4</v>
      </c>
      <c r="C32" s="242"/>
      <c r="D32" s="210">
        <v>2</v>
      </c>
      <c r="E32" s="581"/>
      <c r="F32" s="714"/>
      <c r="I32" s="98">
        <f>$D$32*'FPFeeEscalation UK_AP'!G44</f>
        <v>8975519.0790875982</v>
      </c>
      <c r="J32" s="244">
        <f>$D$32*'FPFeeEscalation UK_AP'!H44</f>
        <v>25118381.581752248</v>
      </c>
      <c r="L32" s="29">
        <v>4</v>
      </c>
      <c r="M32" s="242"/>
      <c r="N32" s="210">
        <v>0</v>
      </c>
      <c r="O32" s="581"/>
      <c r="P32" s="714"/>
      <c r="T32" s="244"/>
      <c r="V32" s="29">
        <v>4</v>
      </c>
      <c r="W32" s="242"/>
      <c r="X32" s="210">
        <v>4</v>
      </c>
      <c r="Y32" s="581"/>
      <c r="Z32" s="714"/>
      <c r="AC32" s="98">
        <f>$X$32*'FPFeeEscalation US'!G44</f>
        <v>11219398.848859498</v>
      </c>
      <c r="AD32" s="244">
        <f>$X$32*'FPFeeEscalation US'!H44</f>
        <v>31397976.977190316</v>
      </c>
      <c r="AF32" s="29">
        <v>4</v>
      </c>
      <c r="AG32" s="242"/>
      <c r="AH32" s="581">
        <v>0</v>
      </c>
      <c r="AI32" s="243"/>
      <c r="AL32" s="98">
        <f>$AH$32*AI28</f>
        <v>0</v>
      </c>
      <c r="AM32" s="98">
        <f>$AH$32*AJ28</f>
        <v>0</v>
      </c>
      <c r="AN32" s="98">
        <f>AH32*AK28</f>
        <v>0</v>
      </c>
      <c r="AO32" s="244">
        <f>AH32*AL28</f>
        <v>0</v>
      </c>
      <c r="AQ32" s="29">
        <v>4</v>
      </c>
      <c r="AS32" s="210">
        <v>0</v>
      </c>
      <c r="AW32" s="98">
        <f>AS32*AU28</f>
        <v>0</v>
      </c>
      <c r="AX32" s="98">
        <f>AS32*AV28</f>
        <v>0</v>
      </c>
      <c r="AY32" s="98">
        <f>AS32*AW28</f>
        <v>0</v>
      </c>
      <c r="AZ32" s="98">
        <f>AS32*AX28</f>
        <v>0</v>
      </c>
    </row>
    <row r="33" spans="2:56" x14ac:dyDescent="0.35">
      <c r="B33" s="29">
        <v>5</v>
      </c>
      <c r="C33" s="242"/>
      <c r="D33" s="210">
        <v>2</v>
      </c>
      <c r="E33" s="581"/>
      <c r="F33" s="714"/>
      <c r="J33" s="244">
        <f>$D$33*'FPFeeEscalation UK_AP'!G44</f>
        <v>8975519.0790875982</v>
      </c>
      <c r="L33" s="29">
        <v>5</v>
      </c>
      <c r="M33" s="242"/>
      <c r="N33" s="210">
        <v>0</v>
      </c>
      <c r="O33" s="581"/>
      <c r="P33" s="714"/>
      <c r="T33" s="244"/>
      <c r="V33" s="29">
        <v>5</v>
      </c>
      <c r="W33" s="242"/>
      <c r="X33" s="210">
        <v>4</v>
      </c>
      <c r="Y33" s="581"/>
      <c r="Z33" s="714"/>
      <c r="AD33" s="244">
        <f>$X$33*'FPFeeEscalation US'!G44</f>
        <v>11219398.848859498</v>
      </c>
      <c r="AF33" s="29">
        <v>5</v>
      </c>
      <c r="AG33" s="242"/>
      <c r="AH33" s="581">
        <v>0</v>
      </c>
      <c r="AI33" s="243"/>
      <c r="AM33" s="98">
        <f>$AH$33*AI28</f>
        <v>0</v>
      </c>
      <c r="AN33" s="98">
        <f>$AH$33*AJ28</f>
        <v>0</v>
      </c>
      <c r="AO33" s="244">
        <f>AH33*AK28</f>
        <v>0</v>
      </c>
      <c r="AQ33" s="29">
        <v>5</v>
      </c>
      <c r="AS33" s="210">
        <v>0</v>
      </c>
      <c r="AX33" s="98">
        <f>AS33*AU28</f>
        <v>0</v>
      </c>
      <c r="AY33" s="98">
        <f>AS33*AV28</f>
        <v>0</v>
      </c>
      <c r="AZ33" s="98">
        <f>AS33*AW28</f>
        <v>0</v>
      </c>
    </row>
    <row r="34" spans="2:56" x14ac:dyDescent="0.35">
      <c r="C34" s="242"/>
      <c r="D34" s="210" t="e">
        <v>#N/A</v>
      </c>
      <c r="E34" s="581"/>
      <c r="F34" s="715"/>
      <c r="G34" s="604"/>
      <c r="H34" s="604"/>
      <c r="I34" s="604"/>
      <c r="J34" s="716"/>
      <c r="M34" s="242"/>
      <c r="N34" s="210" t="e">
        <v>#N/A</v>
      </c>
      <c r="O34" s="581"/>
      <c r="P34" s="714"/>
      <c r="T34" s="244"/>
      <c r="W34" s="242"/>
      <c r="X34" s="210" t="e">
        <v>#N/A</v>
      </c>
      <c r="Y34" s="581"/>
      <c r="Z34" s="714"/>
      <c r="AD34" s="244"/>
      <c r="AF34" s="29">
        <v>6</v>
      </c>
      <c r="AG34" s="242"/>
      <c r="AH34" s="581">
        <v>0</v>
      </c>
      <c r="AI34" s="243"/>
      <c r="AN34" s="98">
        <f>$AH$34*AI28</f>
        <v>0</v>
      </c>
      <c r="AO34" s="244">
        <f>$AH$34*AJ28</f>
        <v>0</v>
      </c>
      <c r="AQ34" s="29">
        <v>6</v>
      </c>
      <c r="AS34" s="210">
        <v>0</v>
      </c>
      <c r="AY34" s="98">
        <f>AS34*AU28</f>
        <v>0</v>
      </c>
      <c r="AZ34" s="98">
        <f>AS34*AV28</f>
        <v>0</v>
      </c>
    </row>
    <row r="35" spans="2:56" x14ac:dyDescent="0.35">
      <c r="C35" s="242"/>
      <c r="D35" s="211" t="e">
        <v>#N/A</v>
      </c>
      <c r="E35" s="581"/>
      <c r="F35" s="715"/>
      <c r="G35" s="604"/>
      <c r="H35" s="604"/>
      <c r="I35" s="604"/>
      <c r="J35" s="716"/>
      <c r="M35" s="242"/>
      <c r="N35" s="211" t="e">
        <v>#N/A</v>
      </c>
      <c r="O35" s="581"/>
      <c r="P35" s="714"/>
      <c r="T35" s="244"/>
      <c r="W35" s="242"/>
      <c r="X35" s="211" t="e">
        <v>#N/A</v>
      </c>
      <c r="Y35" s="581"/>
      <c r="Z35" s="714"/>
      <c r="AD35" s="244"/>
      <c r="AF35" s="29">
        <v>7</v>
      </c>
      <c r="AG35" s="242"/>
      <c r="AH35" s="581">
        <v>0</v>
      </c>
      <c r="AI35" s="243"/>
      <c r="AO35" s="244">
        <f>$AH$35*AI28</f>
        <v>0</v>
      </c>
      <c r="AQ35" s="29">
        <v>7</v>
      </c>
      <c r="AS35" s="211">
        <v>0</v>
      </c>
      <c r="AZ35" s="98">
        <f>AS35*AU28</f>
        <v>0</v>
      </c>
    </row>
    <row r="36" spans="2:56" ht="13.5" thickBot="1" x14ac:dyDescent="0.45">
      <c r="C36" s="242"/>
      <c r="D36" s="161" t="s">
        <v>24</v>
      </c>
      <c r="E36" s="161"/>
      <c r="F36" s="717">
        <f>SUM(F29:F35)</f>
        <v>4487759.5395437991</v>
      </c>
      <c r="G36" s="569">
        <f>SUM(G29:G35)</f>
        <v>21534709.86996372</v>
      </c>
      <c r="H36" s="569">
        <f>SUM(H29:H35)</f>
        <v>55744567.597527087</v>
      </c>
      <c r="I36" s="569">
        <f>SUM(I29:I35)</f>
        <v>109219080.18546133</v>
      </c>
      <c r="J36" s="570">
        <f>SUM(J29:J35)</f>
        <v>184192978.64005509</v>
      </c>
      <c r="M36" s="242"/>
      <c r="N36" s="161" t="s">
        <v>24</v>
      </c>
      <c r="O36" s="161"/>
      <c r="P36" s="724">
        <f>SUM(P29:P35)</f>
        <v>0</v>
      </c>
      <c r="Q36" s="571">
        <f t="shared" ref="Q36:T36" si="6">SUM(Q29:Q35)</f>
        <v>0</v>
      </c>
      <c r="R36" s="571">
        <f t="shared" si="6"/>
        <v>0</v>
      </c>
      <c r="S36" s="571">
        <f t="shared" si="6"/>
        <v>0</v>
      </c>
      <c r="T36" s="725">
        <f t="shared" si="6"/>
        <v>0</v>
      </c>
      <c r="W36" s="242"/>
      <c r="X36" s="161" t="s">
        <v>24</v>
      </c>
      <c r="Y36" s="161"/>
      <c r="Z36" s="724">
        <f>SUM(Z29:Z35)</f>
        <v>0</v>
      </c>
      <c r="AA36" s="571">
        <f t="shared" ref="AA36:AD36" si="7">SUM(AA29:AA35)</f>
        <v>2804849.7122148746</v>
      </c>
      <c r="AB36" s="571">
        <f t="shared" si="7"/>
        <v>13459193.668727327</v>
      </c>
      <c r="AC36" s="571">
        <f t="shared" si="7"/>
        <v>40450054.172884181</v>
      </c>
      <c r="AD36" s="725">
        <f t="shared" si="7"/>
        <v>89570613.028938264</v>
      </c>
      <c r="AF36" s="29">
        <v>8</v>
      </c>
      <c r="AG36" s="567"/>
      <c r="AH36" s="568" t="s">
        <v>24</v>
      </c>
      <c r="AI36" s="569">
        <f t="shared" ref="AI36:AO36" si="8">SUM(AI29:AI35)</f>
        <v>0</v>
      </c>
      <c r="AJ36" s="569">
        <f t="shared" si="8"/>
        <v>0</v>
      </c>
      <c r="AK36" s="569">
        <f t="shared" si="8"/>
        <v>0</v>
      </c>
      <c r="AL36" s="569">
        <f t="shared" si="8"/>
        <v>0</v>
      </c>
      <c r="AM36" s="569">
        <f t="shared" si="8"/>
        <v>0</v>
      </c>
      <c r="AN36" s="569">
        <f t="shared" si="8"/>
        <v>0</v>
      </c>
      <c r="AO36" s="570">
        <f t="shared" si="8"/>
        <v>0</v>
      </c>
      <c r="AQ36" s="29">
        <v>8</v>
      </c>
      <c r="AS36" s="161" t="s">
        <v>24</v>
      </c>
      <c r="AT36" s="162">
        <f t="shared" ref="AT36:AZ36" si="9">SUM(AT29:AT35)</f>
        <v>0</v>
      </c>
      <c r="AU36" s="162">
        <f t="shared" si="9"/>
        <v>0</v>
      </c>
      <c r="AV36" s="162">
        <f t="shared" si="9"/>
        <v>0</v>
      </c>
      <c r="AW36" s="162">
        <f t="shared" si="9"/>
        <v>0</v>
      </c>
      <c r="AX36" s="162">
        <f t="shared" si="9"/>
        <v>0</v>
      </c>
      <c r="AY36" s="162">
        <f t="shared" si="9"/>
        <v>0</v>
      </c>
      <c r="AZ36" s="162">
        <f t="shared" si="9"/>
        <v>0</v>
      </c>
    </row>
    <row r="37" spans="2:56" ht="13.15" x14ac:dyDescent="0.4">
      <c r="C37" s="242"/>
      <c r="D37" s="574"/>
      <c r="E37" s="574"/>
      <c r="F37" s="575"/>
      <c r="G37" s="575"/>
      <c r="H37" s="575"/>
      <c r="I37" s="575"/>
      <c r="J37" s="575"/>
      <c r="M37" s="242"/>
      <c r="N37" s="574"/>
      <c r="O37" s="574"/>
      <c r="P37" s="683"/>
      <c r="Q37" s="683"/>
      <c r="R37" s="683"/>
      <c r="S37" s="683"/>
      <c r="T37" s="683"/>
      <c r="W37" s="242"/>
      <c r="X37" s="574"/>
      <c r="Y37" s="574"/>
      <c r="Z37" s="683"/>
      <c r="AA37" s="683"/>
      <c r="AB37" s="683"/>
      <c r="AC37" s="683"/>
      <c r="AD37" s="683"/>
      <c r="AG37" s="242"/>
      <c r="AH37" s="574"/>
      <c r="AI37" s="575"/>
      <c r="AJ37" s="575"/>
      <c r="AK37" s="575"/>
      <c r="AL37" s="575"/>
      <c r="AM37" s="575"/>
      <c r="AN37" s="575"/>
      <c r="AO37" s="684"/>
      <c r="AS37" s="574"/>
      <c r="AT37" s="685"/>
      <c r="AU37" s="685"/>
      <c r="AV37" s="685"/>
      <c r="AW37" s="685"/>
      <c r="AX37" s="685"/>
      <c r="AY37" s="685"/>
      <c r="AZ37" s="685"/>
    </row>
    <row r="38" spans="2:56" ht="13.5" thickBot="1" x14ac:dyDescent="0.45">
      <c r="C38" s="246" t="s">
        <v>281</v>
      </c>
      <c r="D38" s="161" t="s">
        <v>286</v>
      </c>
      <c r="E38" s="781">
        <f>1500000*F23</f>
        <v>1500000</v>
      </c>
      <c r="F38" s="241">
        <f t="shared" ref="F38:J38" si="10">1500000*G23</f>
        <v>3000000</v>
      </c>
      <c r="G38" s="241">
        <f t="shared" si="10"/>
        <v>3000000</v>
      </c>
      <c r="H38" s="241">
        <f t="shared" si="10"/>
        <v>3000000</v>
      </c>
      <c r="I38" s="241">
        <f t="shared" si="10"/>
        <v>3000000</v>
      </c>
      <c r="J38" s="241">
        <f t="shared" si="10"/>
        <v>1500000</v>
      </c>
      <c r="M38" s="246" t="s">
        <v>281</v>
      </c>
      <c r="N38" s="161" t="s">
        <v>286</v>
      </c>
      <c r="O38" s="241">
        <f>1250000*P23</f>
        <v>0</v>
      </c>
      <c r="P38" s="241">
        <f t="shared" ref="P38:S38" si="11">1250000*Q23</f>
        <v>0</v>
      </c>
      <c r="Q38" s="241">
        <f t="shared" si="11"/>
        <v>0</v>
      </c>
      <c r="R38" s="241">
        <f t="shared" si="11"/>
        <v>0</v>
      </c>
      <c r="S38" s="241">
        <f t="shared" si="11"/>
        <v>0</v>
      </c>
      <c r="T38" s="241">
        <f>1250000*U23</f>
        <v>2500000</v>
      </c>
      <c r="W38" s="246" t="s">
        <v>281</v>
      </c>
      <c r="X38" s="161" t="s">
        <v>286</v>
      </c>
      <c r="Y38" s="241">
        <f>1250000*Z23</f>
        <v>0</v>
      </c>
      <c r="Z38" s="241">
        <f>1500000*AA23</f>
        <v>1500000</v>
      </c>
      <c r="AA38" s="241">
        <f t="shared" ref="AA38:AD38" si="12">1500000*AB23</f>
        <v>3000000</v>
      </c>
      <c r="AB38" s="241">
        <f t="shared" si="12"/>
        <v>6000000</v>
      </c>
      <c r="AC38" s="241">
        <f t="shared" si="12"/>
        <v>6000000</v>
      </c>
      <c r="AD38" s="732">
        <f t="shared" si="12"/>
        <v>7500000</v>
      </c>
      <c r="AG38" s="242"/>
      <c r="AH38" s="574"/>
      <c r="AI38" s="575"/>
      <c r="AJ38" s="575"/>
      <c r="AK38" s="575"/>
      <c r="AL38" s="575"/>
      <c r="AM38" s="575"/>
      <c r="AN38" s="575"/>
      <c r="AO38" s="684"/>
      <c r="AS38" s="574"/>
      <c r="AT38" s="685"/>
      <c r="AU38" s="685"/>
      <c r="AV38" s="685"/>
      <c r="AW38" s="685"/>
      <c r="AX38" s="685"/>
      <c r="AY38" s="685"/>
      <c r="AZ38" s="685"/>
    </row>
    <row r="39" spans="2:56" ht="13.5" thickBot="1" x14ac:dyDescent="0.45">
      <c r="C39" s="567"/>
      <c r="D39" s="578"/>
      <c r="E39" s="578"/>
      <c r="F39" s="579"/>
      <c r="G39" s="579"/>
      <c r="H39" s="579"/>
      <c r="I39" s="579"/>
      <c r="J39" s="579"/>
      <c r="M39" s="242"/>
      <c r="N39" s="128"/>
      <c r="O39" s="128"/>
      <c r="P39" s="245"/>
      <c r="Q39" s="245"/>
      <c r="R39" s="245"/>
      <c r="S39" s="245"/>
      <c r="T39" s="245"/>
      <c r="W39" s="567"/>
      <c r="X39" s="578"/>
      <c r="Y39" s="578"/>
      <c r="Z39" s="579"/>
      <c r="AA39" s="579"/>
      <c r="AB39" s="579"/>
      <c r="AC39" s="579"/>
      <c r="AD39" s="579"/>
      <c r="AG39" s="563"/>
      <c r="AH39" s="586"/>
      <c r="AI39" s="587"/>
      <c r="AJ39" s="587"/>
      <c r="AK39" s="587"/>
      <c r="AL39" s="587"/>
      <c r="AM39" s="587"/>
      <c r="AN39" s="587"/>
      <c r="AO39" s="588"/>
      <c r="AS39" s="128"/>
      <c r="AT39" s="129"/>
      <c r="AU39" s="129"/>
      <c r="AV39" s="129"/>
      <c r="AW39" s="129"/>
      <c r="AX39" s="129"/>
      <c r="AY39" s="129"/>
      <c r="AZ39" s="129"/>
    </row>
    <row r="40" spans="2:56" ht="13.5" thickBot="1" x14ac:dyDescent="0.45">
      <c r="C40" s="170" t="str">
        <f>C28</f>
        <v>UK/APAC</v>
      </c>
      <c r="D40" s="171" t="s">
        <v>47</v>
      </c>
      <c r="E40" s="700"/>
      <c r="F40" s="172">
        <f>F36+F38</f>
        <v>7487759.5395437991</v>
      </c>
      <c r="G40" s="172">
        <f t="shared" ref="G40:J40" si="13">G36+G38</f>
        <v>24534709.86996372</v>
      </c>
      <c r="H40" s="172">
        <f t="shared" si="13"/>
        <v>58744567.597527087</v>
      </c>
      <c r="I40" s="172">
        <f t="shared" si="13"/>
        <v>112219080.18546133</v>
      </c>
      <c r="J40" s="172">
        <f t="shared" si="13"/>
        <v>185692978.64005509</v>
      </c>
      <c r="M40" s="170" t="str">
        <f>M28</f>
        <v>Other</v>
      </c>
      <c r="N40" s="171" t="s">
        <v>47</v>
      </c>
      <c r="O40" s="700"/>
      <c r="P40" s="172">
        <f>P36+P38</f>
        <v>0</v>
      </c>
      <c r="Q40" s="172">
        <f t="shared" ref="Q40:T40" si="14">Q36+Q38</f>
        <v>0</v>
      </c>
      <c r="R40" s="172">
        <f t="shared" si="14"/>
        <v>0</v>
      </c>
      <c r="S40" s="172">
        <f t="shared" si="14"/>
        <v>0</v>
      </c>
      <c r="T40" s="172">
        <f t="shared" si="14"/>
        <v>2500000</v>
      </c>
      <c r="W40" s="170" t="str">
        <f>W28</f>
        <v>USA</v>
      </c>
      <c r="X40" s="171" t="s">
        <v>47</v>
      </c>
      <c r="Y40" s="700"/>
      <c r="Z40" s="172">
        <f>Z36+Z38</f>
        <v>1500000</v>
      </c>
      <c r="AA40" s="172">
        <f t="shared" ref="AA40:AD40" si="15">AA36+AA38</f>
        <v>5804849.7122148741</v>
      </c>
      <c r="AB40" s="172">
        <f t="shared" si="15"/>
        <v>19459193.668727327</v>
      </c>
      <c r="AC40" s="172">
        <f t="shared" si="15"/>
        <v>46450054.172884181</v>
      </c>
      <c r="AD40" s="172">
        <f t="shared" si="15"/>
        <v>97070613.028938264</v>
      </c>
      <c r="AG40" s="589">
        <f>AG28</f>
        <v>0</v>
      </c>
      <c r="AH40" s="568" t="s">
        <v>47</v>
      </c>
      <c r="AI40" s="569">
        <f t="shared" ref="AI40:AO40" si="16">AI36</f>
        <v>0</v>
      </c>
      <c r="AJ40" s="569">
        <f t="shared" si="16"/>
        <v>0</v>
      </c>
      <c r="AK40" s="569">
        <f t="shared" si="16"/>
        <v>0</v>
      </c>
      <c r="AL40" s="569">
        <f t="shared" si="16"/>
        <v>0</v>
      </c>
      <c r="AM40" s="569">
        <f t="shared" si="16"/>
        <v>0</v>
      </c>
      <c r="AN40" s="569">
        <f t="shared" si="16"/>
        <v>0</v>
      </c>
      <c r="AO40" s="570">
        <f t="shared" si="16"/>
        <v>0</v>
      </c>
      <c r="AR40" s="170" t="e">
        <f>#REF!</f>
        <v>#REF!</v>
      </c>
      <c r="AS40" s="171" t="s">
        <v>47</v>
      </c>
      <c r="AT40" s="172">
        <f>AT36</f>
        <v>0</v>
      </c>
      <c r="AU40" s="172">
        <f t="shared" ref="AU40:AZ40" si="17">AU36</f>
        <v>0</v>
      </c>
      <c r="AV40" s="172">
        <f t="shared" si="17"/>
        <v>0</v>
      </c>
      <c r="AW40" s="172">
        <f t="shared" si="17"/>
        <v>0</v>
      </c>
      <c r="AX40" s="172">
        <f t="shared" si="17"/>
        <v>0</v>
      </c>
      <c r="AY40" s="172">
        <f t="shared" si="17"/>
        <v>0</v>
      </c>
      <c r="AZ40" s="172">
        <f t="shared" si="17"/>
        <v>0</v>
      </c>
    </row>
    <row r="41" spans="2:56" x14ac:dyDescent="0.35">
      <c r="D41" s="31"/>
      <c r="E41" s="31"/>
      <c r="N41" s="31"/>
      <c r="O41" s="31"/>
      <c r="X41" s="31"/>
      <c r="Y41" s="31"/>
      <c r="AH41" s="224"/>
      <c r="AI41" s="243"/>
      <c r="AS41" s="31"/>
    </row>
    <row r="42" spans="2:56" ht="13.15" thickBot="1" x14ac:dyDescent="0.4">
      <c r="D42" s="31"/>
      <c r="E42" s="31"/>
      <c r="N42" s="31"/>
      <c r="O42" s="31"/>
      <c r="X42" s="31"/>
      <c r="Y42" s="31"/>
      <c r="AH42" s="224"/>
      <c r="AI42" s="243"/>
      <c r="AS42" s="31"/>
    </row>
    <row r="43" spans="2:56" ht="13.5" thickBot="1" x14ac:dyDescent="0.45">
      <c r="C43" s="168"/>
      <c r="D43" s="169"/>
      <c r="E43" s="169" t="s">
        <v>282</v>
      </c>
      <c r="F43" s="165" t="s">
        <v>41</v>
      </c>
      <c r="G43" s="165" t="s">
        <v>127</v>
      </c>
      <c r="H43" s="165" t="s">
        <v>128</v>
      </c>
      <c r="I43" s="165" t="s">
        <v>129</v>
      </c>
      <c r="J43" s="165" t="s">
        <v>130</v>
      </c>
      <c r="M43" s="168"/>
      <c r="N43" s="169"/>
      <c r="O43" s="169" t="s">
        <v>282</v>
      </c>
      <c r="P43" s="165" t="s">
        <v>41</v>
      </c>
      <c r="Q43" s="165" t="s">
        <v>127</v>
      </c>
      <c r="R43" s="165" t="s">
        <v>128</v>
      </c>
      <c r="S43" s="165" t="s">
        <v>129</v>
      </c>
      <c r="T43" s="165" t="s">
        <v>130</v>
      </c>
      <c r="W43" s="168"/>
      <c r="X43" s="169"/>
      <c r="Y43" s="169" t="s">
        <v>282</v>
      </c>
      <c r="Z43" s="165" t="s">
        <v>41</v>
      </c>
      <c r="AA43" s="165" t="s">
        <v>127</v>
      </c>
      <c r="AB43" s="165" t="s">
        <v>128</v>
      </c>
      <c r="AC43" s="165" t="s">
        <v>129</v>
      </c>
      <c r="AD43" s="165" t="s">
        <v>130</v>
      </c>
      <c r="AG43" s="168"/>
      <c r="AH43" s="169"/>
      <c r="AI43" s="590" t="s">
        <v>41</v>
      </c>
      <c r="AJ43" s="590" t="s">
        <v>127</v>
      </c>
      <c r="AK43" s="590" t="s">
        <v>128</v>
      </c>
      <c r="AL43" s="590" t="s">
        <v>129</v>
      </c>
      <c r="AM43" s="590" t="s">
        <v>130</v>
      </c>
      <c r="AN43" s="590" t="s">
        <v>131</v>
      </c>
      <c r="AO43" s="591" t="s">
        <v>132</v>
      </c>
      <c r="AR43" s="168"/>
      <c r="AS43" s="169"/>
      <c r="AT43" s="165" t="s">
        <v>41</v>
      </c>
      <c r="AU43" s="165" t="s">
        <v>127</v>
      </c>
      <c r="AV43" s="165" t="s">
        <v>128</v>
      </c>
      <c r="AW43" s="165" t="s">
        <v>129</v>
      </c>
      <c r="AX43" s="165" t="s">
        <v>130</v>
      </c>
      <c r="AY43" s="166" t="s">
        <v>131</v>
      </c>
      <c r="AZ43" s="577" t="s">
        <v>132</v>
      </c>
    </row>
    <row r="44" spans="2:56" ht="13.15" thickBot="1" x14ac:dyDescent="0.4">
      <c r="AI44" s="243"/>
    </row>
    <row r="45" spans="2:56" ht="13.5" thickBot="1" x14ac:dyDescent="0.45">
      <c r="C45" s="142"/>
      <c r="D45" s="142" t="s">
        <v>63</v>
      </c>
      <c r="E45" s="142"/>
      <c r="F45" s="90">
        <f t="shared" ref="F45:K45" si="18">F23</f>
        <v>1</v>
      </c>
      <c r="G45" s="90">
        <f t="shared" si="18"/>
        <v>2</v>
      </c>
      <c r="H45" s="90">
        <f t="shared" si="18"/>
        <v>2</v>
      </c>
      <c r="I45" s="90">
        <f t="shared" si="18"/>
        <v>2</v>
      </c>
      <c r="J45" s="90">
        <f t="shared" si="18"/>
        <v>2</v>
      </c>
      <c r="K45" s="744">
        <f t="shared" si="18"/>
        <v>1</v>
      </c>
      <c r="M45" s="142"/>
      <c r="N45" s="142" t="s">
        <v>63</v>
      </c>
      <c r="O45" s="142"/>
      <c r="P45" s="90">
        <f t="shared" ref="P45:U45" si="19">P23</f>
        <v>0</v>
      </c>
      <c r="Q45" s="90">
        <f t="shared" si="19"/>
        <v>0</v>
      </c>
      <c r="R45" s="90">
        <f t="shared" si="19"/>
        <v>0</v>
      </c>
      <c r="S45" s="90">
        <f t="shared" si="19"/>
        <v>0</v>
      </c>
      <c r="T45" s="90">
        <f t="shared" si="19"/>
        <v>0</v>
      </c>
      <c r="U45" s="743">
        <f t="shared" si="19"/>
        <v>2</v>
      </c>
      <c r="V45" s="30"/>
      <c r="W45" s="142"/>
      <c r="X45" s="142" t="s">
        <v>63</v>
      </c>
      <c r="Y45" s="142"/>
      <c r="Z45" s="90">
        <f t="shared" ref="Z45:BD45" si="20">Z23</f>
        <v>0</v>
      </c>
      <c r="AA45" s="90">
        <f t="shared" si="20"/>
        <v>1</v>
      </c>
      <c r="AB45" s="90">
        <f t="shared" si="20"/>
        <v>2</v>
      </c>
      <c r="AC45" s="90">
        <f t="shared" si="20"/>
        <v>4</v>
      </c>
      <c r="AD45" s="90">
        <f t="shared" si="20"/>
        <v>4</v>
      </c>
      <c r="AE45" s="742">
        <f t="shared" si="20"/>
        <v>5</v>
      </c>
      <c r="AF45" s="90">
        <f t="shared" si="20"/>
        <v>0</v>
      </c>
      <c r="AG45" s="90" t="str">
        <f t="shared" si="20"/>
        <v>New Licencees</v>
      </c>
      <c r="AH45" s="90">
        <f t="shared" si="20"/>
        <v>0</v>
      </c>
      <c r="AI45" s="90">
        <f t="shared" si="20"/>
        <v>0</v>
      </c>
      <c r="AJ45" s="90">
        <f t="shared" si="20"/>
        <v>0</v>
      </c>
      <c r="AK45" s="90">
        <f t="shared" si="20"/>
        <v>0</v>
      </c>
      <c r="AL45" s="90">
        <f t="shared" si="20"/>
        <v>0</v>
      </c>
      <c r="AM45" s="90">
        <f t="shared" si="20"/>
        <v>0</v>
      </c>
      <c r="AN45" s="90">
        <f t="shared" si="20"/>
        <v>0</v>
      </c>
      <c r="AO45" s="90">
        <f t="shared" si="20"/>
        <v>0</v>
      </c>
      <c r="AP45" s="90">
        <f t="shared" si="20"/>
        <v>0</v>
      </c>
      <c r="AQ45" s="90">
        <f t="shared" si="20"/>
        <v>0</v>
      </c>
      <c r="AR45" s="90" t="str">
        <f t="shared" si="20"/>
        <v>New Licencees</v>
      </c>
      <c r="AS45" s="90">
        <f t="shared" si="20"/>
        <v>0</v>
      </c>
      <c r="AT45" s="90">
        <f t="shared" si="20"/>
        <v>0</v>
      </c>
      <c r="AU45" s="90">
        <f t="shared" si="20"/>
        <v>0</v>
      </c>
      <c r="AV45" s="90">
        <f t="shared" si="20"/>
        <v>0</v>
      </c>
      <c r="AW45" s="90">
        <f t="shared" si="20"/>
        <v>0</v>
      </c>
      <c r="AX45" s="90">
        <f t="shared" si="20"/>
        <v>0</v>
      </c>
      <c r="AY45" s="90">
        <f t="shared" si="20"/>
        <v>0</v>
      </c>
      <c r="AZ45" s="90">
        <f t="shared" si="20"/>
        <v>0</v>
      </c>
      <c r="BA45" s="90">
        <f t="shared" si="20"/>
        <v>0</v>
      </c>
      <c r="BB45" s="90">
        <f t="shared" si="20"/>
        <v>0</v>
      </c>
      <c r="BC45" s="90">
        <f t="shared" si="20"/>
        <v>0</v>
      </c>
      <c r="BD45" s="90">
        <f t="shared" si="20"/>
        <v>0</v>
      </c>
    </row>
    <row r="46" spans="2:56" x14ac:dyDescent="0.35">
      <c r="C46" s="143" t="s">
        <v>64</v>
      </c>
      <c r="D46" s="619">
        <f>Sale_Travel_Per_Licensee</f>
        <v>90000</v>
      </c>
      <c r="E46" s="619">
        <f>$D$46*F45*(1+exp_index)</f>
        <v>94500</v>
      </c>
      <c r="F46" s="619">
        <f>$D$46*G45*(1+exp_index)</f>
        <v>189000</v>
      </c>
      <c r="G46" s="619">
        <f>$D$46*H45*(1+exp_index*1)</f>
        <v>189000</v>
      </c>
      <c r="H46" s="619">
        <f>$D$46*I45*(1+exp_index*2)</f>
        <v>198000.00000000003</v>
      </c>
      <c r="I46" s="619">
        <f>$D$46*J45*(1+exp_index*3)</f>
        <v>206999.99999999997</v>
      </c>
      <c r="J46" s="619">
        <f>$D$46*K45*(1+exp_index*4)</f>
        <v>108000</v>
      </c>
      <c r="M46" s="143" t="s">
        <v>64</v>
      </c>
      <c r="N46" s="619">
        <f>Sale_Travel_Per_Licensee</f>
        <v>90000</v>
      </c>
      <c r="O46" s="619">
        <f>$D$46*P45*(1+exp_index)</f>
        <v>0</v>
      </c>
      <c r="P46" s="619">
        <f>$D$46*Q45*(1+exp_index)</f>
        <v>0</v>
      </c>
      <c r="Q46" s="619">
        <f>$D$46*R45*(1+exp_index*1)</f>
        <v>0</v>
      </c>
      <c r="R46" s="619">
        <f>$D$46*S45*(1+exp_index*2)</f>
        <v>0</v>
      </c>
      <c r="S46" s="619">
        <f>$D$46*T45*(1+exp_index*3)</f>
        <v>0</v>
      </c>
      <c r="T46" s="619">
        <f>$D$46*U45*(1+exp_index*4)</f>
        <v>216000</v>
      </c>
      <c r="V46" s="30"/>
      <c r="W46" s="143" t="s">
        <v>64</v>
      </c>
      <c r="X46" s="619">
        <f>Sale_Travel_Per_Licensee</f>
        <v>90000</v>
      </c>
      <c r="Y46" s="619">
        <f>$D$46*Z45*(1+exp_index)</f>
        <v>0</v>
      </c>
      <c r="Z46" s="619">
        <f>$D$46*AA45*(1+exp_index)</f>
        <v>94500</v>
      </c>
      <c r="AA46" s="619">
        <f>$D$46*AB45*(1+exp_index*1)</f>
        <v>189000</v>
      </c>
      <c r="AB46" s="619">
        <f>$D$46*AC45*(1+exp_index*2)</f>
        <v>396000.00000000006</v>
      </c>
      <c r="AC46" s="619">
        <f>$D$46*AD45*(1+exp_index*3)</f>
        <v>413999.99999999994</v>
      </c>
      <c r="AD46" s="619">
        <f>$D$46*AE45*(1+exp_index*4)</f>
        <v>540000</v>
      </c>
      <c r="AG46" s="143" t="s">
        <v>64</v>
      </c>
      <c r="AH46" s="619">
        <f>Sale_Travel_Per_Licensee</f>
        <v>90000</v>
      </c>
      <c r="AI46" s="619">
        <f>$D$46*AI45*(1+exp_index)</f>
        <v>0</v>
      </c>
      <c r="AJ46" s="619">
        <f>$D$46*AJ45*(1+exp_index*2)</f>
        <v>0</v>
      </c>
      <c r="AK46" s="619">
        <f>$D$46*AK45*(1+exp_index*3)</f>
        <v>0</v>
      </c>
      <c r="AL46" s="619">
        <f>$D$46*AL45*(1+exp_index*4)</f>
        <v>0</v>
      </c>
      <c r="AM46" s="619">
        <f>$D$46*AM45*(1+exp_index*5)</f>
        <v>0</v>
      </c>
      <c r="AN46" s="619">
        <f>$D$46*AN45*(1+exp_index*6)</f>
        <v>0</v>
      </c>
      <c r="AO46" s="619">
        <f>$D$46*AO45*(1+exp_index*7)</f>
        <v>0</v>
      </c>
      <c r="AR46" s="143" t="s">
        <v>64</v>
      </c>
      <c r="AS46" s="90"/>
      <c r="AU46" s="90"/>
      <c r="AV46" s="90"/>
      <c r="AW46" s="90"/>
      <c r="AX46" s="90"/>
      <c r="AY46" s="90"/>
      <c r="AZ46" s="90"/>
    </row>
    <row r="47" spans="2:56" ht="13.15" x14ac:dyDescent="0.4">
      <c r="AI47" s="250"/>
    </row>
    <row r="48" spans="2:56" ht="13.15" thickBot="1" x14ac:dyDescent="0.4">
      <c r="F48" s="249"/>
      <c r="G48" s="249"/>
      <c r="H48" s="249"/>
      <c r="I48" s="249"/>
      <c r="J48" s="249"/>
      <c r="AI48" s="572"/>
    </row>
    <row r="49" spans="2:52" x14ac:dyDescent="0.35">
      <c r="C49" s="563"/>
      <c r="D49" s="564"/>
      <c r="E49" s="564"/>
      <c r="F49" s="565"/>
      <c r="G49" s="566"/>
      <c r="H49" s="566"/>
      <c r="I49" s="566"/>
      <c r="J49" s="738"/>
      <c r="M49" s="563"/>
      <c r="N49" s="564"/>
      <c r="O49" s="564"/>
      <c r="P49" s="565"/>
      <c r="Q49" s="566"/>
      <c r="R49" s="566"/>
      <c r="S49" s="566"/>
      <c r="T49" s="738"/>
      <c r="W49" s="563"/>
      <c r="X49" s="564"/>
      <c r="Y49" s="564"/>
      <c r="Z49" s="565"/>
      <c r="AA49" s="566"/>
      <c r="AB49" s="566"/>
      <c r="AC49" s="566"/>
      <c r="AD49" s="738"/>
      <c r="AI49" s="572"/>
    </row>
    <row r="50" spans="2:52" ht="13.15" x14ac:dyDescent="0.4">
      <c r="B50" s="29">
        <v>1</v>
      </c>
      <c r="C50" s="246" t="s">
        <v>241</v>
      </c>
      <c r="D50" s="210">
        <f t="shared" ref="D50:D56" si="21">D29</f>
        <v>1</v>
      </c>
      <c r="E50" s="581"/>
      <c r="F50" s="604">
        <f>$D$50*'FPFeeEscalation UK_AP'!G79</f>
        <v>2100</v>
      </c>
      <c r="G50" s="604">
        <f>$D$50*'FPFeeEscalation UK_AP'!H79</f>
        <v>5705</v>
      </c>
      <c r="H50" s="604">
        <f>$D$50*'FPFeeEscalation UK_AP'!I79</f>
        <v>9500.75</v>
      </c>
      <c r="I50" s="604">
        <f>$D$50*'FPFeeEscalation UK_AP'!J79</f>
        <v>13514.812500000002</v>
      </c>
      <c r="J50" s="716">
        <f>$D$50*'FPFeeEscalation UK_AP'!K79</f>
        <v>17777.081875</v>
      </c>
      <c r="L50" s="29">
        <v>1</v>
      </c>
      <c r="M50" s="246" t="s">
        <v>241</v>
      </c>
      <c r="N50" s="210">
        <f t="shared" ref="N50:N56" si="22">N29</f>
        <v>0</v>
      </c>
      <c r="O50" s="581"/>
      <c r="P50" s="98"/>
      <c r="T50" s="244"/>
      <c r="V50" s="29">
        <v>1</v>
      </c>
      <c r="W50" s="246" t="s">
        <v>241</v>
      </c>
      <c r="X50" s="210">
        <f t="shared" ref="X50:X56" si="23">X29</f>
        <v>0</v>
      </c>
      <c r="Y50" s="581"/>
      <c r="Z50" s="604">
        <f>$X$50*'FPFeeEscalation US'!G79</f>
        <v>0</v>
      </c>
      <c r="AA50" s="604">
        <f>$X$50*'FPFeeEscalation US'!H79</f>
        <v>0</v>
      </c>
      <c r="AB50" s="604">
        <f>$X$50*'FPFeeEscalation US'!I79</f>
        <v>0</v>
      </c>
      <c r="AC50" s="604">
        <f>$X$50*'FPFeeEscalation US'!J79</f>
        <v>0</v>
      </c>
      <c r="AD50" s="716">
        <f>$X$50*'FPFeeEscalation US'!K79</f>
        <v>0</v>
      </c>
      <c r="AG50" s="238"/>
      <c r="AH50" s="573"/>
      <c r="AI50" s="98"/>
      <c r="AQ50" s="29">
        <v>1</v>
      </c>
      <c r="AR50" s="30" t="s">
        <v>24</v>
      </c>
      <c r="AS50" s="210">
        <f t="array" ref="AS50:AS56">TRANSPOSE(AT33:AZ33)</f>
        <v>0</v>
      </c>
      <c r="AU50" s="99"/>
      <c r="AV50" s="99"/>
      <c r="AW50" s="99"/>
      <c r="AX50" s="99"/>
      <c r="AY50" s="99"/>
      <c r="AZ50" s="99"/>
    </row>
    <row r="51" spans="2:52" x14ac:dyDescent="0.35">
      <c r="B51" s="29">
        <v>2</v>
      </c>
      <c r="C51" s="242"/>
      <c r="D51" s="210">
        <f t="shared" si="21"/>
        <v>2</v>
      </c>
      <c r="E51" s="581"/>
      <c r="F51" s="604"/>
      <c r="G51" s="604">
        <f>$D$51*'FPFeeEscalation UK_AP'!G79</f>
        <v>4200</v>
      </c>
      <c r="H51" s="604">
        <f>$D$51*'FPFeeEscalation UK_AP'!H79</f>
        <v>11410</v>
      </c>
      <c r="I51" s="604">
        <f>$D$51*'FPFeeEscalation UK_AP'!I79</f>
        <v>19001.5</v>
      </c>
      <c r="J51" s="716">
        <f>$D$51*'FPFeeEscalation UK_AP'!J79</f>
        <v>27029.625000000004</v>
      </c>
      <c r="K51" s="98"/>
      <c r="L51" s="29">
        <v>2</v>
      </c>
      <c r="M51" s="242"/>
      <c r="N51" s="210">
        <f t="shared" si="22"/>
        <v>0</v>
      </c>
      <c r="O51" s="581"/>
      <c r="P51" s="243"/>
      <c r="T51" s="244"/>
      <c r="V51" s="29">
        <v>2</v>
      </c>
      <c r="W51" s="242"/>
      <c r="X51" s="210">
        <f t="shared" si="23"/>
        <v>1</v>
      </c>
      <c r="Y51" s="581"/>
      <c r="Z51" s="604"/>
      <c r="AA51" s="604">
        <f>$X$51*'FPFeeEscalation US'!G79</f>
        <v>2100</v>
      </c>
      <c r="AB51" s="604">
        <f>$X$51*'FPFeeEscalation US'!H79</f>
        <v>5705</v>
      </c>
      <c r="AC51" s="604">
        <f>$X$51*'FPFeeEscalation US'!I79</f>
        <v>9500.75</v>
      </c>
      <c r="AD51" s="716">
        <f>$X$51*'FPFeeEscalation US'!J79</f>
        <v>13514.812500000002</v>
      </c>
      <c r="AH51" s="573"/>
      <c r="AI51" s="572"/>
      <c r="AQ51" s="29">
        <v>2</v>
      </c>
      <c r="AS51" s="210">
        <v>0</v>
      </c>
    </row>
    <row r="52" spans="2:52" x14ac:dyDescent="0.35">
      <c r="B52" s="29">
        <v>3</v>
      </c>
      <c r="C52" s="242"/>
      <c r="D52" s="210">
        <f t="shared" si="21"/>
        <v>2</v>
      </c>
      <c r="E52" s="581"/>
      <c r="F52" s="604"/>
      <c r="G52" s="604"/>
      <c r="H52" s="604">
        <f>$D$52*'FPFeeEscalation UK_AP'!G79</f>
        <v>4200</v>
      </c>
      <c r="I52" s="604">
        <f>$D$52*'FPFeeEscalation UK_AP'!H79</f>
        <v>11410</v>
      </c>
      <c r="J52" s="716">
        <f>$D$52*'FPFeeEscalation UK_AP'!I79</f>
        <v>19001.5</v>
      </c>
      <c r="L52" s="29">
        <v>3</v>
      </c>
      <c r="M52" s="242"/>
      <c r="N52" s="210">
        <f t="shared" si="22"/>
        <v>0</v>
      </c>
      <c r="O52" s="581"/>
      <c r="P52" s="243"/>
      <c r="R52" s="739"/>
      <c r="S52" s="739"/>
      <c r="T52" s="740"/>
      <c r="V52" s="29">
        <v>3</v>
      </c>
      <c r="W52" s="242"/>
      <c r="X52" s="210">
        <f t="shared" si="23"/>
        <v>2</v>
      </c>
      <c r="Y52" s="581"/>
      <c r="Z52" s="604"/>
      <c r="AA52" s="604"/>
      <c r="AB52" s="604">
        <f>$X$52*'FPFeeEscalation US'!G79</f>
        <v>4200</v>
      </c>
      <c r="AC52" s="604">
        <f>$X$52*'FPFeeEscalation US'!H79</f>
        <v>11410</v>
      </c>
      <c r="AD52" s="716">
        <f>$X$52*'FPFeeEscalation US'!I79</f>
        <v>19001.5</v>
      </c>
      <c r="AH52" s="573"/>
      <c r="AI52" s="572"/>
      <c r="AQ52" s="29">
        <v>3</v>
      </c>
      <c r="AS52" s="210">
        <v>0</v>
      </c>
    </row>
    <row r="53" spans="2:52" x14ac:dyDescent="0.35">
      <c r="B53" s="29">
        <v>4</v>
      </c>
      <c r="C53" s="242"/>
      <c r="D53" s="210">
        <f t="shared" si="21"/>
        <v>2</v>
      </c>
      <c r="E53" s="581"/>
      <c r="F53" s="604"/>
      <c r="G53" s="604"/>
      <c r="H53" s="604"/>
      <c r="I53" s="604">
        <f>$D$53*'FPFeeEscalation UK_AP'!G79</f>
        <v>4200</v>
      </c>
      <c r="J53" s="716">
        <f>$D$53*'FPFeeEscalation UK_AP'!H79</f>
        <v>11410</v>
      </c>
      <c r="K53" s="98"/>
      <c r="L53" s="29">
        <v>4</v>
      </c>
      <c r="M53" s="242"/>
      <c r="N53" s="210">
        <f t="shared" si="22"/>
        <v>0</v>
      </c>
      <c r="O53" s="581"/>
      <c r="P53" s="243"/>
      <c r="T53" s="244"/>
      <c r="V53" s="29">
        <v>4</v>
      </c>
      <c r="W53" s="242"/>
      <c r="X53" s="210">
        <f t="shared" si="23"/>
        <v>4</v>
      </c>
      <c r="Y53" s="581"/>
      <c r="Z53" s="604"/>
      <c r="AA53" s="604"/>
      <c r="AB53" s="604"/>
      <c r="AC53" s="604">
        <f>$X$53*'FPFeeEscalation US'!G79</f>
        <v>8400</v>
      </c>
      <c r="AD53" s="716">
        <f>$X$53*'FPFeeEscalation US'!H79</f>
        <v>22820</v>
      </c>
      <c r="AH53" s="573"/>
      <c r="AI53" s="572"/>
      <c r="AQ53" s="29">
        <v>4</v>
      </c>
      <c r="AS53" s="210">
        <v>0</v>
      </c>
    </row>
    <row r="54" spans="2:52" x14ac:dyDescent="0.35">
      <c r="B54" s="29">
        <v>5</v>
      </c>
      <c r="C54" s="242"/>
      <c r="D54" s="210">
        <f t="shared" si="21"/>
        <v>2</v>
      </c>
      <c r="E54" s="581"/>
      <c r="F54" s="604"/>
      <c r="G54" s="604"/>
      <c r="H54" s="604"/>
      <c r="I54" s="604"/>
      <c r="J54" s="716">
        <f>$D$54*'FPFeeEscalation UK_AP'!G79</f>
        <v>4200</v>
      </c>
      <c r="K54" s="98"/>
      <c r="L54" s="29">
        <v>5</v>
      </c>
      <c r="M54" s="242"/>
      <c r="N54" s="210">
        <f t="shared" si="22"/>
        <v>0</v>
      </c>
      <c r="O54" s="581"/>
      <c r="P54" s="243"/>
      <c r="T54" s="244"/>
      <c r="V54" s="29">
        <v>5</v>
      </c>
      <c r="W54" s="242"/>
      <c r="X54" s="210">
        <f t="shared" si="23"/>
        <v>4</v>
      </c>
      <c r="Y54" s="581"/>
      <c r="Z54" s="604"/>
      <c r="AA54" s="604"/>
      <c r="AB54" s="604"/>
      <c r="AC54" s="604"/>
      <c r="AD54" s="716">
        <f>$X$54*'FPFeeEscalation US'!G79</f>
        <v>8400</v>
      </c>
      <c r="AH54" s="573"/>
      <c r="AI54" s="572"/>
      <c r="AQ54" s="29">
        <v>5</v>
      </c>
      <c r="AS54" s="210">
        <v>0</v>
      </c>
    </row>
    <row r="55" spans="2:52" x14ac:dyDescent="0.35">
      <c r="C55" s="242"/>
      <c r="D55" s="210" t="e">
        <f t="shared" si="21"/>
        <v>#N/A</v>
      </c>
      <c r="E55" s="581"/>
      <c r="F55" s="243"/>
      <c r="J55" s="244"/>
      <c r="M55" s="242"/>
      <c r="N55" s="210" t="e">
        <f t="shared" si="22"/>
        <v>#N/A</v>
      </c>
      <c r="O55" s="581"/>
      <c r="P55" s="243"/>
      <c r="T55" s="244"/>
      <c r="W55" s="242"/>
      <c r="X55" s="210" t="e">
        <f t="shared" si="23"/>
        <v>#N/A</v>
      </c>
      <c r="Y55" s="581"/>
      <c r="Z55" s="604"/>
      <c r="AA55" s="604"/>
      <c r="AB55" s="604"/>
      <c r="AC55" s="604"/>
      <c r="AD55" s="716"/>
      <c r="AH55" s="573"/>
      <c r="AI55" s="572"/>
      <c r="AQ55" s="29">
        <v>6</v>
      </c>
      <c r="AS55" s="210">
        <v>0</v>
      </c>
    </row>
    <row r="56" spans="2:52" x14ac:dyDescent="0.35">
      <c r="C56" s="242"/>
      <c r="D56" s="210" t="e">
        <f t="shared" si="21"/>
        <v>#N/A</v>
      </c>
      <c r="E56" s="581"/>
      <c r="F56" s="243"/>
      <c r="J56" s="244"/>
      <c r="M56" s="242"/>
      <c r="N56" s="210" t="e">
        <f t="shared" si="22"/>
        <v>#N/A</v>
      </c>
      <c r="O56" s="581"/>
      <c r="P56" s="243"/>
      <c r="T56" s="244"/>
      <c r="W56" s="242"/>
      <c r="X56" s="210" t="e">
        <f t="shared" si="23"/>
        <v>#N/A</v>
      </c>
      <c r="Y56" s="581"/>
      <c r="Z56" s="243"/>
      <c r="AD56" s="244"/>
      <c r="AH56" s="573"/>
      <c r="AI56" s="572"/>
      <c r="AQ56" s="29">
        <v>7</v>
      </c>
      <c r="AS56" s="211">
        <v>0</v>
      </c>
    </row>
    <row r="57" spans="2:52" ht="13.5" thickBot="1" x14ac:dyDescent="0.45">
      <c r="C57" s="567"/>
      <c r="D57" s="568" t="s">
        <v>241</v>
      </c>
      <c r="E57" s="568"/>
      <c r="F57" s="569">
        <f>SUM(F50:F56)</f>
        <v>2100</v>
      </c>
      <c r="G57" s="569">
        <f>SUM(G50:G56)</f>
        <v>9905</v>
      </c>
      <c r="H57" s="569">
        <f>SUM(H50:H56)</f>
        <v>25110.75</v>
      </c>
      <c r="I57" s="569">
        <f>SUM(I50:I56)</f>
        <v>48126.3125</v>
      </c>
      <c r="J57" s="570">
        <f>SUM(J50:J56)</f>
        <v>79418.206875000003</v>
      </c>
      <c r="M57" s="567"/>
      <c r="N57" s="568" t="s">
        <v>241</v>
      </c>
      <c r="O57" s="568"/>
      <c r="P57" s="571">
        <f>SUM(P50:P56)</f>
        <v>0</v>
      </c>
      <c r="Q57" s="571">
        <f t="shared" ref="Q57:T57" si="24">SUM(Q50:Q56)</f>
        <v>0</v>
      </c>
      <c r="R57" s="571">
        <f t="shared" si="24"/>
        <v>0</v>
      </c>
      <c r="S57" s="571">
        <f t="shared" si="24"/>
        <v>0</v>
      </c>
      <c r="T57" s="725">
        <f t="shared" si="24"/>
        <v>0</v>
      </c>
      <c r="W57" s="567"/>
      <c r="X57" s="568" t="s">
        <v>241</v>
      </c>
      <c r="Y57" s="568"/>
      <c r="Z57" s="571">
        <f>SUM(Z50:Z56)</f>
        <v>0</v>
      </c>
      <c r="AA57" s="571">
        <f t="shared" ref="AA57:AD57" si="25">SUM(AA50:AA56)</f>
        <v>2100</v>
      </c>
      <c r="AB57" s="571">
        <f t="shared" si="25"/>
        <v>9905</v>
      </c>
      <c r="AC57" s="571">
        <f t="shared" si="25"/>
        <v>29310.75</v>
      </c>
      <c r="AD57" s="725">
        <f t="shared" si="25"/>
        <v>63736.3125</v>
      </c>
      <c r="AH57" s="574"/>
      <c r="AI57" s="575"/>
      <c r="AJ57" s="575"/>
      <c r="AK57" s="575"/>
      <c r="AL57" s="575"/>
      <c r="AM57" s="575"/>
      <c r="AN57" s="575"/>
      <c r="AO57" s="575"/>
      <c r="AQ57" s="29">
        <v>8</v>
      </c>
      <c r="AS57" s="161" t="s">
        <v>24</v>
      </c>
      <c r="AT57" s="162">
        <f t="shared" ref="AT57:AZ57" si="26">SUM(AT50:AT56)</f>
        <v>0</v>
      </c>
      <c r="AU57" s="162">
        <f t="shared" si="26"/>
        <v>0</v>
      </c>
      <c r="AV57" s="162">
        <f t="shared" si="26"/>
        <v>0</v>
      </c>
      <c r="AW57" s="162">
        <f t="shared" si="26"/>
        <v>0</v>
      </c>
      <c r="AX57" s="162">
        <f t="shared" si="26"/>
        <v>0</v>
      </c>
      <c r="AY57" s="162">
        <f t="shared" si="26"/>
        <v>0</v>
      </c>
      <c r="AZ57" s="162">
        <f t="shared" si="26"/>
        <v>0</v>
      </c>
    </row>
    <row r="58" spans="2:52" x14ac:dyDescent="0.35">
      <c r="AI58" s="572"/>
    </row>
    <row r="59" spans="2:52" x14ac:dyDescent="0.35">
      <c r="AI59" s="572"/>
    </row>
    <row r="60" spans="2:52" x14ac:dyDescent="0.35">
      <c r="AI60" s="572"/>
    </row>
    <row r="61" spans="2:52" x14ac:dyDescent="0.35">
      <c r="D61" s="562"/>
      <c r="E61" s="562"/>
    </row>
  </sheetData>
  <phoneticPr fontId="14" type="noConversion"/>
  <pageMargins left="0.39370078740157483" right="0.74803149606299213" top="0.39370078740157483" bottom="0.39370078740157483" header="0.51181102362204722" footer="0.51181102362204722"/>
  <pageSetup paperSize="9" scale="55" fitToHeight="3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/>
  <dimension ref="B1:L80"/>
  <sheetViews>
    <sheetView zoomScaleNormal="154" workbookViewId="0">
      <selection activeCell="L5" sqref="L5:L14"/>
    </sheetView>
  </sheetViews>
  <sheetFormatPr defaultRowHeight="12.75" outlineLevelRow="1" x14ac:dyDescent="0.35"/>
  <cols>
    <col min="1" max="1" width="2.53125" customWidth="1"/>
    <col min="2" max="2" width="20.19921875" style="14" customWidth="1"/>
    <col min="3" max="3" width="15.53125" style="14" customWidth="1"/>
    <col min="4" max="4" width="21.1328125" customWidth="1"/>
    <col min="5" max="5" width="8.59765625" customWidth="1"/>
    <col min="6" max="6" width="8.46484375" customWidth="1"/>
    <col min="7" max="8" width="12.46484375" bestFit="1" customWidth="1"/>
    <col min="9" max="9" width="12.6640625" bestFit="1" customWidth="1"/>
    <col min="10" max="10" width="13.19921875" bestFit="1" customWidth="1"/>
    <col min="11" max="11" width="13.6640625" bestFit="1" customWidth="1"/>
    <col min="12" max="12" width="7.6640625" customWidth="1"/>
  </cols>
  <sheetData>
    <row r="1" spans="2:12" ht="13.15" thickBot="1" x14ac:dyDescent="0.4"/>
    <row r="2" spans="2:12" ht="13.5" thickTop="1" x14ac:dyDescent="0.4">
      <c r="B2" s="193"/>
      <c r="C2" s="191"/>
      <c r="D2" s="192"/>
      <c r="E2" s="192"/>
      <c r="F2" s="192"/>
      <c r="G2" s="194" t="s">
        <v>246</v>
      </c>
      <c r="H2" s="194"/>
      <c r="I2" s="194"/>
      <c r="J2" s="194"/>
      <c r="K2" s="194"/>
    </row>
    <row r="3" spans="2:12" x14ac:dyDescent="0.35">
      <c r="B3" s="195"/>
      <c r="G3" s="109" t="s">
        <v>42</v>
      </c>
      <c r="H3" s="109" t="s">
        <v>42</v>
      </c>
      <c r="I3" s="104" t="s">
        <v>42</v>
      </c>
      <c r="J3" s="109" t="s">
        <v>42</v>
      </c>
      <c r="K3" s="104" t="s">
        <v>42</v>
      </c>
    </row>
    <row r="4" spans="2:12" x14ac:dyDescent="0.35">
      <c r="B4" s="195"/>
      <c r="G4" s="110">
        <v>1</v>
      </c>
      <c r="H4" s="110">
        <v>2</v>
      </c>
      <c r="I4" s="105">
        <v>3</v>
      </c>
      <c r="J4" s="110">
        <v>4</v>
      </c>
      <c r="K4" s="105">
        <v>5</v>
      </c>
    </row>
    <row r="5" spans="2:12" x14ac:dyDescent="0.35">
      <c r="B5" s="195"/>
      <c r="G5" s="539">
        <f>'EPM US'!$AB20</f>
        <v>1335.6427201023214</v>
      </c>
      <c r="H5" s="539">
        <f>'EPM US'!$AB21</f>
        <v>1450.7567682796823</v>
      </c>
      <c r="I5" s="539">
        <f>'EPM US'!$AB22</f>
        <v>1565.8708164570437</v>
      </c>
      <c r="J5" s="539">
        <f>'EPM US'!$AB23</f>
        <v>1680.9848646344042</v>
      </c>
      <c r="K5" s="539">
        <f>'EPM US'!$AB24</f>
        <v>1796.0989128117646</v>
      </c>
      <c r="L5" s="88" t="b">
        <f>SUM(G5:K5)=SUM('EPM US'!AB20,'EPM US'!AB21,'EPM US'!AB22,'EPM US'!AB23,'EPM US'!AB24)</f>
        <v>1</v>
      </c>
    </row>
    <row r="6" spans="2:12" x14ac:dyDescent="0.35">
      <c r="B6" s="195"/>
      <c r="G6" s="106"/>
      <c r="H6" s="106"/>
      <c r="J6" s="107"/>
    </row>
    <row r="7" spans="2:12" ht="13.15" x14ac:dyDescent="0.4">
      <c r="B7" s="196" t="s">
        <v>42</v>
      </c>
      <c r="C7" s="115">
        <v>1</v>
      </c>
      <c r="D7" s="116" t="s">
        <v>46</v>
      </c>
      <c r="E7" s="116"/>
      <c r="F7" s="188"/>
      <c r="G7" s="199">
        <f>SUM(G8:G8)</f>
        <v>3500</v>
      </c>
      <c r="H7" s="200">
        <f t="shared" ref="H7:K7" si="0">G7*(1-termination_rate)</f>
        <v>3325</v>
      </c>
      <c r="I7" s="200">
        <f t="shared" si="0"/>
        <v>3158.75</v>
      </c>
      <c r="J7" s="200">
        <f t="shared" si="0"/>
        <v>3000.8125</v>
      </c>
      <c r="K7" s="200">
        <f t="shared" si="0"/>
        <v>2850.7718749999999</v>
      </c>
    </row>
    <row r="8" spans="2:12" outlineLevel="1" x14ac:dyDescent="0.35">
      <c r="B8" s="195"/>
      <c r="D8" t="s">
        <v>78</v>
      </c>
      <c r="F8" s="114"/>
      <c r="G8" s="186">
        <f>G54</f>
        <v>3500</v>
      </c>
      <c r="H8" s="186"/>
      <c r="I8" s="108"/>
      <c r="J8" s="108"/>
      <c r="K8" s="108"/>
    </row>
    <row r="9" spans="2:12" ht="13.15" x14ac:dyDescent="0.4">
      <c r="B9" s="195" t="s">
        <v>42</v>
      </c>
      <c r="C9" s="14">
        <v>2</v>
      </c>
      <c r="D9" t="s">
        <v>46</v>
      </c>
      <c r="F9" s="114"/>
      <c r="G9" s="108"/>
      <c r="H9" s="201">
        <f>SUM(H10:H10)</f>
        <v>3850</v>
      </c>
      <c r="I9" s="202">
        <f>H9*(1-termination_rate)</f>
        <v>3657.5</v>
      </c>
      <c r="J9" s="202">
        <f>I9*(1-termination_rate)</f>
        <v>3474.625</v>
      </c>
      <c r="K9" s="202">
        <f>J9*(1-termination_rate)</f>
        <v>3300.8937499999997</v>
      </c>
    </row>
    <row r="10" spans="2:12" outlineLevel="1" x14ac:dyDescent="0.35">
      <c r="B10" s="195"/>
      <c r="D10" t="s">
        <v>78</v>
      </c>
      <c r="F10" s="114"/>
      <c r="G10" s="108"/>
      <c r="H10" s="108">
        <f>H54</f>
        <v>3850</v>
      </c>
      <c r="J10" s="108"/>
      <c r="K10" s="108"/>
    </row>
    <row r="11" spans="2:12" ht="13.15" x14ac:dyDescent="0.4">
      <c r="B11" s="195" t="s">
        <v>42</v>
      </c>
      <c r="C11" s="14">
        <v>3</v>
      </c>
      <c r="D11" t="s">
        <v>46</v>
      </c>
      <c r="F11" s="114"/>
      <c r="G11" s="108"/>
      <c r="H11" s="108"/>
      <c r="I11" s="201">
        <f>SUM(I12:I12)</f>
        <v>4235</v>
      </c>
      <c r="J11" s="202">
        <f>I11*(1-termination_rate)</f>
        <v>4023.25</v>
      </c>
      <c r="K11" s="202">
        <f>J11*(1-termination_rate)</f>
        <v>3822.0874999999996</v>
      </c>
    </row>
    <row r="12" spans="2:12" outlineLevel="1" x14ac:dyDescent="0.35">
      <c r="B12" s="195"/>
      <c r="D12" t="s">
        <v>78</v>
      </c>
      <c r="F12" s="114"/>
      <c r="G12" s="108"/>
      <c r="H12" s="108"/>
      <c r="I12" s="108">
        <f>I54</f>
        <v>4235</v>
      </c>
      <c r="J12" s="108"/>
      <c r="K12" s="108"/>
    </row>
    <row r="13" spans="2:12" ht="13.15" x14ac:dyDescent="0.4">
      <c r="B13" s="195" t="s">
        <v>42</v>
      </c>
      <c r="C13" s="14">
        <v>4</v>
      </c>
      <c r="D13" t="s">
        <v>46</v>
      </c>
      <c r="F13" s="114"/>
      <c r="G13" s="108"/>
      <c r="H13" s="108"/>
      <c r="I13" s="108"/>
      <c r="J13" s="201">
        <f>SUM(J14:J14)</f>
        <v>4658.5</v>
      </c>
      <c r="K13" s="202">
        <f>J13*(1-termination_rate)</f>
        <v>4425.5749999999998</v>
      </c>
    </row>
    <row r="14" spans="2:12" outlineLevel="1" x14ac:dyDescent="0.35">
      <c r="B14" s="195"/>
      <c r="D14" t="s">
        <v>78</v>
      </c>
      <c r="F14" s="114"/>
      <c r="G14" s="108"/>
      <c r="H14" s="108"/>
      <c r="I14" s="108"/>
      <c r="J14" s="108">
        <f>J54</f>
        <v>4658.5</v>
      </c>
      <c r="K14" s="108"/>
    </row>
    <row r="15" spans="2:12" ht="13.15" x14ac:dyDescent="0.4">
      <c r="B15" s="195" t="s">
        <v>42</v>
      </c>
      <c r="C15" s="14">
        <v>5</v>
      </c>
      <c r="D15" t="s">
        <v>46</v>
      </c>
      <c r="F15" s="114"/>
      <c r="G15" s="108"/>
      <c r="H15" s="108"/>
      <c r="I15" s="108"/>
      <c r="J15" s="108"/>
      <c r="K15" s="201">
        <f>SUM(K16:K16)</f>
        <v>5124.3500000000004</v>
      </c>
    </row>
    <row r="16" spans="2:12" outlineLevel="1" x14ac:dyDescent="0.35">
      <c r="B16" s="195"/>
      <c r="D16" t="s">
        <v>78</v>
      </c>
      <c r="F16" s="114"/>
      <c r="G16" s="108"/>
      <c r="H16" s="108"/>
      <c r="I16" s="108"/>
      <c r="J16" s="108"/>
      <c r="K16" s="108">
        <f>K54</f>
        <v>5124.3500000000004</v>
      </c>
    </row>
    <row r="17" spans="2:11" x14ac:dyDescent="0.35">
      <c r="B17" s="195" t="s">
        <v>42</v>
      </c>
      <c r="C17" s="14">
        <v>6</v>
      </c>
      <c r="D17" t="s">
        <v>46</v>
      </c>
      <c r="F17" s="114"/>
      <c r="G17" s="108"/>
      <c r="H17" s="108"/>
      <c r="I17" s="108"/>
      <c r="J17" s="108"/>
      <c r="K17" s="108"/>
    </row>
    <row r="18" spans="2:11" outlineLevel="1" x14ac:dyDescent="0.35">
      <c r="B18" s="195"/>
      <c r="D18" t="s">
        <v>78</v>
      </c>
      <c r="F18" s="114"/>
      <c r="G18" s="108"/>
      <c r="H18" s="108"/>
      <c r="I18" s="108"/>
      <c r="J18" s="108"/>
      <c r="K18" s="108"/>
    </row>
    <row r="19" spans="2:11" outlineLevel="1" x14ac:dyDescent="0.35">
      <c r="B19" s="195"/>
      <c r="C19" s="14">
        <v>7</v>
      </c>
      <c r="D19" t="s">
        <v>46</v>
      </c>
      <c r="G19" s="108"/>
      <c r="H19" s="108"/>
      <c r="I19" s="108"/>
      <c r="J19" s="108"/>
      <c r="K19" s="108"/>
    </row>
    <row r="20" spans="2:11" outlineLevel="1" x14ac:dyDescent="0.35">
      <c r="B20" s="195"/>
      <c r="D20" t="s">
        <v>78</v>
      </c>
      <c r="G20" s="108"/>
      <c r="H20" s="108"/>
      <c r="I20" s="108"/>
      <c r="J20" s="108"/>
      <c r="K20" s="108"/>
    </row>
    <row r="21" spans="2:11" s="2" customFormat="1" ht="13.5" thickBot="1" x14ac:dyDescent="0.45">
      <c r="B21" s="197"/>
      <c r="C21" s="189"/>
      <c r="D21" s="190" t="s">
        <v>48</v>
      </c>
      <c r="E21" s="189"/>
      <c r="F21" s="189"/>
      <c r="G21" s="113">
        <f>G7</f>
        <v>3500</v>
      </c>
      <c r="H21" s="113">
        <f>H7+H9</f>
        <v>7175</v>
      </c>
      <c r="I21" s="113">
        <f>I7+I9+I11</f>
        <v>11051.25</v>
      </c>
      <c r="J21" s="113">
        <f>J7+J9+J11+J13</f>
        <v>15157.1875</v>
      </c>
      <c r="K21" s="113">
        <f>K7+K9+K11+K13+K15</f>
        <v>19523.678124999999</v>
      </c>
    </row>
    <row r="22" spans="2:11" ht="13.15" thickTop="1" x14ac:dyDescent="0.35">
      <c r="B22" s="193"/>
      <c r="C22" s="191"/>
      <c r="D22" s="192"/>
      <c r="E22" s="192"/>
      <c r="F22" s="192"/>
      <c r="G22" s="831" t="s">
        <v>80</v>
      </c>
      <c r="H22" s="832"/>
      <c r="I22" s="832"/>
      <c r="J22" s="832"/>
      <c r="K22" s="832"/>
    </row>
    <row r="23" spans="2:11" x14ac:dyDescent="0.35">
      <c r="B23" s="195" t="s">
        <v>42</v>
      </c>
      <c r="C23" s="14">
        <v>1</v>
      </c>
      <c r="D23" t="s">
        <v>152</v>
      </c>
      <c r="G23" s="108">
        <f t="shared" ref="G23:K23" si="1">G5*G7</f>
        <v>4674749.5203581247</v>
      </c>
      <c r="H23" s="108">
        <f t="shared" si="1"/>
        <v>4823766.2545299437</v>
      </c>
      <c r="I23" s="108">
        <f t="shared" si="1"/>
        <v>4946194.4414836867</v>
      </c>
      <c r="J23" s="108">
        <f t="shared" si="1"/>
        <v>5044320.3941057278</v>
      </c>
      <c r="K23" s="108">
        <f t="shared" si="1"/>
        <v>5120268.2653618557</v>
      </c>
    </row>
    <row r="24" spans="2:11" x14ac:dyDescent="0.35">
      <c r="B24" s="195" t="s">
        <v>42</v>
      </c>
      <c r="C24" s="14">
        <v>2</v>
      </c>
      <c r="D24" t="s">
        <v>152</v>
      </c>
      <c r="G24" s="107"/>
      <c r="H24" s="538">
        <f t="shared" ref="H24:K24" si="2">H9*G$5</f>
        <v>5142224.4723939374</v>
      </c>
      <c r="I24" s="538">
        <f t="shared" si="2"/>
        <v>5306142.8799829381</v>
      </c>
      <c r="J24" s="538">
        <f t="shared" si="2"/>
        <v>5440813.8856320558</v>
      </c>
      <c r="K24" s="538">
        <f t="shared" si="2"/>
        <v>5548752.4335163003</v>
      </c>
    </row>
    <row r="25" spans="2:11" x14ac:dyDescent="0.35">
      <c r="B25" s="195" t="s">
        <v>42</v>
      </c>
      <c r="C25" s="14">
        <v>3</v>
      </c>
      <c r="D25" t="s">
        <v>152</v>
      </c>
      <c r="G25" s="107"/>
      <c r="H25" s="107"/>
      <c r="I25" s="538">
        <f>I11*G$5</f>
        <v>5656446.9196333308</v>
      </c>
      <c r="J25" s="538">
        <f>J11*H$5</f>
        <v>5836757.1679812316</v>
      </c>
      <c r="K25" s="538">
        <f>K11*I$5</f>
        <v>5984895.2741952604</v>
      </c>
    </row>
    <row r="26" spans="2:11" x14ac:dyDescent="0.35">
      <c r="B26" s="195" t="s">
        <v>42</v>
      </c>
      <c r="C26" s="14">
        <v>4</v>
      </c>
      <c r="D26" t="s">
        <v>152</v>
      </c>
      <c r="G26" s="107"/>
      <c r="H26" s="107"/>
      <c r="I26" s="107"/>
      <c r="J26" s="538">
        <f>J13*G$5</f>
        <v>6222091.6115966644</v>
      </c>
      <c r="K26" s="538">
        <f>K13*H$5</f>
        <v>6420432.8847793546</v>
      </c>
    </row>
    <row r="27" spans="2:11" x14ac:dyDescent="0.35">
      <c r="B27" s="195" t="s">
        <v>42</v>
      </c>
      <c r="C27" s="14">
        <v>5</v>
      </c>
      <c r="D27" t="s">
        <v>152</v>
      </c>
      <c r="G27" s="107"/>
      <c r="H27" s="107"/>
      <c r="I27" s="107"/>
      <c r="J27" s="538"/>
      <c r="K27" s="538">
        <f>K15*G$5</f>
        <v>6844300.7727563307</v>
      </c>
    </row>
    <row r="28" spans="2:11" x14ac:dyDescent="0.35">
      <c r="B28" s="195" t="s">
        <v>42</v>
      </c>
      <c r="C28" s="14">
        <v>6</v>
      </c>
      <c r="D28" t="s">
        <v>152</v>
      </c>
      <c r="G28" s="107"/>
      <c r="H28" s="107"/>
      <c r="I28" s="107"/>
      <c r="J28" s="538"/>
      <c r="K28" s="538"/>
    </row>
    <row r="29" spans="2:11" x14ac:dyDescent="0.35">
      <c r="B29" s="195"/>
      <c r="C29" s="14">
        <v>7</v>
      </c>
      <c r="D29" t="s">
        <v>152</v>
      </c>
      <c r="G29" s="107"/>
      <c r="H29" s="107"/>
      <c r="I29" s="107"/>
      <c r="J29" s="538"/>
      <c r="K29" s="538"/>
    </row>
    <row r="30" spans="2:11" s="2" customFormat="1" ht="13.5" thickBot="1" x14ac:dyDescent="0.45">
      <c r="B30" s="198"/>
      <c r="C30" s="111"/>
      <c r="D30" s="112" t="s">
        <v>47</v>
      </c>
      <c r="E30" s="111"/>
      <c r="F30" s="111"/>
      <c r="G30" s="113">
        <f>SUM(G23:G29)</f>
        <v>4674749.5203581247</v>
      </c>
      <c r="H30" s="113">
        <f t="shared" ref="H30:K30" si="3">SUM(H23:H29)</f>
        <v>9965990.7269238811</v>
      </c>
      <c r="I30" s="113">
        <f t="shared" si="3"/>
        <v>15908784.241099956</v>
      </c>
      <c r="J30" s="113">
        <f t="shared" si="3"/>
        <v>22543983.059315681</v>
      </c>
      <c r="K30" s="113">
        <f t="shared" si="3"/>
        <v>29918649.630609103</v>
      </c>
    </row>
    <row r="31" spans="2:11" ht="13.5" thickTop="1" thickBot="1" x14ac:dyDescent="0.4">
      <c r="G31" s="320"/>
      <c r="H31" s="320"/>
      <c r="I31" s="320"/>
      <c r="J31" s="321"/>
      <c r="K31" s="320"/>
    </row>
    <row r="32" spans="2:11" ht="13.15" thickTop="1" x14ac:dyDescent="0.35">
      <c r="B32" s="219" t="s">
        <v>98</v>
      </c>
      <c r="C32" s="191"/>
      <c r="D32" s="192"/>
      <c r="E32" s="192"/>
      <c r="F32" s="192"/>
      <c r="G32" s="833" t="s">
        <v>234</v>
      </c>
      <c r="H32" s="832"/>
      <c r="I32" s="832"/>
      <c r="J32" s="832"/>
      <c r="K32" s="832"/>
    </row>
    <row r="33" spans="2:11" x14ac:dyDescent="0.35">
      <c r="B33" s="195" t="s">
        <v>42</v>
      </c>
      <c r="C33" s="14">
        <v>1</v>
      </c>
      <c r="D33" t="s">
        <v>152</v>
      </c>
      <c r="G33" s="108">
        <f>G23*$E$47</f>
        <v>2804849.7122148746</v>
      </c>
      <c r="H33" s="108">
        <f>G23*$E$49+H23*$E$47</f>
        <v>4764159.5608612159</v>
      </c>
      <c r="I33" s="108">
        <f>G23*(1-$E$47-$E$49)+H23*$E$49+I23*$E$47</f>
        <v>4897223.1667021895</v>
      </c>
      <c r="J33" s="108">
        <f>H23*(1-$E$47-$E$49)+I23*$E$49+J23*$E$47</f>
        <v>5005070.0130569115</v>
      </c>
      <c r="K33" s="108">
        <f>I23*(1-$E$47-$E$49)+J23*$E$49+K23*$E$47</f>
        <v>5089889.1168594044</v>
      </c>
    </row>
    <row r="34" spans="2:11" x14ac:dyDescent="0.35">
      <c r="B34" s="195" t="s">
        <v>42</v>
      </c>
      <c r="C34" s="14">
        <v>2</v>
      </c>
      <c r="D34" t="s">
        <v>152</v>
      </c>
      <c r="G34" s="107"/>
      <c r="H34" s="108">
        <f>H24*$E$47</f>
        <v>3085334.6834363625</v>
      </c>
      <c r="I34" s="108">
        <f>H24*$E$49+I24*$E$47</f>
        <v>5240575.5169473374</v>
      </c>
      <c r="J34" s="108">
        <f>H24*(1-$E$47-$E$49)+I24*$E$49+J24*$E$47</f>
        <v>5386945.4833724089</v>
      </c>
      <c r="K34" s="108">
        <f>I24*(1-$E$47-$E$49)+J24*$E$49+K24*$E$47</f>
        <v>5505577.0143626025</v>
      </c>
    </row>
    <row r="35" spans="2:11" x14ac:dyDescent="0.35">
      <c r="B35" s="195" t="s">
        <v>42</v>
      </c>
      <c r="C35" s="14">
        <v>3</v>
      </c>
      <c r="D35" t="s">
        <v>152</v>
      </c>
      <c r="G35" s="107"/>
      <c r="H35" s="107"/>
      <c r="I35" s="108">
        <f>I25*$E$47</f>
        <v>3393868.1517799986</v>
      </c>
      <c r="J35" s="108">
        <f>I25*$E$49+J25*$E$47</f>
        <v>5764633.0686420705</v>
      </c>
      <c r="K35" s="108">
        <f>I25*(1-$E$47-$E$49)+J25*$E$49+K25*$E$47</f>
        <v>5925640.0317096487</v>
      </c>
    </row>
    <row r="36" spans="2:11" x14ac:dyDescent="0.35">
      <c r="B36" s="195" t="s">
        <v>42</v>
      </c>
      <c r="C36" s="14">
        <v>4</v>
      </c>
      <c r="D36" t="s">
        <v>152</v>
      </c>
      <c r="G36" s="107"/>
      <c r="H36" s="107"/>
      <c r="I36" s="107"/>
      <c r="J36" s="108">
        <f>J26*$E$47</f>
        <v>3733254.9669579985</v>
      </c>
      <c r="K36" s="108">
        <f>J26*$E$49+K26*$E$47</f>
        <v>6341096.3755062781</v>
      </c>
    </row>
    <row r="37" spans="2:11" x14ac:dyDescent="0.35">
      <c r="B37" s="195" t="s">
        <v>42</v>
      </c>
      <c r="C37" s="14">
        <v>5</v>
      </c>
      <c r="D37" t="s">
        <v>152</v>
      </c>
      <c r="G37" s="107"/>
      <c r="H37" s="107"/>
      <c r="I37" s="107"/>
      <c r="J37" s="108"/>
      <c r="K37" s="108">
        <f>K27*$E$47</f>
        <v>4106580.4636537982</v>
      </c>
    </row>
    <row r="38" spans="2:11" x14ac:dyDescent="0.35">
      <c r="B38" s="195" t="s">
        <v>42</v>
      </c>
      <c r="C38" s="14">
        <v>6</v>
      </c>
      <c r="D38" t="s">
        <v>152</v>
      </c>
      <c r="G38" s="107"/>
      <c r="H38" s="107"/>
      <c r="I38" s="107"/>
      <c r="J38" s="108"/>
      <c r="K38" s="108"/>
    </row>
    <row r="39" spans="2:11" x14ac:dyDescent="0.35">
      <c r="B39" s="195"/>
      <c r="C39" s="14">
        <v>7</v>
      </c>
      <c r="D39" t="s">
        <v>152</v>
      </c>
      <c r="G39" s="107"/>
      <c r="H39" s="107"/>
      <c r="I39" s="107"/>
      <c r="J39" s="108"/>
      <c r="K39" s="108"/>
    </row>
    <row r="40" spans="2:11" ht="13.5" thickBot="1" x14ac:dyDescent="0.45">
      <c r="B40" s="198"/>
      <c r="C40" s="111"/>
      <c r="D40" s="112" t="s">
        <v>47</v>
      </c>
      <c r="E40" s="111"/>
      <c r="F40" s="111"/>
      <c r="G40" s="113">
        <f>SUM(G33:G39)</f>
        <v>2804849.7122148746</v>
      </c>
      <c r="H40" s="113">
        <f t="shared" ref="H40:K40" si="4">SUM(H33:H39)</f>
        <v>7849494.2442975789</v>
      </c>
      <c r="I40" s="113">
        <f t="shared" si="4"/>
        <v>13531666.835429525</v>
      </c>
      <c r="J40" s="113">
        <f t="shared" si="4"/>
        <v>19889903.53202939</v>
      </c>
      <c r="K40" s="113">
        <f t="shared" si="4"/>
        <v>26968783.002091732</v>
      </c>
    </row>
    <row r="41" spans="2:11" ht="13.9" thickTop="1" thickBot="1" x14ac:dyDescent="0.45">
      <c r="B41" s="217"/>
      <c r="C41" s="217"/>
      <c r="D41" s="218"/>
      <c r="E41" s="217"/>
      <c r="F41" s="217"/>
      <c r="G41" s="322"/>
      <c r="H41" s="322"/>
      <c r="I41" s="322"/>
      <c r="J41" s="322"/>
      <c r="K41" s="322"/>
    </row>
    <row r="42" spans="2:11" ht="13.15" thickTop="1" x14ac:dyDescent="0.35">
      <c r="B42" s="193"/>
      <c r="C42" s="191"/>
      <c r="D42" s="192"/>
      <c r="E42" s="192"/>
      <c r="F42" s="192"/>
      <c r="G42" s="834" t="s">
        <v>82</v>
      </c>
      <c r="H42" s="835"/>
      <c r="I42" s="835"/>
      <c r="J42" s="835"/>
      <c r="K42" s="835"/>
    </row>
    <row r="43" spans="2:11" ht="13.15" x14ac:dyDescent="0.4">
      <c r="B43" s="220" t="s">
        <v>69</v>
      </c>
      <c r="C43" s="221"/>
      <c r="D43" s="221" t="s">
        <v>81</v>
      </c>
      <c r="E43" s="221"/>
      <c r="G43" s="221" t="s">
        <v>41</v>
      </c>
      <c r="H43" s="221" t="s">
        <v>127</v>
      </c>
      <c r="I43" s="221" t="s">
        <v>128</v>
      </c>
      <c r="J43" s="221" t="s">
        <v>129</v>
      </c>
      <c r="K43" s="221" t="s">
        <v>130</v>
      </c>
    </row>
    <row r="44" spans="2:11" x14ac:dyDescent="0.35">
      <c r="B44" s="527" t="s">
        <v>233</v>
      </c>
      <c r="C44" s="222"/>
      <c r="D44" s="204">
        <v>1</v>
      </c>
      <c r="E44" s="204"/>
      <c r="G44" s="205">
        <f>G$40*$D44</f>
        <v>2804849.7122148746</v>
      </c>
      <c r="H44" s="205">
        <f t="shared" ref="H44:K44" si="5">H$40*$D44</f>
        <v>7849494.2442975789</v>
      </c>
      <c r="I44" s="205">
        <f t="shared" si="5"/>
        <v>13531666.835429525</v>
      </c>
      <c r="J44" s="205">
        <f t="shared" si="5"/>
        <v>19889903.53202939</v>
      </c>
      <c r="K44" s="205">
        <f t="shared" si="5"/>
        <v>26968783.002091732</v>
      </c>
    </row>
    <row r="45" spans="2:11" ht="13.15" thickBot="1" x14ac:dyDescent="0.4">
      <c r="B45" s="206"/>
      <c r="C45" s="223"/>
      <c r="D45" s="207"/>
      <c r="E45" s="207"/>
      <c r="F45" s="208"/>
      <c r="G45" s="209"/>
      <c r="H45" s="209"/>
      <c r="I45" s="209"/>
      <c r="J45" s="209"/>
      <c r="K45" s="209"/>
    </row>
    <row r="46" spans="2:11" ht="13.5" thickTop="1" thickBot="1" x14ac:dyDescent="0.4"/>
    <row r="47" spans="2:11" ht="13.5" thickBot="1" x14ac:dyDescent="0.45">
      <c r="B47" s="5" t="s">
        <v>95</v>
      </c>
      <c r="E47" s="203">
        <v>0.6</v>
      </c>
    </row>
    <row r="48" spans="2:11" ht="13.5" thickBot="1" x14ac:dyDescent="0.45">
      <c r="B48" s="5" t="s">
        <v>97</v>
      </c>
      <c r="E48" s="203"/>
    </row>
    <row r="49" spans="2:12" ht="13.5" thickBot="1" x14ac:dyDescent="0.45">
      <c r="B49" s="5" t="s">
        <v>96</v>
      </c>
      <c r="E49" s="203">
        <v>0.4</v>
      </c>
    </row>
    <row r="50" spans="2:12" ht="13.15" thickBot="1" x14ac:dyDescent="0.4"/>
    <row r="51" spans="2:12" ht="13.5" thickTop="1" x14ac:dyDescent="0.4">
      <c r="B51" s="547" t="s">
        <v>88</v>
      </c>
      <c r="C51" s="548"/>
      <c r="D51" s="192"/>
      <c r="E51" s="192"/>
      <c r="F51" s="192"/>
      <c r="G51" s="192"/>
      <c r="H51" s="192"/>
      <c r="I51" s="192"/>
      <c r="J51" s="192"/>
      <c r="K51" s="192"/>
    </row>
    <row r="52" spans="2:12" ht="13.15" x14ac:dyDescent="0.4">
      <c r="B52" s="549"/>
      <c r="C52" s="218"/>
    </row>
    <row r="53" spans="2:12" ht="13.5" thickBot="1" x14ac:dyDescent="0.45">
      <c r="B53" s="550"/>
      <c r="C53"/>
      <c r="D53" s="230"/>
      <c r="E53" s="229"/>
      <c r="G53" s="221" t="s">
        <v>41</v>
      </c>
      <c r="H53" s="221" t="s">
        <v>127</v>
      </c>
      <c r="I53" s="221" t="s">
        <v>128</v>
      </c>
      <c r="J53" s="221" t="s">
        <v>129</v>
      </c>
      <c r="K53" s="221" t="s">
        <v>130</v>
      </c>
      <c r="L53" s="221"/>
    </row>
    <row r="54" spans="2:12" ht="13.5" thickBot="1" x14ac:dyDescent="0.45">
      <c r="B54" s="550" t="s">
        <v>236</v>
      </c>
      <c r="C54"/>
      <c r="G54" s="537">
        <f>Assumptions!$E$11</f>
        <v>3500</v>
      </c>
      <c r="H54" s="537">
        <f>Assumptions!$F$11</f>
        <v>3850</v>
      </c>
      <c r="I54" s="537">
        <f>Assumptions!$G$11</f>
        <v>4235</v>
      </c>
      <c r="J54" s="537">
        <f>Assumptions!$H$11</f>
        <v>4658.5</v>
      </c>
      <c r="K54" s="537">
        <f>Assumptions!$I$11</f>
        <v>5124.3500000000004</v>
      </c>
      <c r="L54" s="368"/>
    </row>
    <row r="55" spans="2:12" ht="13.15" thickBot="1" x14ac:dyDescent="0.4">
      <c r="B55" s="550" t="s">
        <v>79</v>
      </c>
      <c r="C55"/>
      <c r="G55" s="628" t="str">
        <f>Assumptions!$E$12</f>
        <v>n/a</v>
      </c>
      <c r="H55" s="540">
        <f>Assumptions!$F$12</f>
        <v>0.1</v>
      </c>
      <c r="I55" s="540">
        <f>Assumptions!$G$12</f>
        <v>0.1</v>
      </c>
      <c r="J55" s="540">
        <f>Assumptions!$H$12</f>
        <v>0.1</v>
      </c>
      <c r="K55" s="540">
        <f>Assumptions!$I$12</f>
        <v>0.1</v>
      </c>
    </row>
    <row r="56" spans="2:12" x14ac:dyDescent="0.35">
      <c r="B56" s="195"/>
    </row>
    <row r="57" spans="2:12" ht="13.15" x14ac:dyDescent="0.4">
      <c r="B57" s="551" t="s">
        <v>156</v>
      </c>
      <c r="D57" s="187">
        <v>0.05</v>
      </c>
    </row>
    <row r="58" spans="2:12" x14ac:dyDescent="0.35">
      <c r="B58" s="195"/>
    </row>
    <row r="59" spans="2:12" ht="13.15" thickBot="1" x14ac:dyDescent="0.4">
      <c r="B59" s="206"/>
      <c r="C59" s="552"/>
      <c r="D59" s="208"/>
      <c r="E59" s="208"/>
      <c r="F59" s="208"/>
      <c r="G59" s="208"/>
      <c r="H59" s="208"/>
      <c r="I59" s="208"/>
      <c r="J59" s="208"/>
      <c r="K59" s="208"/>
    </row>
    <row r="60" spans="2:12" ht="13.5" thickTop="1" thickBot="1" x14ac:dyDescent="0.4"/>
    <row r="61" spans="2:12" ht="13.5" thickTop="1" thickBot="1" x14ac:dyDescent="0.4">
      <c r="B61" s="561" t="s">
        <v>239</v>
      </c>
      <c r="C61" s="191"/>
      <c r="D61" s="192"/>
      <c r="E61" s="192"/>
      <c r="F61" s="192"/>
      <c r="G61" s="836" t="s">
        <v>240</v>
      </c>
      <c r="H61" s="837"/>
      <c r="I61" s="837"/>
      <c r="J61" s="837"/>
      <c r="K61" s="837"/>
    </row>
    <row r="62" spans="2:12" x14ac:dyDescent="0.35">
      <c r="B62" s="195" t="s">
        <v>42</v>
      </c>
      <c r="C62" s="14">
        <v>1</v>
      </c>
      <c r="D62" s="226" t="s">
        <v>237</v>
      </c>
      <c r="G62" s="108">
        <f t="shared" ref="G62:K62" si="6">G7</f>
        <v>3500</v>
      </c>
      <c r="H62" s="108">
        <f t="shared" si="6"/>
        <v>3325</v>
      </c>
      <c r="I62" s="108">
        <f t="shared" si="6"/>
        <v>3158.75</v>
      </c>
      <c r="J62" s="108">
        <f t="shared" si="6"/>
        <v>3000.8125</v>
      </c>
      <c r="K62" s="108">
        <f t="shared" si="6"/>
        <v>2850.7718749999999</v>
      </c>
    </row>
    <row r="63" spans="2:12" x14ac:dyDescent="0.35">
      <c r="B63" s="195" t="s">
        <v>42</v>
      </c>
      <c r="C63" s="14">
        <v>2</v>
      </c>
      <c r="D63" s="226" t="s">
        <v>237</v>
      </c>
      <c r="G63" s="107"/>
      <c r="H63" s="538">
        <f t="shared" ref="H63:K63" si="7">H9</f>
        <v>3850</v>
      </c>
      <c r="I63" s="538">
        <f t="shared" si="7"/>
        <v>3657.5</v>
      </c>
      <c r="J63" s="538">
        <f t="shared" si="7"/>
        <v>3474.625</v>
      </c>
      <c r="K63" s="538">
        <f t="shared" si="7"/>
        <v>3300.8937499999997</v>
      </c>
    </row>
    <row r="64" spans="2:12" x14ac:dyDescent="0.35">
      <c r="B64" s="195" t="s">
        <v>42</v>
      </c>
      <c r="C64" s="14">
        <v>3</v>
      </c>
      <c r="D64" s="226" t="s">
        <v>237</v>
      </c>
      <c r="G64" s="107"/>
      <c r="H64" s="107"/>
      <c r="I64" s="538">
        <f>I11</f>
        <v>4235</v>
      </c>
      <c r="J64" s="538">
        <f>J11</f>
        <v>4023.25</v>
      </c>
      <c r="K64" s="538">
        <f>K11</f>
        <v>3822.0874999999996</v>
      </c>
    </row>
    <row r="65" spans="2:11" x14ac:dyDescent="0.35">
      <c r="B65" s="195" t="s">
        <v>42</v>
      </c>
      <c r="C65" s="14">
        <v>4</v>
      </c>
      <c r="D65" s="226" t="s">
        <v>237</v>
      </c>
      <c r="G65" s="107"/>
      <c r="H65" s="107"/>
      <c r="I65" s="107"/>
      <c r="J65" s="538">
        <f>J13</f>
        <v>4658.5</v>
      </c>
      <c r="K65" s="538">
        <f>K13</f>
        <v>4425.5749999999998</v>
      </c>
    </row>
    <row r="66" spans="2:11" x14ac:dyDescent="0.35">
      <c r="B66" s="195" t="s">
        <v>42</v>
      </c>
      <c r="C66" s="14">
        <v>5</v>
      </c>
      <c r="D66" s="226" t="s">
        <v>237</v>
      </c>
      <c r="G66" s="107"/>
      <c r="H66" s="107"/>
      <c r="I66" s="107"/>
      <c r="J66" s="538"/>
      <c r="K66" s="538">
        <f>K15</f>
        <v>5124.3500000000004</v>
      </c>
    </row>
    <row r="67" spans="2:11" x14ac:dyDescent="0.35">
      <c r="B67" s="195" t="s">
        <v>42</v>
      </c>
      <c r="C67" s="14">
        <v>6</v>
      </c>
      <c r="D67" s="226" t="s">
        <v>237</v>
      </c>
      <c r="G67" s="107"/>
      <c r="H67" s="107"/>
      <c r="I67" s="107"/>
      <c r="J67" s="538"/>
      <c r="K67" s="538"/>
    </row>
    <row r="68" spans="2:11" x14ac:dyDescent="0.35">
      <c r="B68" s="556"/>
      <c r="C68" s="554">
        <v>7</v>
      </c>
      <c r="D68" s="557" t="s">
        <v>237</v>
      </c>
      <c r="E68" s="558"/>
      <c r="F68" s="558"/>
      <c r="G68" s="559"/>
      <c r="H68" s="559"/>
      <c r="I68" s="559"/>
      <c r="J68" s="560"/>
      <c r="K68" s="560"/>
    </row>
    <row r="69" spans="2:11" s="2" customFormat="1" ht="13.5" thickBot="1" x14ac:dyDescent="0.45">
      <c r="B69" s="198"/>
      <c r="C69" s="111"/>
      <c r="D69" s="112" t="s">
        <v>238</v>
      </c>
      <c r="E69" s="111"/>
      <c r="F69" s="111"/>
      <c r="G69" s="113">
        <f>SUM(G62:G68)</f>
        <v>3500</v>
      </c>
      <c r="H69" s="113">
        <f t="shared" ref="H69:K69" si="8">SUM(H62:H68)</f>
        <v>7175</v>
      </c>
      <c r="I69" s="113">
        <f t="shared" si="8"/>
        <v>11051.25</v>
      </c>
      <c r="J69" s="113">
        <f t="shared" si="8"/>
        <v>15157.1875</v>
      </c>
      <c r="K69" s="113">
        <f t="shared" si="8"/>
        <v>19523.678124999999</v>
      </c>
    </row>
    <row r="70" spans="2:11" ht="13.5" thickTop="1" thickBot="1" x14ac:dyDescent="0.4">
      <c r="G70" s="320"/>
      <c r="H70" s="320"/>
      <c r="I70" s="320"/>
      <c r="J70" s="321"/>
      <c r="K70" s="320"/>
    </row>
    <row r="71" spans="2:11" ht="13.15" thickTop="1" x14ac:dyDescent="0.35">
      <c r="B71" s="219" t="s">
        <v>98</v>
      </c>
      <c r="C71" s="191"/>
      <c r="D71" s="192"/>
      <c r="E71" s="192"/>
      <c r="F71" s="192"/>
      <c r="G71" s="838" t="s">
        <v>234</v>
      </c>
      <c r="H71" s="835"/>
      <c r="I71" s="835"/>
      <c r="J71" s="835"/>
      <c r="K71" s="835"/>
    </row>
    <row r="72" spans="2:11" x14ac:dyDescent="0.35">
      <c r="B72" s="195" t="s">
        <v>42</v>
      </c>
      <c r="C72" s="14">
        <v>1</v>
      </c>
      <c r="D72" s="226" t="s">
        <v>237</v>
      </c>
      <c r="G72" s="108">
        <f>G62*$E$47</f>
        <v>2100</v>
      </c>
      <c r="H72" s="108">
        <f>G62*$E$49+H62*$E$47</f>
        <v>3395</v>
      </c>
      <c r="I72" s="108">
        <f>G62*(1-$E$47-$E$49)+H62*$E$49+I62*$E$47</f>
        <v>3225.25</v>
      </c>
      <c r="J72" s="108">
        <f>H62*(1-$E$47-$E$49)+I62*$E$49+J62*$E$47</f>
        <v>3063.9875000000002</v>
      </c>
      <c r="K72" s="108">
        <f>I62*(1-$E$47-$E$49)+J62*$E$49+K62*$E$47</f>
        <v>2910.788125</v>
      </c>
    </row>
    <row r="73" spans="2:11" x14ac:dyDescent="0.35">
      <c r="B73" s="195" t="s">
        <v>42</v>
      </c>
      <c r="C73" s="14">
        <v>2</v>
      </c>
      <c r="D73" s="226" t="s">
        <v>237</v>
      </c>
      <c r="G73" s="107"/>
      <c r="H73" s="108">
        <f>H63*$E$47</f>
        <v>2310</v>
      </c>
      <c r="I73" s="108">
        <f>H63*$E$49+I63*$E$47</f>
        <v>3734.5</v>
      </c>
      <c r="J73" s="108">
        <f>H63*(1-$E$47-$E$49)+I63*$E$49+J63*$E$47</f>
        <v>3547.7750000000001</v>
      </c>
      <c r="K73" s="108">
        <f>I63*(1-$E$47-$E$49)+J63*$E$49+K63*$E$47</f>
        <v>3370.3862499999996</v>
      </c>
    </row>
    <row r="74" spans="2:11" x14ac:dyDescent="0.35">
      <c r="B74" s="195" t="s">
        <v>42</v>
      </c>
      <c r="C74" s="14">
        <v>3</v>
      </c>
      <c r="D74" s="226" t="s">
        <v>237</v>
      </c>
      <c r="G74" s="107"/>
      <c r="H74" s="107"/>
      <c r="I74" s="108">
        <f>I64*$E$47</f>
        <v>2541</v>
      </c>
      <c r="J74" s="108">
        <f>I64*$E$49+J64*$E$47</f>
        <v>4107.95</v>
      </c>
      <c r="K74" s="108">
        <f>I64*(1-$E$47-$E$49)+J64*$E$49+K64*$E$47</f>
        <v>3902.5524999999998</v>
      </c>
    </row>
    <row r="75" spans="2:11" x14ac:dyDescent="0.35">
      <c r="B75" s="195" t="s">
        <v>42</v>
      </c>
      <c r="C75" s="14">
        <v>4</v>
      </c>
      <c r="D75" s="226" t="s">
        <v>237</v>
      </c>
      <c r="G75" s="107"/>
      <c r="H75" s="107"/>
      <c r="I75" s="107"/>
      <c r="J75" s="108">
        <f>J65*$E$47</f>
        <v>2795.1</v>
      </c>
      <c r="K75" s="108">
        <f>J65*$E$49+K65*$E$47</f>
        <v>4518.7449999999999</v>
      </c>
    </row>
    <row r="76" spans="2:11" x14ac:dyDescent="0.35">
      <c r="B76" s="195" t="s">
        <v>42</v>
      </c>
      <c r="C76" s="14">
        <v>5</v>
      </c>
      <c r="D76" s="226" t="s">
        <v>237</v>
      </c>
      <c r="G76" s="107"/>
      <c r="H76" s="107"/>
      <c r="I76" s="107"/>
      <c r="J76" s="108"/>
      <c r="K76" s="108">
        <f>K66*$E$47</f>
        <v>3074.61</v>
      </c>
    </row>
    <row r="77" spans="2:11" x14ac:dyDescent="0.35">
      <c r="B77" s="195" t="s">
        <v>42</v>
      </c>
      <c r="C77" s="14">
        <v>6</v>
      </c>
      <c r="D77" s="226" t="s">
        <v>237</v>
      </c>
      <c r="G77" s="107"/>
      <c r="H77" s="107"/>
      <c r="I77" s="107"/>
      <c r="J77" s="108"/>
      <c r="K77" s="108"/>
    </row>
    <row r="78" spans="2:11" x14ac:dyDescent="0.35">
      <c r="B78" s="195"/>
      <c r="C78" s="14">
        <v>7</v>
      </c>
      <c r="D78" s="226" t="s">
        <v>237</v>
      </c>
      <c r="G78" s="107"/>
      <c r="H78" s="107"/>
      <c r="I78" s="107"/>
      <c r="J78" s="108"/>
      <c r="K78" s="108"/>
    </row>
    <row r="79" spans="2:11" ht="13.5" thickBot="1" x14ac:dyDescent="0.45">
      <c r="B79" s="198"/>
      <c r="C79" s="111"/>
      <c r="D79" s="112" t="s">
        <v>238</v>
      </c>
      <c r="E79" s="111"/>
      <c r="F79" s="111"/>
      <c r="G79" s="113">
        <f>SUM(G72:G78)</f>
        <v>2100</v>
      </c>
      <c r="H79" s="113">
        <f t="shared" ref="H79:K79" si="9">SUM(H72:H78)</f>
        <v>5705</v>
      </c>
      <c r="I79" s="113">
        <f t="shared" si="9"/>
        <v>9500.75</v>
      </c>
      <c r="J79" s="113">
        <f t="shared" si="9"/>
        <v>13514.812500000002</v>
      </c>
      <c r="K79" s="113">
        <f t="shared" si="9"/>
        <v>17777.081875</v>
      </c>
    </row>
    <row r="80" spans="2:11" ht="13.15" thickTop="1" x14ac:dyDescent="0.35"/>
  </sheetData>
  <mergeCells count="5">
    <mergeCell ref="G22:K22"/>
    <mergeCell ref="G32:K32"/>
    <mergeCell ref="G42:K42"/>
    <mergeCell ref="G61:K61"/>
    <mergeCell ref="G71:K71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"/>
  <dimension ref="A1:AP291"/>
  <sheetViews>
    <sheetView topLeftCell="L1" workbookViewId="0">
      <selection activeCell="L5" sqref="L5:L14"/>
    </sheetView>
  </sheetViews>
  <sheetFormatPr defaultRowHeight="12.75" x14ac:dyDescent="0.35"/>
  <cols>
    <col min="1" max="1" width="7.86328125" customWidth="1"/>
    <col min="2" max="2" width="17.06640625" customWidth="1"/>
    <col min="3" max="3" width="11.6640625" customWidth="1"/>
    <col min="4" max="4" width="2.19921875" customWidth="1"/>
    <col min="5" max="5" width="14.6640625" bestFit="1" customWidth="1"/>
    <col min="6" max="6" width="25.19921875" customWidth="1"/>
    <col min="7" max="7" width="0.86328125" customWidth="1"/>
    <col min="8" max="8" width="14" bestFit="1" customWidth="1"/>
    <col min="9" max="9" width="14.86328125" customWidth="1"/>
    <col min="10" max="10" width="12.6640625" customWidth="1"/>
    <col min="11" max="11" width="0.53125" customWidth="1"/>
    <col min="12" max="12" width="15.06640625" customWidth="1"/>
    <col min="13" max="13" width="14.6640625" customWidth="1"/>
    <col min="14" max="14" width="0.6640625" customWidth="1"/>
    <col min="15" max="15" width="15.86328125" customWidth="1"/>
    <col min="16" max="16" width="0.6640625" customWidth="1"/>
    <col min="17" max="17" width="36.59765625" customWidth="1"/>
    <col min="18" max="18" width="12.46484375" customWidth="1"/>
    <col min="19" max="19" width="2.06640625" customWidth="1"/>
    <col min="20" max="20" width="10.06640625" bestFit="1" customWidth="1"/>
    <col min="21" max="22" width="12.53125" customWidth="1"/>
    <col min="23" max="23" width="16.53125" customWidth="1"/>
    <col min="24" max="24" width="12.3984375" customWidth="1"/>
    <col min="25" max="25" width="13.9296875" customWidth="1"/>
    <col min="26" max="26" width="13.46484375" customWidth="1"/>
    <col min="27" max="28" width="12.3984375" customWidth="1"/>
    <col min="29" max="29" width="12.6640625" customWidth="1"/>
    <col min="31" max="31" width="15.53125" customWidth="1"/>
    <col min="32" max="32" width="2.06640625" customWidth="1"/>
    <col min="33" max="33" width="14.46484375" customWidth="1"/>
    <col min="34" max="35" width="8.33203125" customWidth="1"/>
    <col min="36" max="36" width="11.1328125" customWidth="1"/>
    <col min="37" max="37" width="13.86328125" customWidth="1"/>
    <col min="38" max="38" width="11.6640625" customWidth="1"/>
    <col min="39" max="39" width="11.86328125" customWidth="1"/>
    <col min="40" max="40" width="12.9296875" customWidth="1"/>
    <col min="41" max="41" width="12.86328125" customWidth="1"/>
    <col min="42" max="42" width="11.3984375" style="387" customWidth="1"/>
  </cols>
  <sheetData>
    <row r="1" spans="1:42" s="384" customFormat="1" ht="18" x14ac:dyDescent="0.55000000000000004">
      <c r="A1" s="384" t="s">
        <v>157</v>
      </c>
      <c r="AP1" s="385"/>
    </row>
    <row r="2" spans="1:42" ht="14.65" thickBot="1" x14ac:dyDescent="0.5">
      <c r="A2" s="386"/>
    </row>
    <row r="3" spans="1:42" s="388" customFormat="1" ht="14.75" customHeight="1" thickBot="1" x14ac:dyDescent="0.5">
      <c r="C3" s="873" t="s">
        <v>158</v>
      </c>
      <c r="E3" s="874" t="s">
        <v>159</v>
      </c>
      <c r="F3" s="875"/>
      <c r="H3" s="878" t="s">
        <v>160</v>
      </c>
      <c r="I3" s="879"/>
      <c r="J3" s="880"/>
      <c r="L3" s="874" t="s">
        <v>161</v>
      </c>
      <c r="M3" s="875"/>
      <c r="O3" s="883" t="s">
        <v>162</v>
      </c>
      <c r="Q3" s="839" t="s">
        <v>163</v>
      </c>
      <c r="R3" s="840"/>
      <c r="AP3" s="389"/>
    </row>
    <row r="4" spans="1:42" s="388" customFormat="1" ht="14.75" customHeight="1" x14ac:dyDescent="0.45">
      <c r="C4" s="873"/>
      <c r="E4" s="876"/>
      <c r="F4" s="877"/>
      <c r="H4" s="881"/>
      <c r="I4" s="873"/>
      <c r="J4" s="882"/>
      <c r="L4" s="876"/>
      <c r="M4" s="877"/>
      <c r="O4" s="884"/>
      <c r="Q4" s="390"/>
      <c r="R4" s="391"/>
      <c r="AP4" s="389"/>
    </row>
    <row r="5" spans="1:42" s="393" customFormat="1" ht="14.25" x14ac:dyDescent="0.45">
      <c r="A5" s="392" t="s">
        <v>164</v>
      </c>
      <c r="C5" s="600">
        <f>Assumptions!$E$16</f>
        <v>750000</v>
      </c>
      <c r="D5" s="394"/>
      <c r="E5" s="396">
        <v>0.42442975911319464</v>
      </c>
      <c r="F5" s="395" t="s">
        <v>244</v>
      </c>
      <c r="H5" s="396">
        <f>100%-E5</f>
        <v>0.57557024088680531</v>
      </c>
      <c r="J5" s="395"/>
      <c r="L5" s="397" t="s">
        <v>158</v>
      </c>
      <c r="M5" s="398"/>
      <c r="O5" s="884"/>
      <c r="Q5" s="399" t="s">
        <v>165</v>
      </c>
      <c r="R5" s="400">
        <f>O7</f>
        <v>1350707.6291301874</v>
      </c>
      <c r="AP5" s="401"/>
    </row>
    <row r="6" spans="1:42" s="402" customFormat="1" ht="17.2" customHeight="1" thickBot="1" x14ac:dyDescent="0.5">
      <c r="A6" s="392" t="s">
        <v>166</v>
      </c>
      <c r="C6" s="403">
        <v>0.8</v>
      </c>
      <c r="D6" s="403"/>
      <c r="E6" s="404">
        <f>C7*E5</f>
        <v>254657.85546791679</v>
      </c>
      <c r="F6" s="405"/>
      <c r="H6" s="404">
        <f>C7*H5</f>
        <v>345342.14453208318</v>
      </c>
      <c r="I6" s="406"/>
      <c r="J6" s="405"/>
      <c r="L6" s="407" t="s">
        <v>167</v>
      </c>
      <c r="M6" s="398">
        <f>E9</f>
        <v>2.2499999999999999E-2</v>
      </c>
      <c r="O6" s="408"/>
      <c r="Q6" s="399" t="s">
        <v>158</v>
      </c>
      <c r="R6" s="409">
        <f>-L18</f>
        <v>-600000.00000000035</v>
      </c>
      <c r="AP6" s="410"/>
    </row>
    <row r="7" spans="1:42" s="402" customFormat="1" ht="15" customHeight="1" thickBot="1" x14ac:dyDescent="0.5">
      <c r="A7" s="392" t="s">
        <v>168</v>
      </c>
      <c r="C7" s="402">
        <f>C5*C6</f>
        <v>600000</v>
      </c>
      <c r="E7" s="404"/>
      <c r="F7" s="405"/>
      <c r="H7" s="404"/>
      <c r="I7" s="406"/>
      <c r="J7" s="405"/>
      <c r="L7" s="407" t="s">
        <v>169</v>
      </c>
      <c r="M7" s="545">
        <v>0.01</v>
      </c>
      <c r="O7" s="411">
        <f>FV($C$8,15,,-C5)</f>
        <v>1350707.6291301874</v>
      </c>
      <c r="Q7" s="399" t="s">
        <v>170</v>
      </c>
      <c r="R7" s="400">
        <f>F18</f>
        <v>254657.85546791679</v>
      </c>
      <c r="AP7" s="410"/>
    </row>
    <row r="8" spans="1:42" s="402" customFormat="1" ht="14.65" thickBot="1" x14ac:dyDescent="0.5">
      <c r="A8" s="392" t="s">
        <v>171</v>
      </c>
      <c r="C8" s="542">
        <v>0.04</v>
      </c>
      <c r="E8" s="404"/>
      <c r="F8" s="405"/>
      <c r="H8" s="404"/>
      <c r="I8" s="406"/>
      <c r="J8" s="405"/>
      <c r="L8" s="407" t="s">
        <v>172</v>
      </c>
      <c r="M8" s="545">
        <v>1.2500000000000001E-2</v>
      </c>
      <c r="O8" s="408"/>
      <c r="Q8" s="399" t="s">
        <v>173</v>
      </c>
      <c r="R8" s="409">
        <v>0</v>
      </c>
      <c r="AP8" s="410"/>
    </row>
    <row r="9" spans="1:42" ht="14.65" thickBot="1" x14ac:dyDescent="0.5">
      <c r="A9" s="392" t="s">
        <v>174</v>
      </c>
      <c r="E9" s="543">
        <v>2.2499999999999999E-2</v>
      </c>
      <c r="F9" s="114"/>
      <c r="H9" s="412">
        <f>E9</f>
        <v>2.2499999999999999E-2</v>
      </c>
      <c r="J9" s="114"/>
      <c r="L9" s="397"/>
      <c r="M9" s="413">
        <f>SUM(M6:M8)</f>
        <v>4.4999999999999998E-2</v>
      </c>
      <c r="O9" s="107"/>
      <c r="Q9" s="399" t="s">
        <v>175</v>
      </c>
      <c r="R9" s="414">
        <f>SUM(R4:R8)</f>
        <v>1005365.4845981039</v>
      </c>
    </row>
    <row r="10" spans="1:42" ht="14.25" x14ac:dyDescent="0.45">
      <c r="A10" s="392" t="s">
        <v>176</v>
      </c>
      <c r="E10" s="543">
        <v>7.7499999999999999E-2</v>
      </c>
      <c r="F10" s="114"/>
      <c r="H10" s="543">
        <f>3.65%</f>
        <v>3.6499999999999998E-2</v>
      </c>
      <c r="J10" s="114"/>
      <c r="L10" s="397" t="s">
        <v>24</v>
      </c>
      <c r="M10" s="545">
        <v>5.0000000000000001E-3</v>
      </c>
      <c r="O10" s="415"/>
      <c r="Q10" s="399"/>
      <c r="R10" s="416">
        <f>(R9-C5)/C5</f>
        <v>0.34048731279747191</v>
      </c>
      <c r="AK10" s="748">
        <f>E9</f>
        <v>2.2499999999999999E-2</v>
      </c>
    </row>
    <row r="11" spans="1:42" ht="14.65" thickBot="1" x14ac:dyDescent="0.5">
      <c r="A11" s="386" t="s">
        <v>177</v>
      </c>
      <c r="E11" s="544">
        <v>-7.4999999999999997E-3</v>
      </c>
      <c r="F11" s="114"/>
      <c r="H11" s="544">
        <v>-7.4999999999999997E-3</v>
      </c>
      <c r="J11" s="114"/>
      <c r="L11" s="417" t="s">
        <v>8</v>
      </c>
      <c r="M11" s="545">
        <v>5.0000000000000001E-3</v>
      </c>
      <c r="O11" s="107"/>
      <c r="Q11" s="861" t="s">
        <v>178</v>
      </c>
      <c r="R11" s="400"/>
      <c r="AK11" s="749">
        <v>6.7652768017973861E-2</v>
      </c>
    </row>
    <row r="12" spans="1:42" ht="14.65" thickBot="1" x14ac:dyDescent="0.5">
      <c r="A12" s="386" t="s">
        <v>179</v>
      </c>
      <c r="E12" s="418">
        <f>SUM(E9:E11)</f>
        <v>9.2499999999999999E-2</v>
      </c>
      <c r="F12" s="419" t="s">
        <v>180</v>
      </c>
      <c r="H12" s="418">
        <f>SUM(H9:H11)</f>
        <v>5.1499999999999997E-2</v>
      </c>
      <c r="I12" s="862" t="s">
        <v>180</v>
      </c>
      <c r="J12" s="863"/>
      <c r="L12" s="367"/>
      <c r="M12" s="420"/>
      <c r="O12" s="421"/>
      <c r="Q12" s="861"/>
      <c r="R12" s="400">
        <f>J19</f>
        <v>345342.14453208353</v>
      </c>
      <c r="AK12" s="750">
        <v>-7.4999999999999997E-3</v>
      </c>
    </row>
    <row r="13" spans="1:42" ht="14.65" thickBot="1" x14ac:dyDescent="0.5">
      <c r="A13" s="386"/>
      <c r="E13" s="422"/>
      <c r="F13" s="423" t="s">
        <v>245</v>
      </c>
      <c r="H13" s="367"/>
      <c r="I13" s="864" t="s">
        <v>181</v>
      </c>
      <c r="J13" s="865"/>
      <c r="L13" s="404"/>
      <c r="M13" s="114"/>
      <c r="O13" s="424"/>
      <c r="Q13" s="425" t="s">
        <v>182</v>
      </c>
      <c r="R13" s="426">
        <f>O19</f>
        <v>-2.85126589005813E-10</v>
      </c>
    </row>
    <row r="14" spans="1:42" ht="14.65" thickBot="1" x14ac:dyDescent="0.5">
      <c r="A14" s="386"/>
      <c r="E14" s="422"/>
      <c r="F14" s="423" t="s">
        <v>183</v>
      </c>
      <c r="H14" s="367"/>
      <c r="I14" s="866" t="s">
        <v>183</v>
      </c>
      <c r="J14" s="867"/>
      <c r="L14" s="367" t="s">
        <v>184</v>
      </c>
      <c r="M14" s="546">
        <v>0</v>
      </c>
      <c r="O14" s="424"/>
      <c r="Q14" s="386"/>
      <c r="R14" s="427"/>
    </row>
    <row r="15" spans="1:42" s="429" customFormat="1" ht="14.65" thickBot="1" x14ac:dyDescent="0.5">
      <c r="A15" s="386"/>
      <c r="B15"/>
      <c r="C15"/>
      <c r="D15"/>
      <c r="E15" s="868" t="s">
        <v>185</v>
      </c>
      <c r="F15" s="869"/>
      <c r="G15" s="869"/>
      <c r="H15" s="869"/>
      <c r="I15" s="869"/>
      <c r="J15" s="870"/>
      <c r="K15"/>
      <c r="L15" s="871" t="s">
        <v>186</v>
      </c>
      <c r="M15" s="872"/>
      <c r="N15" s="386"/>
      <c r="O15" s="428" t="s">
        <v>187</v>
      </c>
      <c r="U15" s="430"/>
      <c r="V15" s="430"/>
      <c r="Y15" s="430"/>
      <c r="Z15" s="430"/>
      <c r="AD15" s="430"/>
      <c r="AJ15" s="430"/>
      <c r="AK15" s="430"/>
      <c r="AL15" s="430"/>
      <c r="AM15" s="430"/>
      <c r="AN15" s="430"/>
      <c r="AO15" s="430"/>
      <c r="AP15" s="431"/>
    </row>
    <row r="16" spans="1:42" s="386" customFormat="1" ht="100.15" thickBot="1" x14ac:dyDescent="0.5">
      <c r="A16" s="432" t="s">
        <v>188</v>
      </c>
      <c r="B16" s="432" t="s">
        <v>189</v>
      </c>
      <c r="C16" s="429"/>
      <c r="D16" s="429"/>
      <c r="E16" s="433" t="s">
        <v>190</v>
      </c>
      <c r="F16" s="434" t="s">
        <v>191</v>
      </c>
      <c r="G16" s="429"/>
      <c r="H16" s="435" t="s">
        <v>192</v>
      </c>
      <c r="I16" s="436" t="s">
        <v>193</v>
      </c>
      <c r="J16" s="437" t="s">
        <v>194</v>
      </c>
      <c r="K16" s="429"/>
      <c r="L16" s="438" t="s">
        <v>195</v>
      </c>
      <c r="M16" s="439" t="s">
        <v>196</v>
      </c>
      <c r="N16" s="429"/>
      <c r="O16" s="440" t="s">
        <v>197</v>
      </c>
      <c r="T16" s="843" t="s">
        <v>198</v>
      </c>
      <c r="U16" s="844"/>
      <c r="V16" s="844"/>
      <c r="W16" s="844"/>
      <c r="X16" s="844"/>
      <c r="Y16" s="844"/>
      <c r="Z16" s="844"/>
      <c r="AA16" s="844"/>
      <c r="AB16" s="844"/>
      <c r="AC16" s="844"/>
      <c r="AD16" s="844"/>
      <c r="AE16" s="844"/>
      <c r="AF16" s="844"/>
      <c r="AG16" s="845"/>
      <c r="AJ16" s="441" t="s">
        <v>199</v>
      </c>
      <c r="AK16" s="441" t="s">
        <v>200</v>
      </c>
      <c r="AL16" s="441" t="s">
        <v>201</v>
      </c>
      <c r="AM16" s="441" t="s">
        <v>202</v>
      </c>
      <c r="AN16" s="441" t="s">
        <v>203</v>
      </c>
      <c r="AO16" s="441" t="s">
        <v>204</v>
      </c>
      <c r="AP16" s="442" t="s">
        <v>133</v>
      </c>
    </row>
    <row r="17" spans="1:42" s="386" customFormat="1" ht="15" customHeight="1" thickBot="1" x14ac:dyDescent="0.5">
      <c r="B17" s="386" t="s">
        <v>205</v>
      </c>
      <c r="E17" s="443"/>
      <c r="F17" s="444">
        <f>E6</f>
        <v>254657.85546791679</v>
      </c>
      <c r="G17" s="445"/>
      <c r="H17" s="443"/>
      <c r="I17" s="446">
        <v>0</v>
      </c>
      <c r="J17" s="447"/>
      <c r="K17" s="445"/>
      <c r="L17" s="448">
        <f>F17+I17</f>
        <v>254657.85546791679</v>
      </c>
      <c r="M17" s="449"/>
      <c r="O17" s="450"/>
      <c r="T17" s="846" t="s">
        <v>42</v>
      </c>
      <c r="U17" s="849" t="s">
        <v>206</v>
      </c>
      <c r="V17" s="849" t="s">
        <v>207</v>
      </c>
      <c r="W17" s="852" t="s">
        <v>208</v>
      </c>
      <c r="X17" s="853"/>
      <c r="Y17" s="854"/>
      <c r="Z17" s="849" t="s">
        <v>209</v>
      </c>
      <c r="AA17" s="855" t="s">
        <v>210</v>
      </c>
      <c r="AB17" s="856"/>
      <c r="AC17" s="857"/>
      <c r="AD17" s="451"/>
      <c r="AE17" s="452" t="s">
        <v>211</v>
      </c>
      <c r="AF17" s="453"/>
      <c r="AG17" s="858" t="s">
        <v>212</v>
      </c>
      <c r="AJ17" s="454"/>
      <c r="AP17" s="455"/>
    </row>
    <row r="18" spans="1:42" s="386" customFormat="1" ht="14.75" customHeight="1" x14ac:dyDescent="0.45">
      <c r="B18" s="386" t="s">
        <v>213</v>
      </c>
      <c r="E18" s="456"/>
      <c r="F18" s="457">
        <f>F200</f>
        <v>254657.85546791679</v>
      </c>
      <c r="G18" s="445"/>
      <c r="H18" s="458"/>
      <c r="I18" s="459">
        <f>I200</f>
        <v>345342.14453208353</v>
      </c>
      <c r="J18" s="460"/>
      <c r="K18" s="445"/>
      <c r="L18" s="461">
        <f>L200</f>
        <v>600000.00000000035</v>
      </c>
      <c r="M18" s="460"/>
      <c r="O18" s="462"/>
      <c r="T18" s="847"/>
      <c r="U18" s="850"/>
      <c r="V18" s="850"/>
      <c r="W18" s="463" t="s">
        <v>214</v>
      </c>
      <c r="X18" s="464" t="s">
        <v>215</v>
      </c>
      <c r="Y18" s="850" t="s">
        <v>216</v>
      </c>
      <c r="Z18" s="850"/>
      <c r="AA18" s="465" t="s">
        <v>217</v>
      </c>
      <c r="AB18" s="466" t="s">
        <v>218</v>
      </c>
      <c r="AC18" s="467" t="s">
        <v>219</v>
      </c>
      <c r="AD18" s="859" t="s">
        <v>220</v>
      </c>
      <c r="AE18" s="850" t="s">
        <v>221</v>
      </c>
      <c r="AF18" s="453"/>
      <c r="AG18" s="859"/>
      <c r="AP18" s="455"/>
    </row>
    <row r="19" spans="1:42" ht="14.65" thickBot="1" x14ac:dyDescent="0.5">
      <c r="A19" s="386"/>
      <c r="B19" s="386" t="s">
        <v>222</v>
      </c>
      <c r="C19" s="386"/>
      <c r="D19" s="386"/>
      <c r="E19" s="456">
        <f>SUM(E21:E200)</f>
        <v>353337.77446173388</v>
      </c>
      <c r="F19" s="457"/>
      <c r="G19" s="445"/>
      <c r="H19" s="458">
        <f>SUM(H21:H200)</f>
        <v>0</v>
      </c>
      <c r="I19" s="459"/>
      <c r="J19" s="460">
        <f>SUM(J21:J200)</f>
        <v>345342.14453208353</v>
      </c>
      <c r="K19" s="445"/>
      <c r="L19" s="461"/>
      <c r="M19" s="460">
        <f>SUM(M21:M200)</f>
        <v>353337.77446173481</v>
      </c>
      <c r="N19" s="386"/>
      <c r="O19" s="462">
        <f>SUM(O21:O200)</f>
        <v>-2.85126589005813E-10</v>
      </c>
      <c r="Q19" s="468">
        <f>E19+H19-M19-O19</f>
        <v>-6.4619598560966551E-10</v>
      </c>
      <c r="T19" s="848"/>
      <c r="U19" s="851"/>
      <c r="V19" s="469">
        <f>E11</f>
        <v>-7.4999999999999997E-3</v>
      </c>
      <c r="W19" s="470">
        <f>E12</f>
        <v>9.2499999999999999E-2</v>
      </c>
      <c r="X19" s="471">
        <f>H12</f>
        <v>5.1499999999999997E-2</v>
      </c>
      <c r="Y19" s="851"/>
      <c r="Z19" s="851"/>
      <c r="AA19" s="472">
        <f>M9</f>
        <v>4.4999999999999998E-2</v>
      </c>
      <c r="AB19" s="473">
        <f>M10</f>
        <v>5.0000000000000001E-3</v>
      </c>
      <c r="AC19" s="474">
        <f>M11</f>
        <v>5.0000000000000001E-3</v>
      </c>
      <c r="AD19" s="860"/>
      <c r="AE19" s="851"/>
      <c r="AF19" s="453"/>
      <c r="AG19" s="860"/>
      <c r="AH19" s="386"/>
      <c r="AJ19" s="323">
        <f t="shared" ref="AJ19:AO19" si="0">SUM(AJ21:AJ200)</f>
        <v>381986.78320187615</v>
      </c>
      <c r="AK19" s="323">
        <f t="shared" si="0"/>
        <v>0</v>
      </c>
      <c r="AL19" s="323">
        <f t="shared" si="0"/>
        <v>28649.008740140696</v>
      </c>
      <c r="AM19" s="323">
        <f t="shared" si="0"/>
        <v>0</v>
      </c>
      <c r="AN19" s="323">
        <f t="shared" si="0"/>
        <v>28649.008740140696</v>
      </c>
      <c r="AO19" s="323">
        <f t="shared" si="0"/>
        <v>353337.77446173388</v>
      </c>
      <c r="AP19" s="455"/>
    </row>
    <row r="20" spans="1:42" ht="14.25" x14ac:dyDescent="0.45">
      <c r="E20" s="456"/>
      <c r="F20" s="114"/>
      <c r="G20" s="144"/>
      <c r="H20" s="461"/>
      <c r="J20" s="460"/>
      <c r="K20" s="144"/>
      <c r="L20" s="475"/>
      <c r="M20" s="460"/>
      <c r="O20" s="462"/>
      <c r="Q20" t="s">
        <v>133</v>
      </c>
      <c r="R20" s="144"/>
      <c r="T20" s="476">
        <v>1</v>
      </c>
      <c r="U20" s="477">
        <f>F32+$I$17</f>
        <v>254657.85546791679</v>
      </c>
      <c r="V20" s="477">
        <f>SUM(AL21:AM32)</f>
        <v>1909.9339160093757</v>
      </c>
      <c r="W20" s="477">
        <f>SUM(E21:E32)</f>
        <v>23555.851630782301</v>
      </c>
      <c r="X20" s="478">
        <f>SUM(H21:H32)</f>
        <v>0</v>
      </c>
      <c r="Y20" s="479">
        <f>SUM(W20:X20)</f>
        <v>23555.851630782301</v>
      </c>
      <c r="Z20" s="479">
        <f>L32</f>
        <v>277680.66510338901</v>
      </c>
      <c r="AA20" s="477">
        <f>SUM(M21:M32)*($M$9/SUM($M$9:$M$11))</f>
        <v>12020.784480920891</v>
      </c>
      <c r="AB20" s="478">
        <f>SUM(M21:M32)*($M$10/SUM($M$9:$M$11))</f>
        <v>1335.6427201023214</v>
      </c>
      <c r="AC20" s="480">
        <f>SUM(M21:M32)*($M$11/SUM($M$9:$M$11))</f>
        <v>1335.6427201023214</v>
      </c>
      <c r="AD20" s="480">
        <f>SUM(AA20:AC20)</f>
        <v>14692.069921125534</v>
      </c>
      <c r="AE20" s="481">
        <f>SUM(O21:O32)</f>
        <v>8863.7817096567724</v>
      </c>
      <c r="AF20" s="482"/>
      <c r="AG20" s="483">
        <f>SUM(J21:J32)</f>
        <v>23022.809635472218</v>
      </c>
    </row>
    <row r="21" spans="1:42" x14ac:dyDescent="0.35">
      <c r="A21">
        <v>1</v>
      </c>
      <c r="B21">
        <v>1</v>
      </c>
      <c r="E21" s="475">
        <f t="shared" ref="E21:E84" si="1">(F21*($E$12/12))</f>
        <v>1962.9876358985252</v>
      </c>
      <c r="F21" s="484">
        <f>$E$6</f>
        <v>254657.85546791679</v>
      </c>
      <c r="G21" s="144"/>
      <c r="H21" s="485">
        <v>0</v>
      </c>
      <c r="I21" s="144">
        <f>J21</f>
        <v>1918.5674696226843</v>
      </c>
      <c r="J21" s="484">
        <f>$H$6/180</f>
        <v>1918.5674696226843</v>
      </c>
      <c r="K21" s="144"/>
      <c r="L21" s="475">
        <f t="shared" ref="L21:L84" si="2">$F$17+I21</f>
        <v>256576.42293753946</v>
      </c>
      <c r="M21" s="486">
        <f>(L21*(($M$9+$M$10+$M$11)/12))+($M$14)/12</f>
        <v>1175.9752717970557</v>
      </c>
      <c r="O21" s="487">
        <f t="shared" ref="O21:O84" si="3">E21+H21-M21</f>
        <v>787.01236410146953</v>
      </c>
      <c r="R21" s="144"/>
      <c r="T21" s="476">
        <v>2</v>
      </c>
      <c r="U21" s="477">
        <f>F44++$I$17</f>
        <v>254657.85546791679</v>
      </c>
      <c r="V21" s="477">
        <f>SUM(AL33:AM44)</f>
        <v>1909.9339160093757</v>
      </c>
      <c r="W21" s="477">
        <f>SUM(E33:E44)</f>
        <v>23555.851630782301</v>
      </c>
      <c r="X21" s="478">
        <f>SUM(H33:H44)</f>
        <v>0</v>
      </c>
      <c r="Y21" s="483">
        <f t="shared" ref="Y21:Y34" si="4">SUM(W21:X21)</f>
        <v>23555.851630782301</v>
      </c>
      <c r="Z21" s="483">
        <f>L44</f>
        <v>300703.4747388612</v>
      </c>
      <c r="AA21" s="477">
        <f>SUM(M33:M44)*($M$9/SUM($M$9:$M$11))</f>
        <v>13056.810914517138</v>
      </c>
      <c r="AB21" s="478">
        <f>SUM(M33:M44)*($M$10/SUM($M$9:$M$11))</f>
        <v>1450.7567682796823</v>
      </c>
      <c r="AC21" s="480">
        <f>SUM(M33:M44)*($M$11/SUM($M$9:$M$11))</f>
        <v>1450.7567682796823</v>
      </c>
      <c r="AD21" s="480">
        <f t="shared" ref="AD21:AD34" si="5">SUM(AA21:AC21)</f>
        <v>15958.324451076502</v>
      </c>
      <c r="AE21" s="481">
        <f>SUM(O33:O44)</f>
        <v>7597.5271797058012</v>
      </c>
      <c r="AF21" s="482"/>
      <c r="AG21" s="483">
        <f>SUM(J33:J44)</f>
        <v>23022.809635472218</v>
      </c>
      <c r="AJ21" s="323">
        <f t="shared" ref="AJ21:AJ84" si="6">F21*(($E$9+$E$10)/12)</f>
        <v>2122.1487955659732</v>
      </c>
      <c r="AK21" s="323">
        <f>$I$17*(($H$9+$H$10)/12)</f>
        <v>0</v>
      </c>
      <c r="AL21" s="323">
        <f t="shared" ref="AL21:AL84" si="7">F21*(-$E$11/12)</f>
        <v>159.161159667448</v>
      </c>
      <c r="AM21" s="323">
        <f>$I$17*(-$H$11/12)</f>
        <v>0</v>
      </c>
      <c r="AN21" s="323">
        <f>AL21+AM21</f>
        <v>159.161159667448</v>
      </c>
      <c r="AO21" s="323">
        <f>AJ21+AK21-AN21</f>
        <v>1962.9876358985252</v>
      </c>
    </row>
    <row r="22" spans="1:42" x14ac:dyDescent="0.35">
      <c r="B22">
        <f>B21+1</f>
        <v>2</v>
      </c>
      <c r="E22" s="475">
        <f t="shared" si="1"/>
        <v>1962.9876358985252</v>
      </c>
      <c r="F22" s="484">
        <f t="shared" ref="F22:F85" si="8">$E$6</f>
        <v>254657.85546791679</v>
      </c>
      <c r="G22" s="144"/>
      <c r="H22" s="485">
        <v>0</v>
      </c>
      <c r="I22" s="144">
        <f>I21+J22</f>
        <v>3837.1349392453685</v>
      </c>
      <c r="J22" s="484">
        <f t="shared" ref="J22:J85" si="9">$H$6/180</f>
        <v>1918.5674696226843</v>
      </c>
      <c r="K22" s="144"/>
      <c r="L22" s="475">
        <f t="shared" si="2"/>
        <v>258494.99040716214</v>
      </c>
      <c r="M22" s="486">
        <f t="shared" ref="M22:M85" si="10">(L22*(($M$9+$M$10+$M$11)/12))+($M$14)/12</f>
        <v>1184.7687060328262</v>
      </c>
      <c r="O22" s="487">
        <f t="shared" si="3"/>
        <v>778.21892986569901</v>
      </c>
      <c r="R22" s="144"/>
      <c r="T22" s="476">
        <v>3</v>
      </c>
      <c r="U22" s="477">
        <f>F56++$I$17</f>
        <v>254657.85546791679</v>
      </c>
      <c r="V22" s="477">
        <f>SUM(AL45:AM56)</f>
        <v>1909.9339160093757</v>
      </c>
      <c r="W22" s="477">
        <f>SUM(E45:E56)</f>
        <v>23555.851630782301</v>
      </c>
      <c r="X22" s="478">
        <f>SUM(H45:H56)</f>
        <v>0</v>
      </c>
      <c r="Y22" s="483">
        <f t="shared" si="4"/>
        <v>23555.851630782301</v>
      </c>
      <c r="Z22" s="483">
        <f>L56</f>
        <v>323726.28437433345</v>
      </c>
      <c r="AA22" s="477">
        <f>SUM(M45:M56)*($M$9/SUM($M$9:$M$11))</f>
        <v>14092.837348113391</v>
      </c>
      <c r="AB22" s="478">
        <f>SUM(M45:M56)*($M$10/SUM($M$9:$M$11))</f>
        <v>1565.8708164570437</v>
      </c>
      <c r="AC22" s="480">
        <f>SUM(M45:M56)*($M$11/SUM($M$9:$M$11))</f>
        <v>1565.8708164570437</v>
      </c>
      <c r="AD22" s="480">
        <f t="shared" si="5"/>
        <v>17224.57898102748</v>
      </c>
      <c r="AE22" s="481">
        <f>SUM(O45:O56)</f>
        <v>6331.2726497548301</v>
      </c>
      <c r="AF22" s="482"/>
      <c r="AG22" s="483">
        <f>SUM(J45:J56)</f>
        <v>23022.809635472218</v>
      </c>
      <c r="AJ22" s="323">
        <f t="shared" si="6"/>
        <v>2122.1487955659732</v>
      </c>
      <c r="AK22" s="323">
        <f t="shared" ref="AK22:AK85" si="11">$I$17*(($H$9+$H$10)/12)</f>
        <v>0</v>
      </c>
      <c r="AL22" s="323">
        <f t="shared" si="7"/>
        <v>159.161159667448</v>
      </c>
      <c r="AM22" s="323">
        <f t="shared" ref="AM22:AM85" si="12">$I$17*(-$H$11/12)</f>
        <v>0</v>
      </c>
      <c r="AN22" s="323">
        <f t="shared" ref="AN22:AN85" si="13">AL22+AM22</f>
        <v>159.161159667448</v>
      </c>
      <c r="AO22" s="323">
        <f t="shared" ref="AO22:AO85" si="14">AJ22+AK22-AN22</f>
        <v>1962.9876358985252</v>
      </c>
    </row>
    <row r="23" spans="1:42" x14ac:dyDescent="0.35">
      <c r="B23">
        <f t="shared" ref="B23:B86" si="15">B22+1</f>
        <v>3</v>
      </c>
      <c r="E23" s="475">
        <f t="shared" si="1"/>
        <v>1962.9876358985252</v>
      </c>
      <c r="F23" s="484">
        <f t="shared" si="8"/>
        <v>254657.85546791679</v>
      </c>
      <c r="G23" s="144"/>
      <c r="H23" s="485">
        <v>0</v>
      </c>
      <c r="I23" s="144">
        <f>I22+J23</f>
        <v>5755.7024088680528</v>
      </c>
      <c r="J23" s="484">
        <f t="shared" si="9"/>
        <v>1918.5674696226843</v>
      </c>
      <c r="K23" s="144"/>
      <c r="L23" s="475">
        <f t="shared" si="2"/>
        <v>260413.55787678485</v>
      </c>
      <c r="M23" s="486">
        <f t="shared" si="10"/>
        <v>1193.562140268597</v>
      </c>
      <c r="O23" s="487">
        <f t="shared" si="3"/>
        <v>769.42549562992826</v>
      </c>
      <c r="Q23" s="488"/>
      <c r="R23" s="144"/>
      <c r="T23" s="476">
        <v>4</v>
      </c>
      <c r="U23" s="477">
        <f>F68+$I$17</f>
        <v>254657.85546791679</v>
      </c>
      <c r="V23" s="477">
        <f>SUM(AL57:AM68)</f>
        <v>1909.9339160093757</v>
      </c>
      <c r="W23" s="477">
        <f>SUM(E57:E68)</f>
        <v>23555.851630782301</v>
      </c>
      <c r="X23" s="478">
        <f>SUM(H57:H68)</f>
        <v>0</v>
      </c>
      <c r="Y23" s="483">
        <f t="shared" si="4"/>
        <v>23555.851630782301</v>
      </c>
      <c r="Z23" s="483">
        <f>L68</f>
        <v>346749.09400980559</v>
      </c>
      <c r="AA23" s="477">
        <f>SUM(M57:M68)*($M$9/SUM($M$9:$M$11))</f>
        <v>15128.863781709635</v>
      </c>
      <c r="AB23" s="478">
        <f>SUM(M57:M68)*($M$10/SUM($M$9:$M$11))</f>
        <v>1680.9848646344042</v>
      </c>
      <c r="AC23" s="480">
        <f>SUM(M57:M68)*($M$11/SUM($M$9:$M$11))</f>
        <v>1680.9848646344042</v>
      </c>
      <c r="AD23" s="480">
        <f>SUM(AA23:AC23)</f>
        <v>18490.833510978442</v>
      </c>
      <c r="AE23" s="481">
        <f>SUM(O57:O68)</f>
        <v>5065.018119803859</v>
      </c>
      <c r="AF23" s="482"/>
      <c r="AG23" s="483">
        <f>SUM(J57:J68)</f>
        <v>23022.809635472218</v>
      </c>
      <c r="AJ23" s="323">
        <f t="shared" si="6"/>
        <v>2122.1487955659732</v>
      </c>
      <c r="AK23" s="323">
        <f t="shared" si="11"/>
        <v>0</v>
      </c>
      <c r="AL23" s="323">
        <f t="shared" si="7"/>
        <v>159.161159667448</v>
      </c>
      <c r="AM23" s="323">
        <f t="shared" si="12"/>
        <v>0</v>
      </c>
      <c r="AN23" s="323">
        <f t="shared" si="13"/>
        <v>159.161159667448</v>
      </c>
      <c r="AO23" s="323">
        <f t="shared" si="14"/>
        <v>1962.9876358985252</v>
      </c>
    </row>
    <row r="24" spans="1:42" x14ac:dyDescent="0.35">
      <c r="B24">
        <f t="shared" si="15"/>
        <v>4</v>
      </c>
      <c r="E24" s="475">
        <f t="shared" si="1"/>
        <v>1962.9876358985252</v>
      </c>
      <c r="F24" s="484">
        <f t="shared" si="8"/>
        <v>254657.85546791679</v>
      </c>
      <c r="G24" s="144"/>
      <c r="H24" s="485">
        <v>0</v>
      </c>
      <c r="I24" s="144">
        <f t="shared" ref="I24:I87" si="16">I23+J24</f>
        <v>7674.269878490737</v>
      </c>
      <c r="J24" s="484">
        <f t="shared" si="9"/>
        <v>1918.5674696226843</v>
      </c>
      <c r="K24" s="144"/>
      <c r="L24" s="475">
        <f t="shared" si="2"/>
        <v>262332.12534640753</v>
      </c>
      <c r="M24" s="486">
        <f t="shared" si="10"/>
        <v>1202.3555745043677</v>
      </c>
      <c r="O24" s="487">
        <f t="shared" si="3"/>
        <v>760.63206139415752</v>
      </c>
      <c r="Q24" s="489"/>
      <c r="R24" s="144"/>
      <c r="T24" s="476">
        <v>5</v>
      </c>
      <c r="U24" s="477">
        <f>F80+$I$17</f>
        <v>254657.85546791679</v>
      </c>
      <c r="V24" s="477">
        <f>SUM(AL69:AM80)</f>
        <v>1909.9339160093757</v>
      </c>
      <c r="W24" s="477">
        <f>SUM(E69:E80)</f>
        <v>23555.851630782301</v>
      </c>
      <c r="X24" s="478">
        <f>SUM(H69:H80)</f>
        <v>0</v>
      </c>
      <c r="Y24" s="483">
        <f t="shared" si="4"/>
        <v>23555.851630782301</v>
      </c>
      <c r="Z24" s="483">
        <f>L80</f>
        <v>369771.90364527772</v>
      </c>
      <c r="AA24" s="477">
        <f>SUM(M69:M80)*($M$9/SUM($M$9:$M$11))</f>
        <v>16164.890215305881</v>
      </c>
      <c r="AB24" s="478">
        <f>SUM(M69:M80)*($M$10/SUM($M$9:$M$11))</f>
        <v>1796.0989128117646</v>
      </c>
      <c r="AC24" s="480">
        <f>SUM(M69:M80)*($M$11/SUM($M$9:$M$11))</f>
        <v>1796.0989128117646</v>
      </c>
      <c r="AD24" s="480">
        <f>SUM(AA24:AC24)</f>
        <v>19757.088040929411</v>
      </c>
      <c r="AE24" s="481">
        <f>SUM(O69:O80)</f>
        <v>3798.7635898528933</v>
      </c>
      <c r="AF24" s="482"/>
      <c r="AG24" s="483">
        <f>SUM(J69:J80)</f>
        <v>23022.809635472218</v>
      </c>
      <c r="AJ24" s="323">
        <f t="shared" si="6"/>
        <v>2122.1487955659732</v>
      </c>
      <c r="AK24" s="323">
        <f t="shared" si="11"/>
        <v>0</v>
      </c>
      <c r="AL24" s="323">
        <f t="shared" si="7"/>
        <v>159.161159667448</v>
      </c>
      <c r="AM24" s="323">
        <f t="shared" si="12"/>
        <v>0</v>
      </c>
      <c r="AN24" s="323">
        <f t="shared" si="13"/>
        <v>159.161159667448</v>
      </c>
      <c r="AO24" s="323">
        <f t="shared" si="14"/>
        <v>1962.9876358985252</v>
      </c>
    </row>
    <row r="25" spans="1:42" x14ac:dyDescent="0.35">
      <c r="B25">
        <f t="shared" si="15"/>
        <v>5</v>
      </c>
      <c r="E25" s="475">
        <f t="shared" si="1"/>
        <v>1962.9876358985252</v>
      </c>
      <c r="F25" s="484">
        <f t="shared" si="8"/>
        <v>254657.85546791679</v>
      </c>
      <c r="G25" s="144"/>
      <c r="H25" s="485">
        <v>0</v>
      </c>
      <c r="I25" s="144">
        <f t="shared" si="16"/>
        <v>9592.8373481134222</v>
      </c>
      <c r="J25" s="484">
        <f t="shared" si="9"/>
        <v>1918.5674696226843</v>
      </c>
      <c r="K25" s="144"/>
      <c r="L25" s="475">
        <f t="shared" si="2"/>
        <v>264250.69281603023</v>
      </c>
      <c r="M25" s="486">
        <f t="shared" si="10"/>
        <v>1211.1490087401382</v>
      </c>
      <c r="O25" s="487">
        <f t="shared" si="3"/>
        <v>751.838627158387</v>
      </c>
      <c r="R25" s="144"/>
      <c r="T25" s="476">
        <v>6</v>
      </c>
      <c r="U25" s="477">
        <f>F92+$I$17</f>
        <v>254657.85546791679</v>
      </c>
      <c r="V25" s="477">
        <f>SUM(AL81:AM92)</f>
        <v>1909.9339160093757</v>
      </c>
      <c r="W25" s="477">
        <f>SUM(E81:E92)</f>
        <v>23555.851630782301</v>
      </c>
      <c r="X25" s="478">
        <f>SUM(H81:H92)</f>
        <v>0</v>
      </c>
      <c r="Y25" s="483">
        <f t="shared" si="4"/>
        <v>23555.851630782301</v>
      </c>
      <c r="Z25" s="483">
        <f>L92</f>
        <v>392794.71328074986</v>
      </c>
      <c r="AA25" s="477">
        <f>SUM(M81:M92)*($M$9/SUM($M$9:$M$11))</f>
        <v>17200.916648902126</v>
      </c>
      <c r="AB25" s="478">
        <f>SUM(M81:M92)*($M$10/SUM($M$9:$M$11))</f>
        <v>1911.2129609891256</v>
      </c>
      <c r="AC25" s="480">
        <f>SUM(M81:M92)*($M$11/SUM($M$9:$M$11))</f>
        <v>1911.2129609891256</v>
      </c>
      <c r="AD25" s="480">
        <f t="shared" si="5"/>
        <v>21023.342570880381</v>
      </c>
      <c r="AE25" s="481">
        <f>SUM(O81:O92)</f>
        <v>2532.5090599019254</v>
      </c>
      <c r="AF25" s="482"/>
      <c r="AG25" s="483">
        <f>SUM(J81:J92)</f>
        <v>23022.809635472218</v>
      </c>
      <c r="AJ25" s="323">
        <f t="shared" si="6"/>
        <v>2122.1487955659732</v>
      </c>
      <c r="AK25" s="323">
        <f t="shared" si="11"/>
        <v>0</v>
      </c>
      <c r="AL25" s="323">
        <f t="shared" si="7"/>
        <v>159.161159667448</v>
      </c>
      <c r="AM25" s="323">
        <f t="shared" si="12"/>
        <v>0</v>
      </c>
      <c r="AN25" s="323">
        <f t="shared" si="13"/>
        <v>159.161159667448</v>
      </c>
      <c r="AO25" s="323">
        <f t="shared" si="14"/>
        <v>1962.9876358985252</v>
      </c>
    </row>
    <row r="26" spans="1:42" x14ac:dyDescent="0.35">
      <c r="B26">
        <f t="shared" si="15"/>
        <v>6</v>
      </c>
      <c r="E26" s="475">
        <f t="shared" si="1"/>
        <v>1962.9876358985252</v>
      </c>
      <c r="F26" s="484">
        <f t="shared" si="8"/>
        <v>254657.85546791679</v>
      </c>
      <c r="G26" s="144"/>
      <c r="H26" s="485">
        <v>0</v>
      </c>
      <c r="I26" s="144">
        <f t="shared" si="16"/>
        <v>11511.404817736107</v>
      </c>
      <c r="J26" s="484">
        <f t="shared" si="9"/>
        <v>1918.5674696226843</v>
      </c>
      <c r="K26" s="144"/>
      <c r="L26" s="475">
        <f t="shared" si="2"/>
        <v>266169.26028565288</v>
      </c>
      <c r="M26" s="486">
        <f t="shared" si="10"/>
        <v>1219.9424429759088</v>
      </c>
      <c r="O26" s="487">
        <f t="shared" si="3"/>
        <v>743.04519292261648</v>
      </c>
      <c r="R26" s="144"/>
      <c r="T26" s="476">
        <v>7</v>
      </c>
      <c r="U26" s="477">
        <f>F104+$I$17</f>
        <v>254657.85546791679</v>
      </c>
      <c r="V26" s="477">
        <f>SUM(AL93:AM104)</f>
        <v>1909.9339160093757</v>
      </c>
      <c r="W26" s="477">
        <f>SUM(E93:E104)</f>
        <v>23555.851630782301</v>
      </c>
      <c r="X26" s="478">
        <f>SUM(H93:H104)</f>
        <v>0</v>
      </c>
      <c r="Y26" s="483">
        <f t="shared" si="4"/>
        <v>23555.851630782301</v>
      </c>
      <c r="Z26" s="483">
        <f>L104</f>
        <v>415817.52291622199</v>
      </c>
      <c r="AA26" s="477">
        <f>SUM(M93:M104)*($M$9/SUM($M$9:$M$11))</f>
        <v>18236.943082498372</v>
      </c>
      <c r="AB26" s="478">
        <f>SUM(M93:M104)*($M$10/SUM($M$9:$M$11))</f>
        <v>2026.3270091664861</v>
      </c>
      <c r="AC26" s="480">
        <f>SUM(M93:M104)*($M$11/SUM($M$9:$M$11))</f>
        <v>2026.3270091664861</v>
      </c>
      <c r="AD26" s="480">
        <f t="shared" si="5"/>
        <v>22289.597100831343</v>
      </c>
      <c r="AE26" s="481">
        <f>SUM(O93:O104)</f>
        <v>1266.2545299509572</v>
      </c>
      <c r="AF26" s="482"/>
      <c r="AG26" s="483">
        <f>SUM(J93:J104)</f>
        <v>23022.809635472218</v>
      </c>
      <c r="AJ26" s="323">
        <f t="shared" si="6"/>
        <v>2122.1487955659732</v>
      </c>
      <c r="AK26" s="323">
        <f t="shared" si="11"/>
        <v>0</v>
      </c>
      <c r="AL26" s="323">
        <f t="shared" si="7"/>
        <v>159.161159667448</v>
      </c>
      <c r="AM26" s="323">
        <f t="shared" si="12"/>
        <v>0</v>
      </c>
      <c r="AN26" s="323">
        <f t="shared" si="13"/>
        <v>159.161159667448</v>
      </c>
      <c r="AO26" s="323">
        <f t="shared" si="14"/>
        <v>1962.9876358985252</v>
      </c>
    </row>
    <row r="27" spans="1:42" x14ac:dyDescent="0.35">
      <c r="B27">
        <f t="shared" si="15"/>
        <v>7</v>
      </c>
      <c r="E27" s="475">
        <f t="shared" si="1"/>
        <v>1962.9876358985252</v>
      </c>
      <c r="F27" s="484">
        <f t="shared" si="8"/>
        <v>254657.85546791679</v>
      </c>
      <c r="G27" s="144"/>
      <c r="H27" s="485">
        <v>0</v>
      </c>
      <c r="I27" s="144">
        <f t="shared" si="16"/>
        <v>13429.972287358793</v>
      </c>
      <c r="J27" s="484">
        <f t="shared" si="9"/>
        <v>1918.5674696226843</v>
      </c>
      <c r="K27" s="144"/>
      <c r="L27" s="475">
        <f t="shared" si="2"/>
        <v>268087.82775527559</v>
      </c>
      <c r="M27" s="486">
        <f t="shared" si="10"/>
        <v>1228.7358772116795</v>
      </c>
      <c r="O27" s="487">
        <f t="shared" si="3"/>
        <v>734.25175868684573</v>
      </c>
      <c r="R27" s="144"/>
      <c r="T27" s="476">
        <v>8</v>
      </c>
      <c r="U27" s="477">
        <f>F116+$I$17</f>
        <v>254657.85546791679</v>
      </c>
      <c r="V27" s="477">
        <f>SUM(AL105:AM116)</f>
        <v>1909.9339160093757</v>
      </c>
      <c r="W27" s="477">
        <f>SUM(E105:E116)</f>
        <v>23555.851630782301</v>
      </c>
      <c r="X27" s="478">
        <f>SUM(H105:H116)</f>
        <v>0</v>
      </c>
      <c r="Y27" s="483">
        <f t="shared" si="4"/>
        <v>23555.851630782301</v>
      </c>
      <c r="Z27" s="483">
        <f>L116</f>
        <v>438840.33255169413</v>
      </c>
      <c r="AA27" s="477">
        <f>SUM(M105:M116)*($M$9/SUM($M$9:$M$11))</f>
        <v>19272.969516094618</v>
      </c>
      <c r="AB27" s="478">
        <f>SUM(M105:M116)*($M$10/SUM($M$9:$M$11))</f>
        <v>2141.4410573438468</v>
      </c>
      <c r="AC27" s="480">
        <f>SUM(M105:M116)*($M$11/SUM($M$9:$M$11))</f>
        <v>2141.4410573438468</v>
      </c>
      <c r="AD27" s="480">
        <f t="shared" si="5"/>
        <v>23555.851630782312</v>
      </c>
      <c r="AE27" s="481">
        <f>SUM(O105:O116)</f>
        <v>-9.7770680440589786E-12</v>
      </c>
      <c r="AF27" s="482"/>
      <c r="AG27" s="483">
        <f>SUM(J105:J116)</f>
        <v>23022.809635472218</v>
      </c>
      <c r="AJ27" s="323">
        <f t="shared" si="6"/>
        <v>2122.1487955659732</v>
      </c>
      <c r="AK27" s="323">
        <f t="shared" si="11"/>
        <v>0</v>
      </c>
      <c r="AL27" s="323">
        <f t="shared" si="7"/>
        <v>159.161159667448</v>
      </c>
      <c r="AM27" s="323">
        <f t="shared" si="12"/>
        <v>0</v>
      </c>
      <c r="AN27" s="323">
        <f t="shared" si="13"/>
        <v>159.161159667448</v>
      </c>
      <c r="AO27" s="323">
        <f t="shared" si="14"/>
        <v>1962.9876358985252</v>
      </c>
    </row>
    <row r="28" spans="1:42" x14ac:dyDescent="0.35">
      <c r="B28">
        <f t="shared" si="15"/>
        <v>8</v>
      </c>
      <c r="E28" s="475">
        <f t="shared" si="1"/>
        <v>1962.9876358985252</v>
      </c>
      <c r="F28" s="484">
        <f t="shared" si="8"/>
        <v>254657.85546791679</v>
      </c>
      <c r="G28" s="144"/>
      <c r="H28" s="485">
        <v>0</v>
      </c>
      <c r="I28" s="144">
        <f t="shared" si="16"/>
        <v>15348.539756981478</v>
      </c>
      <c r="J28" s="484">
        <f t="shared" si="9"/>
        <v>1918.5674696226843</v>
      </c>
      <c r="K28" s="144"/>
      <c r="L28" s="475">
        <f t="shared" si="2"/>
        <v>270006.39522489824</v>
      </c>
      <c r="M28" s="486">
        <f t="shared" si="10"/>
        <v>1237.52931144745</v>
      </c>
      <c r="O28" s="487">
        <f t="shared" si="3"/>
        <v>725.45832445107521</v>
      </c>
      <c r="R28" s="144"/>
      <c r="T28" s="476">
        <v>9</v>
      </c>
      <c r="U28" s="477">
        <f>F128++$I$17</f>
        <v>254657.85546791679</v>
      </c>
      <c r="V28" s="477">
        <f>SUM(AL117:AM128)</f>
        <v>1909.9339160093757</v>
      </c>
      <c r="W28" s="477">
        <f>SUM(E117:E128)</f>
        <v>23555.851630782301</v>
      </c>
      <c r="X28" s="478">
        <f>SUM(H117:H128)</f>
        <v>0</v>
      </c>
      <c r="Y28" s="483">
        <f t="shared" si="4"/>
        <v>23555.851630782301</v>
      </c>
      <c r="Z28" s="483">
        <f>L128</f>
        <v>461863.14218716626</v>
      </c>
      <c r="AA28" s="477">
        <f>SUM(M117:M128)*($M$9/SUM($M$9:$M$11))</f>
        <v>20308.995949690867</v>
      </c>
      <c r="AB28" s="478">
        <f>SUM(M117:M128)*($M$10/SUM($M$9:$M$11))</f>
        <v>2256.5551055212077</v>
      </c>
      <c r="AC28" s="480">
        <f>SUM(M117:M128)*($M$11/SUM($M$9:$M$11))</f>
        <v>2256.5551055212077</v>
      </c>
      <c r="AD28" s="480">
        <f t="shared" si="5"/>
        <v>24822.106160733285</v>
      </c>
      <c r="AE28" s="481">
        <f>SUM(O117:O128)</f>
        <v>-1266.2545299509768</v>
      </c>
      <c r="AF28" s="482"/>
      <c r="AG28" s="483">
        <f>SUM(J117:J128)</f>
        <v>23022.809635472218</v>
      </c>
      <c r="AJ28" s="323">
        <f t="shared" si="6"/>
        <v>2122.1487955659732</v>
      </c>
      <c r="AK28" s="323">
        <f t="shared" si="11"/>
        <v>0</v>
      </c>
      <c r="AL28" s="323">
        <f t="shared" si="7"/>
        <v>159.161159667448</v>
      </c>
      <c r="AM28" s="323">
        <f t="shared" si="12"/>
        <v>0</v>
      </c>
      <c r="AN28" s="323">
        <f t="shared" si="13"/>
        <v>159.161159667448</v>
      </c>
      <c r="AO28" s="323">
        <f t="shared" si="14"/>
        <v>1962.9876358985252</v>
      </c>
    </row>
    <row r="29" spans="1:42" x14ac:dyDescent="0.35">
      <c r="B29">
        <f t="shared" si="15"/>
        <v>9</v>
      </c>
      <c r="E29" s="475">
        <f t="shared" si="1"/>
        <v>1962.9876358985252</v>
      </c>
      <c r="F29" s="484">
        <f t="shared" si="8"/>
        <v>254657.85546791679</v>
      </c>
      <c r="G29" s="144"/>
      <c r="H29" s="485">
        <v>0</v>
      </c>
      <c r="I29" s="144">
        <f t="shared" si="16"/>
        <v>17267.107226604163</v>
      </c>
      <c r="J29" s="484">
        <f t="shared" si="9"/>
        <v>1918.5674696226843</v>
      </c>
      <c r="K29" s="144"/>
      <c r="L29" s="475">
        <f t="shared" si="2"/>
        <v>271924.96269452095</v>
      </c>
      <c r="M29" s="486">
        <f t="shared" si="10"/>
        <v>1246.3227456832208</v>
      </c>
      <c r="O29" s="487">
        <f t="shared" si="3"/>
        <v>716.66489021530447</v>
      </c>
      <c r="R29" s="144"/>
      <c r="T29" s="476">
        <v>10</v>
      </c>
      <c r="U29" s="477">
        <f>F140++$I$17</f>
        <v>254657.85546791679</v>
      </c>
      <c r="V29" s="477">
        <f>SUM(AL129:AM140)</f>
        <v>1909.9339160093757</v>
      </c>
      <c r="W29" s="477">
        <f>SUM(E129:E140)</f>
        <v>23555.851630782301</v>
      </c>
      <c r="X29" s="478">
        <f>SUM(H129:H140)</f>
        <v>0</v>
      </c>
      <c r="Y29" s="483">
        <f t="shared" si="4"/>
        <v>23555.851630782301</v>
      </c>
      <c r="Z29" s="483">
        <f>L140</f>
        <v>484885.9518226384</v>
      </c>
      <c r="AA29" s="477">
        <f>SUM(M129:M140)*($M$9/SUM($M$9:$M$11))</f>
        <v>21345.022383287112</v>
      </c>
      <c r="AB29" s="478">
        <f>SUM(M129:M140)*($M$10/SUM($M$9:$M$11))</f>
        <v>2371.6691536985682</v>
      </c>
      <c r="AC29" s="480">
        <f>SUM(M129:M140)*($M$11/SUM($M$9:$M$11))</f>
        <v>2371.6691536985682</v>
      </c>
      <c r="AD29" s="480">
        <f t="shared" si="5"/>
        <v>26088.360690684247</v>
      </c>
      <c r="AE29" s="481">
        <f>SUM(O129:O140)</f>
        <v>-2532.5090599019441</v>
      </c>
      <c r="AF29" s="482"/>
      <c r="AG29" s="483">
        <f>SUM(J129:J140)</f>
        <v>23022.809635472218</v>
      </c>
      <c r="AJ29" s="323">
        <f t="shared" si="6"/>
        <v>2122.1487955659732</v>
      </c>
      <c r="AK29" s="323">
        <f t="shared" si="11"/>
        <v>0</v>
      </c>
      <c r="AL29" s="323">
        <f t="shared" si="7"/>
        <v>159.161159667448</v>
      </c>
      <c r="AM29" s="323">
        <f t="shared" si="12"/>
        <v>0</v>
      </c>
      <c r="AN29" s="323">
        <f t="shared" si="13"/>
        <v>159.161159667448</v>
      </c>
      <c r="AO29" s="323">
        <f t="shared" si="14"/>
        <v>1962.9876358985252</v>
      </c>
    </row>
    <row r="30" spans="1:42" x14ac:dyDescent="0.35">
      <c r="B30">
        <f t="shared" si="15"/>
        <v>10</v>
      </c>
      <c r="E30" s="475">
        <f t="shared" si="1"/>
        <v>1962.9876358985252</v>
      </c>
      <c r="F30" s="484">
        <f t="shared" si="8"/>
        <v>254657.85546791679</v>
      </c>
      <c r="G30" s="144"/>
      <c r="H30" s="485">
        <v>0</v>
      </c>
      <c r="I30" s="144">
        <f t="shared" si="16"/>
        <v>19185.674696226848</v>
      </c>
      <c r="J30" s="484">
        <f t="shared" si="9"/>
        <v>1918.5674696226843</v>
      </c>
      <c r="K30" s="144"/>
      <c r="L30" s="475">
        <f t="shared" si="2"/>
        <v>273843.53016414365</v>
      </c>
      <c r="M30" s="486">
        <f t="shared" si="10"/>
        <v>1255.1161799189915</v>
      </c>
      <c r="O30" s="487">
        <f t="shared" si="3"/>
        <v>707.87145597953372</v>
      </c>
      <c r="R30" s="144"/>
      <c r="T30" s="476">
        <v>11</v>
      </c>
      <c r="U30" s="477">
        <f>F152++$I$17</f>
        <v>254657.85546791679</v>
      </c>
      <c r="V30" s="477">
        <f>SUM(AL141:AM152)</f>
        <v>1909.9339160093757</v>
      </c>
      <c r="W30" s="477">
        <f>SUM(E141:E152)</f>
        <v>23555.851630782301</v>
      </c>
      <c r="X30" s="478">
        <f>SUM(H141:H152)</f>
        <v>0</v>
      </c>
      <c r="Y30" s="483">
        <f t="shared" si="4"/>
        <v>23555.851630782301</v>
      </c>
      <c r="Z30" s="483">
        <f>L152</f>
        <v>507908.76145811053</v>
      </c>
      <c r="AA30" s="477">
        <f>SUM(M141:M152)*($M$9/SUM($M$9:$M$11))</f>
        <v>22381.048816883362</v>
      </c>
      <c r="AB30" s="478">
        <f>SUM(M141:M152)*($M$10/SUM($M$9:$M$11))</f>
        <v>2486.7832018759295</v>
      </c>
      <c r="AC30" s="480">
        <f>SUM(M141:M152)*($M$11/SUM($M$9:$M$11))</f>
        <v>2486.7832018759295</v>
      </c>
      <c r="AD30" s="480">
        <f t="shared" si="5"/>
        <v>27354.61522063522</v>
      </c>
      <c r="AE30" s="481">
        <f>SUM(O141:O152)</f>
        <v>-3798.7635898529111</v>
      </c>
      <c r="AF30" s="482"/>
      <c r="AG30" s="483">
        <f>SUM(J141:J152)</f>
        <v>23022.809635472218</v>
      </c>
      <c r="AJ30" s="323">
        <f t="shared" si="6"/>
        <v>2122.1487955659732</v>
      </c>
      <c r="AK30" s="323">
        <f t="shared" si="11"/>
        <v>0</v>
      </c>
      <c r="AL30" s="323">
        <f t="shared" si="7"/>
        <v>159.161159667448</v>
      </c>
      <c r="AM30" s="323">
        <f t="shared" si="12"/>
        <v>0</v>
      </c>
      <c r="AN30" s="323">
        <f t="shared" si="13"/>
        <v>159.161159667448</v>
      </c>
      <c r="AO30" s="323">
        <f t="shared" si="14"/>
        <v>1962.9876358985252</v>
      </c>
    </row>
    <row r="31" spans="1:42" x14ac:dyDescent="0.35">
      <c r="B31">
        <f t="shared" si="15"/>
        <v>11</v>
      </c>
      <c r="E31" s="475">
        <f t="shared" si="1"/>
        <v>1962.9876358985252</v>
      </c>
      <c r="F31" s="484">
        <f t="shared" si="8"/>
        <v>254657.85546791679</v>
      </c>
      <c r="G31" s="144"/>
      <c r="H31" s="485">
        <v>0</v>
      </c>
      <c r="I31" s="144">
        <f t="shared" si="16"/>
        <v>21104.242165849533</v>
      </c>
      <c r="J31" s="484">
        <f t="shared" si="9"/>
        <v>1918.5674696226843</v>
      </c>
      <c r="K31" s="144"/>
      <c r="L31" s="475">
        <f t="shared" si="2"/>
        <v>275762.0976337663</v>
      </c>
      <c r="M31" s="486">
        <f t="shared" si="10"/>
        <v>1263.909614154762</v>
      </c>
      <c r="O31" s="487">
        <f t="shared" si="3"/>
        <v>699.0780217437632</v>
      </c>
      <c r="R31" s="144"/>
      <c r="T31" s="476">
        <v>12</v>
      </c>
      <c r="U31" s="477">
        <f>F164+$I$17</f>
        <v>254657.85546791679</v>
      </c>
      <c r="V31" s="477">
        <f>SUM(AL153:AM164)</f>
        <v>1909.9339160093757</v>
      </c>
      <c r="W31" s="477">
        <f>SUM(E153:E164)</f>
        <v>23555.851630782301</v>
      </c>
      <c r="X31" s="478">
        <f>SUM(H153:H164)</f>
        <v>0</v>
      </c>
      <c r="Y31" s="483">
        <f t="shared" si="4"/>
        <v>23555.851630782301</v>
      </c>
      <c r="Z31" s="483">
        <f>L164</f>
        <v>530931.5710935829</v>
      </c>
      <c r="AA31" s="477">
        <f>SUM(M153:M164)*($M$9/SUM($M$9:$M$11))</f>
        <v>23417.075250479611</v>
      </c>
      <c r="AB31" s="478">
        <f>SUM(M153:M164)*($M$10/SUM($M$9:$M$11))</f>
        <v>2601.8972500532905</v>
      </c>
      <c r="AC31" s="480">
        <f>SUM(M153:M164)*($M$11/SUM($M$9:$M$11))</f>
        <v>2601.8972500532905</v>
      </c>
      <c r="AD31" s="480">
        <f t="shared" si="5"/>
        <v>28620.869750586193</v>
      </c>
      <c r="AE31" s="481">
        <f>SUM(O153:O164)</f>
        <v>-5065.0181198038827</v>
      </c>
      <c r="AF31" s="482"/>
      <c r="AG31" s="483">
        <f>SUM(J153:J164)</f>
        <v>23022.809635472218</v>
      </c>
      <c r="AJ31" s="323">
        <f t="shared" si="6"/>
        <v>2122.1487955659732</v>
      </c>
      <c r="AK31" s="323">
        <f t="shared" si="11"/>
        <v>0</v>
      </c>
      <c r="AL31" s="323">
        <f t="shared" si="7"/>
        <v>159.161159667448</v>
      </c>
      <c r="AM31" s="323">
        <f t="shared" si="12"/>
        <v>0</v>
      </c>
      <c r="AN31" s="323">
        <f t="shared" si="13"/>
        <v>159.161159667448</v>
      </c>
      <c r="AO31" s="323">
        <f t="shared" si="14"/>
        <v>1962.9876358985252</v>
      </c>
    </row>
    <row r="32" spans="1:42" x14ac:dyDescent="0.35">
      <c r="B32">
        <f t="shared" si="15"/>
        <v>12</v>
      </c>
      <c r="E32" s="475">
        <f t="shared" si="1"/>
        <v>1962.9876358985252</v>
      </c>
      <c r="F32" s="484">
        <f t="shared" si="8"/>
        <v>254657.85546791679</v>
      </c>
      <c r="G32" s="144"/>
      <c r="H32" s="485">
        <v>0</v>
      </c>
      <c r="I32" s="144">
        <f t="shared" si="16"/>
        <v>23022.809635472218</v>
      </c>
      <c r="J32" s="484">
        <f t="shared" si="9"/>
        <v>1918.5674696226843</v>
      </c>
      <c r="K32" s="144"/>
      <c r="L32" s="475">
        <f t="shared" si="2"/>
        <v>277680.66510338901</v>
      </c>
      <c r="M32" s="486">
        <f t="shared" si="10"/>
        <v>1272.7030483905328</v>
      </c>
      <c r="O32" s="487">
        <f t="shared" si="3"/>
        <v>690.28458750799246</v>
      </c>
      <c r="R32" s="144"/>
      <c r="T32" s="476">
        <v>13</v>
      </c>
      <c r="U32" s="477">
        <f>F176+$I$17</f>
        <v>254657.85546791679</v>
      </c>
      <c r="V32" s="477">
        <f>SUM(AL165:AM176)</f>
        <v>1909.9339160093757</v>
      </c>
      <c r="W32" s="477">
        <f>SUM(E165:E176)</f>
        <v>23555.851630782301</v>
      </c>
      <c r="X32" s="478">
        <f>SUM(H165:H176)</f>
        <v>0</v>
      </c>
      <c r="Y32" s="483">
        <f t="shared" si="4"/>
        <v>23555.851630782301</v>
      </c>
      <c r="Z32" s="483">
        <f>L176</f>
        <v>553954.38072905538</v>
      </c>
      <c r="AA32" s="477">
        <f>SUM(M165:M176)*($M$9/SUM($M$9:$M$11))</f>
        <v>24453.101684075868</v>
      </c>
      <c r="AB32" s="478">
        <f>SUM(M165:M176)*($M$10/SUM($M$9:$M$11))</f>
        <v>2717.0112982306523</v>
      </c>
      <c r="AC32" s="480">
        <f>SUM(M165:M176)*($M$11/SUM($M$9:$M$11))</f>
        <v>2717.0112982306523</v>
      </c>
      <c r="AD32" s="480">
        <f t="shared" si="5"/>
        <v>29887.124280537173</v>
      </c>
      <c r="AE32" s="481">
        <f>SUM(O165:O176)</f>
        <v>-6331.2726497548701</v>
      </c>
      <c r="AF32" s="482"/>
      <c r="AG32" s="483">
        <f>SUM(J165:J176)</f>
        <v>23022.809635472218</v>
      </c>
      <c r="AJ32" s="323">
        <f t="shared" si="6"/>
        <v>2122.1487955659732</v>
      </c>
      <c r="AK32" s="323">
        <f t="shared" si="11"/>
        <v>0</v>
      </c>
      <c r="AL32" s="323">
        <f t="shared" si="7"/>
        <v>159.161159667448</v>
      </c>
      <c r="AM32" s="323">
        <f t="shared" si="12"/>
        <v>0</v>
      </c>
      <c r="AN32" s="323">
        <f t="shared" si="13"/>
        <v>159.161159667448</v>
      </c>
      <c r="AO32" s="323">
        <f t="shared" si="14"/>
        <v>1962.9876358985252</v>
      </c>
      <c r="AP32" s="387">
        <f>SUM(AO21:AO32)-Y20</f>
        <v>0</v>
      </c>
    </row>
    <row r="33" spans="1:42" x14ac:dyDescent="0.35">
      <c r="A33">
        <f>A21+1</f>
        <v>2</v>
      </c>
      <c r="B33">
        <f t="shared" si="15"/>
        <v>13</v>
      </c>
      <c r="E33" s="475">
        <f t="shared" si="1"/>
        <v>1962.9876358985252</v>
      </c>
      <c r="F33" s="484">
        <f t="shared" si="8"/>
        <v>254657.85546791679</v>
      </c>
      <c r="G33" s="144"/>
      <c r="H33" s="485">
        <v>0</v>
      </c>
      <c r="I33" s="144">
        <f t="shared" si="16"/>
        <v>24941.377105094904</v>
      </c>
      <c r="J33" s="484">
        <f t="shared" si="9"/>
        <v>1918.5674696226843</v>
      </c>
      <c r="K33" s="144"/>
      <c r="L33" s="475">
        <f t="shared" si="2"/>
        <v>279599.23257301172</v>
      </c>
      <c r="M33" s="486">
        <f t="shared" si="10"/>
        <v>1281.4964826263035</v>
      </c>
      <c r="O33" s="487">
        <f t="shared" si="3"/>
        <v>681.49115327222171</v>
      </c>
      <c r="R33" s="144"/>
      <c r="T33" s="476">
        <v>14</v>
      </c>
      <c r="U33" s="477">
        <f>F188+$I$17</f>
        <v>254657.85546791679</v>
      </c>
      <c r="V33" s="477">
        <f>SUM(AL177:AM188)</f>
        <v>1909.9339160093757</v>
      </c>
      <c r="W33" s="477">
        <f>SUM(E177:E188)</f>
        <v>23555.851630782301</v>
      </c>
      <c r="X33" s="478">
        <f>SUM(H177:H188)</f>
        <v>0</v>
      </c>
      <c r="Y33" s="483">
        <f t="shared" si="4"/>
        <v>23555.851630782301</v>
      </c>
      <c r="Z33" s="483">
        <f>L188</f>
        <v>576977.19036452787</v>
      </c>
      <c r="AA33" s="477">
        <f>SUM(M177:M188)*($M$9/SUM($M$9:$M$11))</f>
        <v>25489.128117672131</v>
      </c>
      <c r="AB33" s="478">
        <f>SUM(M177:M188)*($M$10/SUM($M$9:$M$11))</f>
        <v>2832.125346408015</v>
      </c>
      <c r="AC33" s="480">
        <f>SUM(M177:M188)*($M$11/SUM($M$9:$M$11))</f>
        <v>2832.125346408015</v>
      </c>
      <c r="AD33" s="480">
        <f t="shared" si="5"/>
        <v>31153.378810488161</v>
      </c>
      <c r="AE33" s="481">
        <f>SUM(O177:O188)</f>
        <v>-7597.5271797058576</v>
      </c>
      <c r="AF33" s="482"/>
      <c r="AG33" s="483">
        <f>SUM(J177:J188)</f>
        <v>23022.809635472218</v>
      </c>
      <c r="AJ33" s="323">
        <f t="shared" si="6"/>
        <v>2122.1487955659732</v>
      </c>
      <c r="AK33" s="323">
        <f t="shared" si="11"/>
        <v>0</v>
      </c>
      <c r="AL33" s="323">
        <f t="shared" si="7"/>
        <v>159.161159667448</v>
      </c>
      <c r="AM33" s="323">
        <f t="shared" si="12"/>
        <v>0</v>
      </c>
      <c r="AN33" s="323">
        <f t="shared" si="13"/>
        <v>159.161159667448</v>
      </c>
      <c r="AO33" s="323">
        <f t="shared" si="14"/>
        <v>1962.9876358985252</v>
      </c>
    </row>
    <row r="34" spans="1:42" ht="13.15" thickBot="1" x14ac:dyDescent="0.4">
      <c r="B34">
        <f t="shared" si="15"/>
        <v>14</v>
      </c>
      <c r="E34" s="475">
        <f t="shared" si="1"/>
        <v>1962.9876358985252</v>
      </c>
      <c r="F34" s="484">
        <f t="shared" si="8"/>
        <v>254657.85546791679</v>
      </c>
      <c r="G34" s="144"/>
      <c r="H34" s="485">
        <v>0</v>
      </c>
      <c r="I34" s="144">
        <f t="shared" si="16"/>
        <v>26859.944574717589</v>
      </c>
      <c r="J34" s="484">
        <f t="shared" si="9"/>
        <v>1918.5674696226843</v>
      </c>
      <c r="K34" s="144"/>
      <c r="L34" s="475">
        <f t="shared" si="2"/>
        <v>281517.80004263436</v>
      </c>
      <c r="M34" s="486">
        <f t="shared" si="10"/>
        <v>1290.2899168620738</v>
      </c>
      <c r="O34" s="487">
        <f t="shared" si="3"/>
        <v>672.69771903645142</v>
      </c>
      <c r="R34" s="144"/>
      <c r="T34" s="476">
        <v>15</v>
      </c>
      <c r="U34" s="477">
        <f>F200+$I$17</f>
        <v>254657.85546791679</v>
      </c>
      <c r="V34" s="477">
        <f>SUM(AL189:AM200)</f>
        <v>1909.9339160093757</v>
      </c>
      <c r="W34" s="490">
        <f>SUM(E189:E200)</f>
        <v>23555.851630782301</v>
      </c>
      <c r="X34" s="491">
        <f>SUM(H189:H200)</f>
        <v>0</v>
      </c>
      <c r="Y34" s="492">
        <f t="shared" si="4"/>
        <v>23555.851630782301</v>
      </c>
      <c r="Z34" s="492">
        <f>L200</f>
        <v>600000.00000000035</v>
      </c>
      <c r="AA34" s="477">
        <f>SUM(M189:M200)*($M$9/SUM($M$9:$M$11))</f>
        <v>26525.154551268388</v>
      </c>
      <c r="AB34" s="478">
        <f>SUM(M189:M200)*($M$10/SUM($M$9:$M$11))</f>
        <v>2947.2393945853769</v>
      </c>
      <c r="AC34" s="480">
        <f>SUM(M189:M200)*($M$11/SUM($M$9:$M$11))</f>
        <v>2947.2393945853769</v>
      </c>
      <c r="AD34" s="480">
        <f t="shared" si="5"/>
        <v>32419.633340439141</v>
      </c>
      <c r="AE34" s="493">
        <f>SUM(O189:O200)</f>
        <v>-8863.7817096568433</v>
      </c>
      <c r="AF34" s="482"/>
      <c r="AG34" s="492">
        <f>SUM(J189:J200)</f>
        <v>23022.809635472218</v>
      </c>
      <c r="AJ34" s="323">
        <f t="shared" si="6"/>
        <v>2122.1487955659732</v>
      </c>
      <c r="AK34" s="323">
        <f t="shared" si="11"/>
        <v>0</v>
      </c>
      <c r="AL34" s="323">
        <f t="shared" si="7"/>
        <v>159.161159667448</v>
      </c>
      <c r="AM34" s="323">
        <f t="shared" si="12"/>
        <v>0</v>
      </c>
      <c r="AN34" s="323">
        <f t="shared" si="13"/>
        <v>159.161159667448</v>
      </c>
      <c r="AO34" s="323">
        <f t="shared" si="14"/>
        <v>1962.9876358985252</v>
      </c>
    </row>
    <row r="35" spans="1:42" ht="14.65" thickBot="1" x14ac:dyDescent="0.5">
      <c r="B35">
        <f t="shared" si="15"/>
        <v>15</v>
      </c>
      <c r="E35" s="475">
        <f t="shared" si="1"/>
        <v>1962.9876358985252</v>
      </c>
      <c r="F35" s="484">
        <f t="shared" si="8"/>
        <v>254657.85546791679</v>
      </c>
      <c r="G35" s="144"/>
      <c r="H35" s="485">
        <v>0</v>
      </c>
      <c r="I35" s="144">
        <f t="shared" si="16"/>
        <v>28778.512044340274</v>
      </c>
      <c r="J35" s="484">
        <f t="shared" si="9"/>
        <v>1918.5674696226843</v>
      </c>
      <c r="K35" s="144"/>
      <c r="L35" s="475">
        <f t="shared" si="2"/>
        <v>283436.36751225707</v>
      </c>
      <c r="M35" s="486">
        <f t="shared" si="10"/>
        <v>1299.0833510978446</v>
      </c>
      <c r="O35" s="487">
        <f t="shared" si="3"/>
        <v>663.90428480068067</v>
      </c>
      <c r="R35" s="144"/>
      <c r="T35" s="494" t="s">
        <v>45</v>
      </c>
      <c r="U35" s="495"/>
      <c r="V35" s="496">
        <f t="shared" ref="V35:AE35" si="17">SUM(V20:V34)</f>
        <v>28649.008740140642</v>
      </c>
      <c r="W35" s="496">
        <f t="shared" si="17"/>
        <v>353337.77446173452</v>
      </c>
      <c r="X35" s="497">
        <f t="shared" si="17"/>
        <v>0</v>
      </c>
      <c r="Y35" s="498">
        <f t="shared" si="17"/>
        <v>353337.77446173452</v>
      </c>
      <c r="Z35" s="498"/>
      <c r="AA35" s="496">
        <f t="shared" si="17"/>
        <v>289094.5427414194</v>
      </c>
      <c r="AB35" s="497">
        <f t="shared" si="17"/>
        <v>32121.615860157715</v>
      </c>
      <c r="AC35" s="499">
        <f t="shared" si="17"/>
        <v>32121.615860157715</v>
      </c>
      <c r="AD35" s="499">
        <f t="shared" si="17"/>
        <v>353337.77446173481</v>
      </c>
      <c r="AE35" s="500">
        <f t="shared" si="17"/>
        <v>-2.6375346351414919E-10</v>
      </c>
      <c r="AF35" s="501"/>
      <c r="AG35" s="498">
        <f>SUM(AG20:AG34)</f>
        <v>345342.14453208318</v>
      </c>
      <c r="AJ35" s="323">
        <f t="shared" si="6"/>
        <v>2122.1487955659732</v>
      </c>
      <c r="AK35" s="323">
        <f t="shared" si="11"/>
        <v>0</v>
      </c>
      <c r="AL35" s="323">
        <f t="shared" si="7"/>
        <v>159.161159667448</v>
      </c>
      <c r="AM35" s="323">
        <f t="shared" si="12"/>
        <v>0</v>
      </c>
      <c r="AN35" s="323">
        <f t="shared" si="13"/>
        <v>159.161159667448</v>
      </c>
      <c r="AO35" s="323">
        <f t="shared" si="14"/>
        <v>1962.9876358985252</v>
      </c>
    </row>
    <row r="36" spans="1:42" x14ac:dyDescent="0.35">
      <c r="B36">
        <f t="shared" si="15"/>
        <v>16</v>
      </c>
      <c r="E36" s="475">
        <f t="shared" si="1"/>
        <v>1962.9876358985252</v>
      </c>
      <c r="F36" s="484">
        <f t="shared" si="8"/>
        <v>254657.85546791679</v>
      </c>
      <c r="G36" s="144"/>
      <c r="H36" s="485">
        <v>0</v>
      </c>
      <c r="I36" s="144">
        <f t="shared" si="16"/>
        <v>30697.079513962959</v>
      </c>
      <c r="J36" s="484">
        <f t="shared" si="9"/>
        <v>1918.5674696226843</v>
      </c>
      <c r="K36" s="144"/>
      <c r="L36" s="475">
        <f t="shared" si="2"/>
        <v>285354.93498187972</v>
      </c>
      <c r="M36" s="486">
        <f t="shared" si="10"/>
        <v>1307.8767853336151</v>
      </c>
      <c r="O36" s="487">
        <f t="shared" si="3"/>
        <v>655.11085056491015</v>
      </c>
      <c r="V36" s="502">
        <f>V35-AN19</f>
        <v>-5.4569682106375694E-11</v>
      </c>
      <c r="W36" s="503">
        <f>E19-W35</f>
        <v>-6.4028427004814148E-10</v>
      </c>
      <c r="X36" s="503">
        <f>H19-X35</f>
        <v>0</v>
      </c>
      <c r="Y36" s="503">
        <f>SUM(W35:X35)-Y35</f>
        <v>0</v>
      </c>
      <c r="Z36" s="503"/>
      <c r="AA36" s="503"/>
      <c r="AB36" s="503"/>
      <c r="AC36" s="503">
        <f>M19-SUM(AA35:AC35)</f>
        <v>0</v>
      </c>
      <c r="AD36" s="503">
        <f>SUM(AA35:AC35)-AD35</f>
        <v>0</v>
      </c>
      <c r="AE36" s="503">
        <f>O19-AE35</f>
        <v>-2.1373125491663814E-11</v>
      </c>
      <c r="AF36" s="503"/>
      <c r="AG36" s="503">
        <f>J19-AG35</f>
        <v>0</v>
      </c>
      <c r="AH36" t="s">
        <v>223</v>
      </c>
      <c r="AJ36" s="323">
        <f t="shared" si="6"/>
        <v>2122.1487955659732</v>
      </c>
      <c r="AK36" s="323">
        <f t="shared" si="11"/>
        <v>0</v>
      </c>
      <c r="AL36" s="323">
        <f t="shared" si="7"/>
        <v>159.161159667448</v>
      </c>
      <c r="AM36" s="323">
        <f t="shared" si="12"/>
        <v>0</v>
      </c>
      <c r="AN36" s="323">
        <f t="shared" si="13"/>
        <v>159.161159667448</v>
      </c>
      <c r="AO36" s="323">
        <f t="shared" si="14"/>
        <v>1962.9876358985252</v>
      </c>
    </row>
    <row r="37" spans="1:42" x14ac:dyDescent="0.35">
      <c r="B37">
        <f t="shared" si="15"/>
        <v>17</v>
      </c>
      <c r="E37" s="475">
        <f t="shared" si="1"/>
        <v>1962.9876358985252</v>
      </c>
      <c r="F37" s="484">
        <f t="shared" si="8"/>
        <v>254657.85546791679</v>
      </c>
      <c r="G37" s="144"/>
      <c r="H37" s="485">
        <v>0</v>
      </c>
      <c r="I37" s="144">
        <f t="shared" si="16"/>
        <v>32615.646983585644</v>
      </c>
      <c r="J37" s="484">
        <f t="shared" si="9"/>
        <v>1918.5674696226843</v>
      </c>
      <c r="K37" s="144"/>
      <c r="L37" s="475">
        <f t="shared" si="2"/>
        <v>287273.50245150243</v>
      </c>
      <c r="M37" s="486">
        <f t="shared" si="10"/>
        <v>1316.6702195693858</v>
      </c>
      <c r="O37" s="487">
        <f t="shared" si="3"/>
        <v>646.31741632913941</v>
      </c>
      <c r="AJ37" s="323">
        <f t="shared" si="6"/>
        <v>2122.1487955659732</v>
      </c>
      <c r="AK37" s="323">
        <f t="shared" si="11"/>
        <v>0</v>
      </c>
      <c r="AL37" s="323">
        <f t="shared" si="7"/>
        <v>159.161159667448</v>
      </c>
      <c r="AM37" s="323">
        <f t="shared" si="12"/>
        <v>0</v>
      </c>
      <c r="AN37" s="323">
        <f t="shared" si="13"/>
        <v>159.161159667448</v>
      </c>
      <c r="AO37" s="323">
        <f t="shared" si="14"/>
        <v>1962.9876358985252</v>
      </c>
    </row>
    <row r="38" spans="1:42" x14ac:dyDescent="0.35">
      <c r="B38">
        <f t="shared" si="15"/>
        <v>18</v>
      </c>
      <c r="E38" s="475">
        <f t="shared" si="1"/>
        <v>1962.9876358985252</v>
      </c>
      <c r="F38" s="484">
        <f t="shared" si="8"/>
        <v>254657.85546791679</v>
      </c>
      <c r="G38" s="144"/>
      <c r="H38" s="485">
        <v>0</v>
      </c>
      <c r="I38" s="144">
        <f t="shared" si="16"/>
        <v>34534.214453208326</v>
      </c>
      <c r="J38" s="484">
        <f t="shared" si="9"/>
        <v>1918.5674696226843</v>
      </c>
      <c r="K38" s="144"/>
      <c r="L38" s="475">
        <f t="shared" si="2"/>
        <v>289192.06992112513</v>
      </c>
      <c r="M38" s="486">
        <f t="shared" si="10"/>
        <v>1325.4636538051566</v>
      </c>
      <c r="O38" s="487">
        <f t="shared" si="3"/>
        <v>637.52398209336866</v>
      </c>
      <c r="AJ38" s="323">
        <f t="shared" si="6"/>
        <v>2122.1487955659732</v>
      </c>
      <c r="AK38" s="323">
        <f t="shared" si="11"/>
        <v>0</v>
      </c>
      <c r="AL38" s="323">
        <f t="shared" si="7"/>
        <v>159.161159667448</v>
      </c>
      <c r="AM38" s="323">
        <f t="shared" si="12"/>
        <v>0</v>
      </c>
      <c r="AN38" s="323">
        <f t="shared" si="13"/>
        <v>159.161159667448</v>
      </c>
      <c r="AO38" s="323">
        <f t="shared" si="14"/>
        <v>1962.9876358985252</v>
      </c>
    </row>
    <row r="39" spans="1:42" x14ac:dyDescent="0.35">
      <c r="B39">
        <f t="shared" si="15"/>
        <v>19</v>
      </c>
      <c r="E39" s="475">
        <f t="shared" si="1"/>
        <v>1962.9876358985252</v>
      </c>
      <c r="F39" s="484">
        <f t="shared" si="8"/>
        <v>254657.85546791679</v>
      </c>
      <c r="G39" s="144"/>
      <c r="H39" s="485">
        <v>0</v>
      </c>
      <c r="I39" s="144">
        <f t="shared" si="16"/>
        <v>36452.781922831011</v>
      </c>
      <c r="J39" s="484">
        <f t="shared" si="9"/>
        <v>1918.5674696226843</v>
      </c>
      <c r="K39" s="144"/>
      <c r="L39" s="475">
        <f t="shared" si="2"/>
        <v>291110.63739074778</v>
      </c>
      <c r="M39" s="486">
        <f t="shared" si="10"/>
        <v>1334.2570880409271</v>
      </c>
      <c r="O39" s="487">
        <f t="shared" si="3"/>
        <v>628.73054785759814</v>
      </c>
      <c r="AJ39" s="323">
        <f t="shared" si="6"/>
        <v>2122.1487955659732</v>
      </c>
      <c r="AK39" s="323">
        <f t="shared" si="11"/>
        <v>0</v>
      </c>
      <c r="AL39" s="323">
        <f t="shared" si="7"/>
        <v>159.161159667448</v>
      </c>
      <c r="AM39" s="323">
        <f t="shared" si="12"/>
        <v>0</v>
      </c>
      <c r="AN39" s="323">
        <f t="shared" si="13"/>
        <v>159.161159667448</v>
      </c>
      <c r="AO39" s="323">
        <f t="shared" si="14"/>
        <v>1962.9876358985252</v>
      </c>
    </row>
    <row r="40" spans="1:42" x14ac:dyDescent="0.35">
      <c r="B40">
        <f t="shared" si="15"/>
        <v>20</v>
      </c>
      <c r="E40" s="475">
        <f t="shared" si="1"/>
        <v>1962.9876358985252</v>
      </c>
      <c r="F40" s="484">
        <f t="shared" si="8"/>
        <v>254657.85546791679</v>
      </c>
      <c r="G40" s="144"/>
      <c r="H40" s="485">
        <v>0</v>
      </c>
      <c r="I40" s="144">
        <f t="shared" si="16"/>
        <v>38371.349392453696</v>
      </c>
      <c r="J40" s="484">
        <f t="shared" si="9"/>
        <v>1918.5674696226843</v>
      </c>
      <c r="K40" s="144"/>
      <c r="L40" s="475">
        <f t="shared" si="2"/>
        <v>293029.20486037049</v>
      </c>
      <c r="M40" s="486">
        <f t="shared" si="10"/>
        <v>1343.0505222766978</v>
      </c>
      <c r="O40" s="487">
        <f t="shared" si="3"/>
        <v>619.93711362182739</v>
      </c>
      <c r="AJ40" s="323">
        <f t="shared" si="6"/>
        <v>2122.1487955659732</v>
      </c>
      <c r="AK40" s="323">
        <f t="shared" si="11"/>
        <v>0</v>
      </c>
      <c r="AL40" s="323">
        <f t="shared" si="7"/>
        <v>159.161159667448</v>
      </c>
      <c r="AM40" s="323">
        <f t="shared" si="12"/>
        <v>0</v>
      </c>
      <c r="AN40" s="323">
        <f t="shared" si="13"/>
        <v>159.161159667448</v>
      </c>
      <c r="AO40" s="323">
        <f t="shared" si="14"/>
        <v>1962.9876358985252</v>
      </c>
    </row>
    <row r="41" spans="1:42" x14ac:dyDescent="0.35">
      <c r="B41">
        <f t="shared" si="15"/>
        <v>21</v>
      </c>
      <c r="E41" s="475">
        <f t="shared" si="1"/>
        <v>1962.9876358985252</v>
      </c>
      <c r="F41" s="484">
        <f t="shared" si="8"/>
        <v>254657.85546791679</v>
      </c>
      <c r="G41" s="144"/>
      <c r="H41" s="485">
        <v>0</v>
      </c>
      <c r="I41" s="144">
        <f t="shared" si="16"/>
        <v>40289.916862076381</v>
      </c>
      <c r="J41" s="484">
        <f t="shared" si="9"/>
        <v>1918.5674696226843</v>
      </c>
      <c r="K41" s="144"/>
      <c r="L41" s="475">
        <f t="shared" si="2"/>
        <v>294947.7723299932</v>
      </c>
      <c r="M41" s="486">
        <f t="shared" si="10"/>
        <v>1351.8439565124686</v>
      </c>
      <c r="O41" s="487">
        <f t="shared" si="3"/>
        <v>611.14367938605665</v>
      </c>
      <c r="AJ41" s="323">
        <f t="shared" si="6"/>
        <v>2122.1487955659732</v>
      </c>
      <c r="AK41" s="323">
        <f t="shared" si="11"/>
        <v>0</v>
      </c>
      <c r="AL41" s="323">
        <f t="shared" si="7"/>
        <v>159.161159667448</v>
      </c>
      <c r="AM41" s="323">
        <f t="shared" si="12"/>
        <v>0</v>
      </c>
      <c r="AN41" s="323">
        <f t="shared" si="13"/>
        <v>159.161159667448</v>
      </c>
      <c r="AO41" s="323">
        <f t="shared" si="14"/>
        <v>1962.9876358985252</v>
      </c>
    </row>
    <row r="42" spans="1:42" x14ac:dyDescent="0.35">
      <c r="B42">
        <f t="shared" si="15"/>
        <v>22</v>
      </c>
      <c r="E42" s="475">
        <f t="shared" si="1"/>
        <v>1962.9876358985252</v>
      </c>
      <c r="F42" s="484">
        <f t="shared" si="8"/>
        <v>254657.85546791679</v>
      </c>
      <c r="G42" s="144"/>
      <c r="H42" s="485">
        <v>0</v>
      </c>
      <c r="I42" s="144">
        <f t="shared" si="16"/>
        <v>42208.484331699066</v>
      </c>
      <c r="J42" s="484">
        <f t="shared" si="9"/>
        <v>1918.5674696226843</v>
      </c>
      <c r="K42" s="144"/>
      <c r="L42" s="475">
        <f t="shared" si="2"/>
        <v>296866.33979961585</v>
      </c>
      <c r="M42" s="486">
        <f t="shared" si="10"/>
        <v>1360.6373907482391</v>
      </c>
      <c r="O42" s="487">
        <f t="shared" si="3"/>
        <v>602.35024515028613</v>
      </c>
      <c r="AJ42" s="323">
        <f t="shared" si="6"/>
        <v>2122.1487955659732</v>
      </c>
      <c r="AK42" s="323">
        <f t="shared" si="11"/>
        <v>0</v>
      </c>
      <c r="AL42" s="323">
        <f t="shared" si="7"/>
        <v>159.161159667448</v>
      </c>
      <c r="AM42" s="323">
        <f t="shared" si="12"/>
        <v>0</v>
      </c>
      <c r="AN42" s="323">
        <f t="shared" si="13"/>
        <v>159.161159667448</v>
      </c>
      <c r="AO42" s="323">
        <f t="shared" si="14"/>
        <v>1962.9876358985252</v>
      </c>
    </row>
    <row r="43" spans="1:42" x14ac:dyDescent="0.35">
      <c r="B43">
        <f t="shared" si="15"/>
        <v>23</v>
      </c>
      <c r="E43" s="475">
        <f t="shared" si="1"/>
        <v>1962.9876358985252</v>
      </c>
      <c r="F43" s="484">
        <f t="shared" si="8"/>
        <v>254657.85546791679</v>
      </c>
      <c r="G43" s="144"/>
      <c r="H43" s="485">
        <v>0</v>
      </c>
      <c r="I43" s="144">
        <f t="shared" si="16"/>
        <v>44127.051801321752</v>
      </c>
      <c r="J43" s="484">
        <f t="shared" si="9"/>
        <v>1918.5674696226843</v>
      </c>
      <c r="K43" s="144"/>
      <c r="L43" s="475">
        <f t="shared" si="2"/>
        <v>298784.90726923855</v>
      </c>
      <c r="M43" s="486">
        <f t="shared" si="10"/>
        <v>1369.4308249840099</v>
      </c>
      <c r="O43" s="487">
        <f t="shared" si="3"/>
        <v>593.55681091451538</v>
      </c>
      <c r="AJ43" s="323">
        <f t="shared" si="6"/>
        <v>2122.1487955659732</v>
      </c>
      <c r="AK43" s="323">
        <f t="shared" si="11"/>
        <v>0</v>
      </c>
      <c r="AL43" s="323">
        <f t="shared" si="7"/>
        <v>159.161159667448</v>
      </c>
      <c r="AM43" s="323">
        <f t="shared" si="12"/>
        <v>0</v>
      </c>
      <c r="AN43" s="323">
        <f t="shared" si="13"/>
        <v>159.161159667448</v>
      </c>
      <c r="AO43" s="323">
        <f t="shared" si="14"/>
        <v>1962.9876358985252</v>
      </c>
    </row>
    <row r="44" spans="1:42" x14ac:dyDescent="0.35">
      <c r="B44">
        <f t="shared" si="15"/>
        <v>24</v>
      </c>
      <c r="E44" s="475">
        <f t="shared" si="1"/>
        <v>1962.9876358985252</v>
      </c>
      <c r="F44" s="484">
        <f t="shared" si="8"/>
        <v>254657.85546791679</v>
      </c>
      <c r="G44" s="144"/>
      <c r="H44" s="485">
        <v>0</v>
      </c>
      <c r="I44" s="144">
        <f t="shared" si="16"/>
        <v>46045.619270944437</v>
      </c>
      <c r="J44" s="484">
        <f t="shared" si="9"/>
        <v>1918.5674696226843</v>
      </c>
      <c r="K44" s="144"/>
      <c r="L44" s="475">
        <f t="shared" si="2"/>
        <v>300703.4747388612</v>
      </c>
      <c r="M44" s="486">
        <f t="shared" si="10"/>
        <v>1378.2242592197802</v>
      </c>
      <c r="O44" s="487">
        <f t="shared" si="3"/>
        <v>584.76337667874509</v>
      </c>
      <c r="AJ44" s="323">
        <f t="shared" si="6"/>
        <v>2122.1487955659732</v>
      </c>
      <c r="AK44" s="323">
        <f t="shared" si="11"/>
        <v>0</v>
      </c>
      <c r="AL44" s="323">
        <f t="shared" si="7"/>
        <v>159.161159667448</v>
      </c>
      <c r="AM44" s="323">
        <f t="shared" si="12"/>
        <v>0</v>
      </c>
      <c r="AN44" s="323">
        <f t="shared" si="13"/>
        <v>159.161159667448</v>
      </c>
      <c r="AO44" s="323">
        <f t="shared" si="14"/>
        <v>1962.9876358985252</v>
      </c>
      <c r="AP44" s="387">
        <f>SUM(AO33:AO44)-Y21</f>
        <v>0</v>
      </c>
    </row>
    <row r="45" spans="1:42" x14ac:dyDescent="0.35">
      <c r="A45">
        <f>A33+1</f>
        <v>3</v>
      </c>
      <c r="B45">
        <f>B44+1</f>
        <v>25</v>
      </c>
      <c r="E45" s="475">
        <f t="shared" si="1"/>
        <v>1962.9876358985252</v>
      </c>
      <c r="F45" s="484">
        <f t="shared" si="8"/>
        <v>254657.85546791679</v>
      </c>
      <c r="G45" s="144"/>
      <c r="H45" s="485">
        <v>0</v>
      </c>
      <c r="I45" s="144">
        <f t="shared" si="16"/>
        <v>47964.186740567122</v>
      </c>
      <c r="J45" s="484">
        <f t="shared" si="9"/>
        <v>1918.5674696226843</v>
      </c>
      <c r="K45" s="144"/>
      <c r="L45" s="475">
        <f t="shared" si="2"/>
        <v>302622.04220848391</v>
      </c>
      <c r="M45" s="486">
        <f t="shared" si="10"/>
        <v>1387.0176934555509</v>
      </c>
      <c r="O45" s="487">
        <f t="shared" si="3"/>
        <v>575.96994244297434</v>
      </c>
      <c r="AJ45" s="323">
        <f t="shared" si="6"/>
        <v>2122.1487955659732</v>
      </c>
      <c r="AK45" s="323">
        <f t="shared" si="11"/>
        <v>0</v>
      </c>
      <c r="AL45" s="323">
        <f t="shared" si="7"/>
        <v>159.161159667448</v>
      </c>
      <c r="AM45" s="323">
        <f t="shared" si="12"/>
        <v>0</v>
      </c>
      <c r="AN45" s="323">
        <f t="shared" si="13"/>
        <v>159.161159667448</v>
      </c>
      <c r="AO45" s="323">
        <f t="shared" si="14"/>
        <v>1962.9876358985252</v>
      </c>
    </row>
    <row r="46" spans="1:42" x14ac:dyDescent="0.35">
      <c r="B46">
        <f t="shared" si="15"/>
        <v>26</v>
      </c>
      <c r="E46" s="475">
        <f t="shared" si="1"/>
        <v>1962.9876358985252</v>
      </c>
      <c r="F46" s="484">
        <f t="shared" si="8"/>
        <v>254657.85546791679</v>
      </c>
      <c r="G46" s="144"/>
      <c r="H46" s="485">
        <v>0</v>
      </c>
      <c r="I46" s="144">
        <f t="shared" si="16"/>
        <v>49882.754210189807</v>
      </c>
      <c r="J46" s="484">
        <f t="shared" si="9"/>
        <v>1918.5674696226843</v>
      </c>
      <c r="K46" s="144"/>
      <c r="L46" s="475">
        <f t="shared" si="2"/>
        <v>304540.60967810662</v>
      </c>
      <c r="M46" s="486">
        <f t="shared" si="10"/>
        <v>1395.8111276913216</v>
      </c>
      <c r="O46" s="487">
        <f t="shared" si="3"/>
        <v>567.1765082072036</v>
      </c>
      <c r="AJ46" s="323">
        <f t="shared" si="6"/>
        <v>2122.1487955659732</v>
      </c>
      <c r="AK46" s="323">
        <f t="shared" si="11"/>
        <v>0</v>
      </c>
      <c r="AL46" s="323">
        <f t="shared" si="7"/>
        <v>159.161159667448</v>
      </c>
      <c r="AM46" s="323">
        <f t="shared" si="12"/>
        <v>0</v>
      </c>
      <c r="AN46" s="323">
        <f t="shared" si="13"/>
        <v>159.161159667448</v>
      </c>
      <c r="AO46" s="323">
        <f t="shared" si="14"/>
        <v>1962.9876358985252</v>
      </c>
    </row>
    <row r="47" spans="1:42" x14ac:dyDescent="0.35">
      <c r="B47">
        <f t="shared" si="15"/>
        <v>27</v>
      </c>
      <c r="E47" s="475">
        <f t="shared" si="1"/>
        <v>1962.9876358985252</v>
      </c>
      <c r="F47" s="484">
        <f t="shared" si="8"/>
        <v>254657.85546791679</v>
      </c>
      <c r="G47" s="144"/>
      <c r="H47" s="485">
        <v>0</v>
      </c>
      <c r="I47" s="144">
        <f t="shared" si="16"/>
        <v>51801.321679812492</v>
      </c>
      <c r="J47" s="484">
        <f t="shared" si="9"/>
        <v>1918.5674696226843</v>
      </c>
      <c r="K47" s="144"/>
      <c r="L47" s="475">
        <f t="shared" si="2"/>
        <v>306459.17714772926</v>
      </c>
      <c r="M47" s="486">
        <f t="shared" si="10"/>
        <v>1404.6045619270922</v>
      </c>
      <c r="O47" s="487">
        <f t="shared" si="3"/>
        <v>558.38307397143308</v>
      </c>
      <c r="AJ47" s="323">
        <f t="shared" si="6"/>
        <v>2122.1487955659732</v>
      </c>
      <c r="AK47" s="323">
        <f t="shared" si="11"/>
        <v>0</v>
      </c>
      <c r="AL47" s="323">
        <f t="shared" si="7"/>
        <v>159.161159667448</v>
      </c>
      <c r="AM47" s="323">
        <f t="shared" si="12"/>
        <v>0</v>
      </c>
      <c r="AN47" s="323">
        <f t="shared" si="13"/>
        <v>159.161159667448</v>
      </c>
      <c r="AO47" s="323">
        <f t="shared" si="14"/>
        <v>1962.9876358985252</v>
      </c>
    </row>
    <row r="48" spans="1:42" x14ac:dyDescent="0.35">
      <c r="B48">
        <f t="shared" si="15"/>
        <v>28</v>
      </c>
      <c r="E48" s="475">
        <f t="shared" si="1"/>
        <v>1962.9876358985252</v>
      </c>
      <c r="F48" s="484">
        <f t="shared" si="8"/>
        <v>254657.85546791679</v>
      </c>
      <c r="G48" s="144"/>
      <c r="H48" s="485">
        <v>0</v>
      </c>
      <c r="I48" s="144">
        <f t="shared" si="16"/>
        <v>53719.889149435177</v>
      </c>
      <c r="J48" s="484">
        <f t="shared" si="9"/>
        <v>1918.5674696226843</v>
      </c>
      <c r="K48" s="144"/>
      <c r="L48" s="475">
        <f t="shared" si="2"/>
        <v>308377.74461735197</v>
      </c>
      <c r="M48" s="486">
        <f t="shared" si="10"/>
        <v>1413.3979961628629</v>
      </c>
      <c r="O48" s="487">
        <f t="shared" si="3"/>
        <v>549.58963973566233</v>
      </c>
      <c r="AJ48" s="323">
        <f t="shared" si="6"/>
        <v>2122.1487955659732</v>
      </c>
      <c r="AK48" s="323">
        <f t="shared" si="11"/>
        <v>0</v>
      </c>
      <c r="AL48" s="323">
        <f t="shared" si="7"/>
        <v>159.161159667448</v>
      </c>
      <c r="AM48" s="323">
        <f t="shared" si="12"/>
        <v>0</v>
      </c>
      <c r="AN48" s="323">
        <f t="shared" si="13"/>
        <v>159.161159667448</v>
      </c>
      <c r="AO48" s="323">
        <f t="shared" si="14"/>
        <v>1962.9876358985252</v>
      </c>
    </row>
    <row r="49" spans="1:42" x14ac:dyDescent="0.35">
      <c r="B49">
        <f t="shared" si="15"/>
        <v>29</v>
      </c>
      <c r="E49" s="475">
        <f t="shared" si="1"/>
        <v>1962.9876358985252</v>
      </c>
      <c r="F49" s="484">
        <f t="shared" si="8"/>
        <v>254657.85546791679</v>
      </c>
      <c r="G49" s="144"/>
      <c r="H49" s="485">
        <v>0</v>
      </c>
      <c r="I49" s="144">
        <f t="shared" si="16"/>
        <v>55638.456619057863</v>
      </c>
      <c r="J49" s="484">
        <f t="shared" si="9"/>
        <v>1918.5674696226843</v>
      </c>
      <c r="K49" s="144"/>
      <c r="L49" s="475">
        <f t="shared" si="2"/>
        <v>310296.31208697462</v>
      </c>
      <c r="M49" s="486">
        <f t="shared" si="10"/>
        <v>1422.1914303986334</v>
      </c>
      <c r="O49" s="487">
        <f t="shared" si="3"/>
        <v>540.79620549989181</v>
      </c>
      <c r="AJ49" s="323">
        <f t="shared" si="6"/>
        <v>2122.1487955659732</v>
      </c>
      <c r="AK49" s="323">
        <f t="shared" si="11"/>
        <v>0</v>
      </c>
      <c r="AL49" s="323">
        <f t="shared" si="7"/>
        <v>159.161159667448</v>
      </c>
      <c r="AM49" s="323">
        <f t="shared" si="12"/>
        <v>0</v>
      </c>
      <c r="AN49" s="323">
        <f t="shared" si="13"/>
        <v>159.161159667448</v>
      </c>
      <c r="AO49" s="323">
        <f t="shared" si="14"/>
        <v>1962.9876358985252</v>
      </c>
    </row>
    <row r="50" spans="1:42" x14ac:dyDescent="0.35">
      <c r="B50">
        <f t="shared" si="15"/>
        <v>30</v>
      </c>
      <c r="E50" s="475">
        <f t="shared" si="1"/>
        <v>1962.9876358985252</v>
      </c>
      <c r="F50" s="484">
        <f t="shared" si="8"/>
        <v>254657.85546791679</v>
      </c>
      <c r="G50" s="144"/>
      <c r="H50" s="485">
        <v>0</v>
      </c>
      <c r="I50" s="144">
        <f t="shared" si="16"/>
        <v>57557.024088680548</v>
      </c>
      <c r="J50" s="484">
        <f t="shared" si="9"/>
        <v>1918.5674696226843</v>
      </c>
      <c r="K50" s="144"/>
      <c r="L50" s="475">
        <f t="shared" si="2"/>
        <v>312214.87955659733</v>
      </c>
      <c r="M50" s="486">
        <f t="shared" si="10"/>
        <v>1430.9848646344042</v>
      </c>
      <c r="O50" s="487">
        <f t="shared" si="3"/>
        <v>532.00277126412107</v>
      </c>
      <c r="AJ50" s="323">
        <f t="shared" si="6"/>
        <v>2122.1487955659732</v>
      </c>
      <c r="AK50" s="323">
        <f t="shared" si="11"/>
        <v>0</v>
      </c>
      <c r="AL50" s="323">
        <f t="shared" si="7"/>
        <v>159.161159667448</v>
      </c>
      <c r="AM50" s="323">
        <f t="shared" si="12"/>
        <v>0</v>
      </c>
      <c r="AN50" s="323">
        <f t="shared" si="13"/>
        <v>159.161159667448</v>
      </c>
      <c r="AO50" s="323">
        <f t="shared" si="14"/>
        <v>1962.9876358985252</v>
      </c>
    </row>
    <row r="51" spans="1:42" x14ac:dyDescent="0.35">
      <c r="B51">
        <f t="shared" si="15"/>
        <v>31</v>
      </c>
      <c r="E51" s="475">
        <f t="shared" si="1"/>
        <v>1962.9876358985252</v>
      </c>
      <c r="F51" s="484">
        <f t="shared" si="8"/>
        <v>254657.85546791679</v>
      </c>
      <c r="G51" s="144"/>
      <c r="H51" s="485">
        <v>0</v>
      </c>
      <c r="I51" s="144">
        <f t="shared" si="16"/>
        <v>59475.591558303233</v>
      </c>
      <c r="J51" s="484">
        <f t="shared" si="9"/>
        <v>1918.5674696226843</v>
      </c>
      <c r="K51" s="144"/>
      <c r="L51" s="475">
        <f t="shared" si="2"/>
        <v>314133.44702622003</v>
      </c>
      <c r="M51" s="486">
        <f t="shared" si="10"/>
        <v>1439.7782988701749</v>
      </c>
      <c r="O51" s="487">
        <f t="shared" si="3"/>
        <v>523.20933702835032</v>
      </c>
      <c r="AJ51" s="323">
        <f t="shared" si="6"/>
        <v>2122.1487955659732</v>
      </c>
      <c r="AK51" s="323">
        <f t="shared" si="11"/>
        <v>0</v>
      </c>
      <c r="AL51" s="323">
        <f t="shared" si="7"/>
        <v>159.161159667448</v>
      </c>
      <c r="AM51" s="323">
        <f t="shared" si="12"/>
        <v>0</v>
      </c>
      <c r="AN51" s="323">
        <f t="shared" si="13"/>
        <v>159.161159667448</v>
      </c>
      <c r="AO51" s="323">
        <f t="shared" si="14"/>
        <v>1962.9876358985252</v>
      </c>
    </row>
    <row r="52" spans="1:42" x14ac:dyDescent="0.35">
      <c r="B52">
        <f t="shared" si="15"/>
        <v>32</v>
      </c>
      <c r="E52" s="475">
        <f t="shared" si="1"/>
        <v>1962.9876358985252</v>
      </c>
      <c r="F52" s="484">
        <f t="shared" si="8"/>
        <v>254657.85546791679</v>
      </c>
      <c r="G52" s="144"/>
      <c r="H52" s="485">
        <v>0</v>
      </c>
      <c r="I52" s="144">
        <f t="shared" si="16"/>
        <v>61394.159027925918</v>
      </c>
      <c r="J52" s="484">
        <f t="shared" si="9"/>
        <v>1918.5674696226843</v>
      </c>
      <c r="K52" s="144"/>
      <c r="L52" s="475">
        <f t="shared" si="2"/>
        <v>316052.01449584268</v>
      </c>
      <c r="M52" s="486">
        <f t="shared" si="10"/>
        <v>1448.5717331059454</v>
      </c>
      <c r="O52" s="487">
        <f t="shared" si="3"/>
        <v>514.4159027925798</v>
      </c>
      <c r="AJ52" s="323">
        <f t="shared" si="6"/>
        <v>2122.1487955659732</v>
      </c>
      <c r="AK52" s="323">
        <f t="shared" si="11"/>
        <v>0</v>
      </c>
      <c r="AL52" s="323">
        <f t="shared" si="7"/>
        <v>159.161159667448</v>
      </c>
      <c r="AM52" s="323">
        <f t="shared" si="12"/>
        <v>0</v>
      </c>
      <c r="AN52" s="323">
        <f t="shared" si="13"/>
        <v>159.161159667448</v>
      </c>
      <c r="AO52" s="323">
        <f t="shared" si="14"/>
        <v>1962.9876358985252</v>
      </c>
    </row>
    <row r="53" spans="1:42" x14ac:dyDescent="0.35">
      <c r="B53">
        <f t="shared" si="15"/>
        <v>33</v>
      </c>
      <c r="E53" s="475">
        <f t="shared" si="1"/>
        <v>1962.9876358985252</v>
      </c>
      <c r="F53" s="484">
        <f t="shared" si="8"/>
        <v>254657.85546791679</v>
      </c>
      <c r="G53" s="144"/>
      <c r="H53" s="485">
        <v>0</v>
      </c>
      <c r="I53" s="144">
        <f t="shared" si="16"/>
        <v>63312.726497548603</v>
      </c>
      <c r="J53" s="484">
        <f t="shared" si="9"/>
        <v>1918.5674696226843</v>
      </c>
      <c r="K53" s="144"/>
      <c r="L53" s="475">
        <f t="shared" si="2"/>
        <v>317970.58196546539</v>
      </c>
      <c r="M53" s="486">
        <f t="shared" si="10"/>
        <v>1457.3651673417162</v>
      </c>
      <c r="O53" s="487">
        <f t="shared" si="3"/>
        <v>505.62246855680905</v>
      </c>
      <c r="AJ53" s="323">
        <f t="shared" si="6"/>
        <v>2122.1487955659732</v>
      </c>
      <c r="AK53" s="323">
        <f t="shared" si="11"/>
        <v>0</v>
      </c>
      <c r="AL53" s="323">
        <f t="shared" si="7"/>
        <v>159.161159667448</v>
      </c>
      <c r="AM53" s="323">
        <f t="shared" si="12"/>
        <v>0</v>
      </c>
      <c r="AN53" s="323">
        <f t="shared" si="13"/>
        <v>159.161159667448</v>
      </c>
      <c r="AO53" s="323">
        <f t="shared" si="14"/>
        <v>1962.9876358985252</v>
      </c>
    </row>
    <row r="54" spans="1:42" x14ac:dyDescent="0.35">
      <c r="B54">
        <f t="shared" si="15"/>
        <v>34</v>
      </c>
      <c r="E54" s="475">
        <f t="shared" si="1"/>
        <v>1962.9876358985252</v>
      </c>
      <c r="F54" s="484">
        <f t="shared" si="8"/>
        <v>254657.85546791679</v>
      </c>
      <c r="G54" s="144"/>
      <c r="H54" s="485">
        <v>0</v>
      </c>
      <c r="I54" s="144">
        <f t="shared" si="16"/>
        <v>65231.293967171288</v>
      </c>
      <c r="J54" s="484">
        <f t="shared" si="9"/>
        <v>1918.5674696226843</v>
      </c>
      <c r="K54" s="144"/>
      <c r="L54" s="475">
        <f t="shared" si="2"/>
        <v>319889.1494350881</v>
      </c>
      <c r="M54" s="486">
        <f t="shared" si="10"/>
        <v>1466.1586015774869</v>
      </c>
      <c r="O54" s="487">
        <f t="shared" si="3"/>
        <v>496.82903432103831</v>
      </c>
      <c r="AJ54" s="323">
        <f t="shared" si="6"/>
        <v>2122.1487955659732</v>
      </c>
      <c r="AK54" s="323">
        <f t="shared" si="11"/>
        <v>0</v>
      </c>
      <c r="AL54" s="323">
        <f t="shared" si="7"/>
        <v>159.161159667448</v>
      </c>
      <c r="AM54" s="323">
        <f t="shared" si="12"/>
        <v>0</v>
      </c>
      <c r="AN54" s="323">
        <f t="shared" si="13"/>
        <v>159.161159667448</v>
      </c>
      <c r="AO54" s="323">
        <f t="shared" si="14"/>
        <v>1962.9876358985252</v>
      </c>
    </row>
    <row r="55" spans="1:42" x14ac:dyDescent="0.35">
      <c r="B55">
        <f t="shared" si="15"/>
        <v>35</v>
      </c>
      <c r="E55" s="475">
        <f t="shared" si="1"/>
        <v>1962.9876358985252</v>
      </c>
      <c r="F55" s="484">
        <f t="shared" si="8"/>
        <v>254657.85546791679</v>
      </c>
      <c r="G55" s="144"/>
      <c r="H55" s="485">
        <v>0</v>
      </c>
      <c r="I55" s="144">
        <f t="shared" si="16"/>
        <v>67149.861436793974</v>
      </c>
      <c r="J55" s="484">
        <f t="shared" si="9"/>
        <v>1918.5674696226843</v>
      </c>
      <c r="K55" s="144"/>
      <c r="L55" s="475">
        <f t="shared" si="2"/>
        <v>321807.71690471075</v>
      </c>
      <c r="M55" s="486">
        <f t="shared" si="10"/>
        <v>1474.9520358132572</v>
      </c>
      <c r="O55" s="487">
        <f t="shared" si="3"/>
        <v>488.03560008526802</v>
      </c>
      <c r="AJ55" s="323">
        <f t="shared" si="6"/>
        <v>2122.1487955659732</v>
      </c>
      <c r="AK55" s="323">
        <f t="shared" si="11"/>
        <v>0</v>
      </c>
      <c r="AL55" s="323">
        <f t="shared" si="7"/>
        <v>159.161159667448</v>
      </c>
      <c r="AM55" s="323">
        <f t="shared" si="12"/>
        <v>0</v>
      </c>
      <c r="AN55" s="323">
        <f t="shared" si="13"/>
        <v>159.161159667448</v>
      </c>
      <c r="AO55" s="323">
        <f t="shared" si="14"/>
        <v>1962.9876358985252</v>
      </c>
    </row>
    <row r="56" spans="1:42" x14ac:dyDescent="0.35">
      <c r="B56">
        <f t="shared" si="15"/>
        <v>36</v>
      </c>
      <c r="E56" s="475">
        <f t="shared" si="1"/>
        <v>1962.9876358985252</v>
      </c>
      <c r="F56" s="484">
        <f t="shared" si="8"/>
        <v>254657.85546791679</v>
      </c>
      <c r="G56" s="144"/>
      <c r="H56" s="485">
        <v>0</v>
      </c>
      <c r="I56" s="144">
        <f t="shared" si="16"/>
        <v>69068.428906416651</v>
      </c>
      <c r="J56" s="484">
        <f t="shared" si="9"/>
        <v>1918.5674696226843</v>
      </c>
      <c r="K56" s="144"/>
      <c r="L56" s="475">
        <f t="shared" si="2"/>
        <v>323726.28437433345</v>
      </c>
      <c r="M56" s="486">
        <f t="shared" si="10"/>
        <v>1483.745470049028</v>
      </c>
      <c r="O56" s="487">
        <f t="shared" si="3"/>
        <v>479.24216584949727</v>
      </c>
      <c r="AJ56" s="323">
        <f t="shared" si="6"/>
        <v>2122.1487955659732</v>
      </c>
      <c r="AK56" s="323">
        <f t="shared" si="11"/>
        <v>0</v>
      </c>
      <c r="AL56" s="323">
        <f t="shared" si="7"/>
        <v>159.161159667448</v>
      </c>
      <c r="AM56" s="323">
        <f t="shared" si="12"/>
        <v>0</v>
      </c>
      <c r="AN56" s="323">
        <f t="shared" si="13"/>
        <v>159.161159667448</v>
      </c>
      <c r="AO56" s="323">
        <f t="shared" si="14"/>
        <v>1962.9876358985252</v>
      </c>
      <c r="AP56" s="387">
        <f>SUM(AO45:AO56)-Y22</f>
        <v>0</v>
      </c>
    </row>
    <row r="57" spans="1:42" x14ac:dyDescent="0.35">
      <c r="A57">
        <f>A45+1</f>
        <v>4</v>
      </c>
      <c r="B57">
        <f t="shared" si="15"/>
        <v>37</v>
      </c>
      <c r="E57" s="475">
        <f t="shared" si="1"/>
        <v>1962.9876358985252</v>
      </c>
      <c r="F57" s="484">
        <f t="shared" si="8"/>
        <v>254657.85546791679</v>
      </c>
      <c r="G57" s="144"/>
      <c r="H57" s="485">
        <v>0</v>
      </c>
      <c r="I57" s="144">
        <f t="shared" si="16"/>
        <v>70986.996376039329</v>
      </c>
      <c r="J57" s="484">
        <f t="shared" si="9"/>
        <v>1918.5674696226843</v>
      </c>
      <c r="K57" s="144"/>
      <c r="L57" s="475">
        <f t="shared" si="2"/>
        <v>325644.8518439561</v>
      </c>
      <c r="M57" s="486">
        <f t="shared" si="10"/>
        <v>1492.5389042847985</v>
      </c>
      <c r="O57" s="487">
        <f t="shared" si="3"/>
        <v>470.44873161372675</v>
      </c>
      <c r="AJ57" s="323">
        <f t="shared" si="6"/>
        <v>2122.1487955659732</v>
      </c>
      <c r="AK57" s="323">
        <f t="shared" si="11"/>
        <v>0</v>
      </c>
      <c r="AL57" s="323">
        <f t="shared" si="7"/>
        <v>159.161159667448</v>
      </c>
      <c r="AM57" s="323">
        <f t="shared" si="12"/>
        <v>0</v>
      </c>
      <c r="AN57" s="323">
        <f t="shared" si="13"/>
        <v>159.161159667448</v>
      </c>
      <c r="AO57" s="323">
        <f t="shared" si="14"/>
        <v>1962.9876358985252</v>
      </c>
    </row>
    <row r="58" spans="1:42" x14ac:dyDescent="0.35">
      <c r="B58">
        <f t="shared" si="15"/>
        <v>38</v>
      </c>
      <c r="E58" s="475">
        <f t="shared" si="1"/>
        <v>1962.9876358985252</v>
      </c>
      <c r="F58" s="484">
        <f t="shared" si="8"/>
        <v>254657.85546791679</v>
      </c>
      <c r="G58" s="144"/>
      <c r="H58" s="485">
        <v>0</v>
      </c>
      <c r="I58" s="144">
        <f t="shared" si="16"/>
        <v>72905.563845662007</v>
      </c>
      <c r="J58" s="484">
        <f t="shared" si="9"/>
        <v>1918.5674696226843</v>
      </c>
      <c r="K58" s="144"/>
      <c r="L58" s="475">
        <f t="shared" si="2"/>
        <v>327563.41931357881</v>
      </c>
      <c r="M58" s="486">
        <f t="shared" si="10"/>
        <v>1501.3323385205692</v>
      </c>
      <c r="O58" s="487">
        <f t="shared" si="3"/>
        <v>461.655297377956</v>
      </c>
      <c r="AJ58" s="323">
        <f t="shared" si="6"/>
        <v>2122.1487955659732</v>
      </c>
      <c r="AK58" s="323">
        <f t="shared" si="11"/>
        <v>0</v>
      </c>
      <c r="AL58" s="323">
        <f t="shared" si="7"/>
        <v>159.161159667448</v>
      </c>
      <c r="AM58" s="323">
        <f t="shared" si="12"/>
        <v>0</v>
      </c>
      <c r="AN58" s="323">
        <f t="shared" si="13"/>
        <v>159.161159667448</v>
      </c>
      <c r="AO58" s="323">
        <f t="shared" si="14"/>
        <v>1962.9876358985252</v>
      </c>
    </row>
    <row r="59" spans="1:42" x14ac:dyDescent="0.35">
      <c r="B59">
        <f t="shared" si="15"/>
        <v>39</v>
      </c>
      <c r="E59" s="475">
        <f t="shared" si="1"/>
        <v>1962.9876358985252</v>
      </c>
      <c r="F59" s="484">
        <f t="shared" si="8"/>
        <v>254657.85546791679</v>
      </c>
      <c r="G59" s="144"/>
      <c r="H59" s="485">
        <v>0</v>
      </c>
      <c r="I59" s="144">
        <f t="shared" si="16"/>
        <v>74824.131315284685</v>
      </c>
      <c r="J59" s="484">
        <f t="shared" si="9"/>
        <v>1918.5674696226843</v>
      </c>
      <c r="K59" s="144"/>
      <c r="L59" s="475">
        <f t="shared" si="2"/>
        <v>329481.98678320146</v>
      </c>
      <c r="M59" s="486">
        <f t="shared" si="10"/>
        <v>1510.1257727563398</v>
      </c>
      <c r="O59" s="487">
        <f t="shared" si="3"/>
        <v>452.86186314218548</v>
      </c>
      <c r="AJ59" s="323">
        <f t="shared" si="6"/>
        <v>2122.1487955659732</v>
      </c>
      <c r="AK59" s="323">
        <f t="shared" si="11"/>
        <v>0</v>
      </c>
      <c r="AL59" s="323">
        <f t="shared" si="7"/>
        <v>159.161159667448</v>
      </c>
      <c r="AM59" s="323">
        <f t="shared" si="12"/>
        <v>0</v>
      </c>
      <c r="AN59" s="323">
        <f t="shared" si="13"/>
        <v>159.161159667448</v>
      </c>
      <c r="AO59" s="323">
        <f t="shared" si="14"/>
        <v>1962.9876358985252</v>
      </c>
    </row>
    <row r="60" spans="1:42" x14ac:dyDescent="0.35">
      <c r="B60">
        <f t="shared" si="15"/>
        <v>40</v>
      </c>
      <c r="E60" s="475">
        <f t="shared" si="1"/>
        <v>1962.9876358985252</v>
      </c>
      <c r="F60" s="484">
        <f t="shared" si="8"/>
        <v>254657.85546791679</v>
      </c>
      <c r="G60" s="144"/>
      <c r="H60" s="485">
        <v>0</v>
      </c>
      <c r="I60" s="144">
        <f t="shared" si="16"/>
        <v>76742.698784907363</v>
      </c>
      <c r="J60" s="484">
        <f t="shared" si="9"/>
        <v>1918.5674696226843</v>
      </c>
      <c r="K60" s="144"/>
      <c r="L60" s="475">
        <f t="shared" si="2"/>
        <v>331400.55425282416</v>
      </c>
      <c r="M60" s="486">
        <f t="shared" si="10"/>
        <v>1518.9192069921105</v>
      </c>
      <c r="O60" s="487">
        <f t="shared" si="3"/>
        <v>444.06842890641474</v>
      </c>
      <c r="AJ60" s="323">
        <f t="shared" si="6"/>
        <v>2122.1487955659732</v>
      </c>
      <c r="AK60" s="323">
        <f t="shared" si="11"/>
        <v>0</v>
      </c>
      <c r="AL60" s="323">
        <f t="shared" si="7"/>
        <v>159.161159667448</v>
      </c>
      <c r="AM60" s="323">
        <f t="shared" si="12"/>
        <v>0</v>
      </c>
      <c r="AN60" s="323">
        <f t="shared" si="13"/>
        <v>159.161159667448</v>
      </c>
      <c r="AO60" s="323">
        <f t="shared" si="14"/>
        <v>1962.9876358985252</v>
      </c>
    </row>
    <row r="61" spans="1:42" x14ac:dyDescent="0.35">
      <c r="B61">
        <f t="shared" si="15"/>
        <v>41</v>
      </c>
      <c r="E61" s="475">
        <f t="shared" si="1"/>
        <v>1962.9876358985252</v>
      </c>
      <c r="F61" s="484">
        <f t="shared" si="8"/>
        <v>254657.85546791679</v>
      </c>
      <c r="G61" s="144"/>
      <c r="H61" s="485">
        <v>0</v>
      </c>
      <c r="I61" s="144">
        <f t="shared" si="16"/>
        <v>78661.266254530041</v>
      </c>
      <c r="J61" s="484">
        <f t="shared" si="9"/>
        <v>1918.5674696226843</v>
      </c>
      <c r="K61" s="144"/>
      <c r="L61" s="475">
        <f t="shared" si="2"/>
        <v>333319.12172244681</v>
      </c>
      <c r="M61" s="486">
        <f t="shared" si="10"/>
        <v>1527.712641227881</v>
      </c>
      <c r="O61" s="487">
        <f t="shared" si="3"/>
        <v>435.27499467064422</v>
      </c>
      <c r="AJ61" s="323">
        <f t="shared" si="6"/>
        <v>2122.1487955659732</v>
      </c>
      <c r="AK61" s="323">
        <f t="shared" si="11"/>
        <v>0</v>
      </c>
      <c r="AL61" s="323">
        <f t="shared" si="7"/>
        <v>159.161159667448</v>
      </c>
      <c r="AM61" s="323">
        <f t="shared" si="12"/>
        <v>0</v>
      </c>
      <c r="AN61" s="323">
        <f t="shared" si="13"/>
        <v>159.161159667448</v>
      </c>
      <c r="AO61" s="323">
        <f t="shared" si="14"/>
        <v>1962.9876358985252</v>
      </c>
    </row>
    <row r="62" spans="1:42" x14ac:dyDescent="0.35">
      <c r="B62">
        <f t="shared" si="15"/>
        <v>42</v>
      </c>
      <c r="E62" s="475">
        <f t="shared" si="1"/>
        <v>1962.9876358985252</v>
      </c>
      <c r="F62" s="484">
        <f t="shared" si="8"/>
        <v>254657.85546791679</v>
      </c>
      <c r="G62" s="144"/>
      <c r="H62" s="485">
        <v>0</v>
      </c>
      <c r="I62" s="144">
        <f t="shared" si="16"/>
        <v>80579.833724152719</v>
      </c>
      <c r="J62" s="484">
        <f t="shared" si="9"/>
        <v>1918.5674696226843</v>
      </c>
      <c r="K62" s="144"/>
      <c r="L62" s="475">
        <f t="shared" si="2"/>
        <v>335237.68919206952</v>
      </c>
      <c r="M62" s="486">
        <f t="shared" si="10"/>
        <v>1536.5060754636518</v>
      </c>
      <c r="O62" s="487">
        <f t="shared" si="3"/>
        <v>426.48156043487347</v>
      </c>
      <c r="AJ62" s="323">
        <f t="shared" si="6"/>
        <v>2122.1487955659732</v>
      </c>
      <c r="AK62" s="323">
        <f t="shared" si="11"/>
        <v>0</v>
      </c>
      <c r="AL62" s="323">
        <f t="shared" si="7"/>
        <v>159.161159667448</v>
      </c>
      <c r="AM62" s="323">
        <f t="shared" si="12"/>
        <v>0</v>
      </c>
      <c r="AN62" s="323">
        <f t="shared" si="13"/>
        <v>159.161159667448</v>
      </c>
      <c r="AO62" s="323">
        <f t="shared" si="14"/>
        <v>1962.9876358985252</v>
      </c>
    </row>
    <row r="63" spans="1:42" x14ac:dyDescent="0.35">
      <c r="B63">
        <f t="shared" si="15"/>
        <v>43</v>
      </c>
      <c r="E63" s="475">
        <f t="shared" si="1"/>
        <v>1962.9876358985252</v>
      </c>
      <c r="F63" s="484">
        <f t="shared" si="8"/>
        <v>254657.85546791679</v>
      </c>
      <c r="G63" s="144"/>
      <c r="H63" s="485">
        <v>0</v>
      </c>
      <c r="I63" s="144">
        <f t="shared" si="16"/>
        <v>82498.401193775397</v>
      </c>
      <c r="J63" s="484">
        <f t="shared" si="9"/>
        <v>1918.5674696226843</v>
      </c>
      <c r="K63" s="144"/>
      <c r="L63" s="475">
        <f t="shared" si="2"/>
        <v>337156.25666169217</v>
      </c>
      <c r="M63" s="486">
        <f t="shared" si="10"/>
        <v>1545.2995096994221</v>
      </c>
      <c r="O63" s="487">
        <f t="shared" si="3"/>
        <v>417.68812619910318</v>
      </c>
      <c r="AJ63" s="323">
        <f t="shared" si="6"/>
        <v>2122.1487955659732</v>
      </c>
      <c r="AK63" s="323">
        <f t="shared" si="11"/>
        <v>0</v>
      </c>
      <c r="AL63" s="323">
        <f t="shared" si="7"/>
        <v>159.161159667448</v>
      </c>
      <c r="AM63" s="323">
        <f t="shared" si="12"/>
        <v>0</v>
      </c>
      <c r="AN63" s="323">
        <f t="shared" si="13"/>
        <v>159.161159667448</v>
      </c>
      <c r="AO63" s="323">
        <f t="shared" si="14"/>
        <v>1962.9876358985252</v>
      </c>
    </row>
    <row r="64" spans="1:42" x14ac:dyDescent="0.35">
      <c r="B64">
        <f t="shared" si="15"/>
        <v>44</v>
      </c>
      <c r="E64" s="475">
        <f t="shared" si="1"/>
        <v>1962.9876358985252</v>
      </c>
      <c r="F64" s="484">
        <f t="shared" si="8"/>
        <v>254657.85546791679</v>
      </c>
      <c r="G64" s="144"/>
      <c r="H64" s="485">
        <v>0</v>
      </c>
      <c r="I64" s="144">
        <f t="shared" si="16"/>
        <v>84416.968663398075</v>
      </c>
      <c r="J64" s="484">
        <f t="shared" si="9"/>
        <v>1918.5674696226843</v>
      </c>
      <c r="K64" s="144"/>
      <c r="L64" s="475">
        <f t="shared" si="2"/>
        <v>339074.82413131488</v>
      </c>
      <c r="M64" s="486">
        <f t="shared" si="10"/>
        <v>1554.0929439351928</v>
      </c>
      <c r="O64" s="487">
        <f t="shared" si="3"/>
        <v>408.89469196333243</v>
      </c>
      <c r="AJ64" s="323">
        <f t="shared" si="6"/>
        <v>2122.1487955659732</v>
      </c>
      <c r="AK64" s="323">
        <f t="shared" si="11"/>
        <v>0</v>
      </c>
      <c r="AL64" s="323">
        <f t="shared" si="7"/>
        <v>159.161159667448</v>
      </c>
      <c r="AM64" s="323">
        <f t="shared" si="12"/>
        <v>0</v>
      </c>
      <c r="AN64" s="323">
        <f t="shared" si="13"/>
        <v>159.161159667448</v>
      </c>
      <c r="AO64" s="323">
        <f t="shared" si="14"/>
        <v>1962.9876358985252</v>
      </c>
    </row>
    <row r="65" spans="1:42" x14ac:dyDescent="0.35">
      <c r="B65">
        <f t="shared" si="15"/>
        <v>45</v>
      </c>
      <c r="E65" s="475">
        <f t="shared" si="1"/>
        <v>1962.9876358985252</v>
      </c>
      <c r="F65" s="484">
        <f t="shared" si="8"/>
        <v>254657.85546791679</v>
      </c>
      <c r="G65" s="144"/>
      <c r="H65" s="485">
        <v>0</v>
      </c>
      <c r="I65" s="144">
        <f t="shared" si="16"/>
        <v>86335.536133020752</v>
      </c>
      <c r="J65" s="484">
        <f t="shared" si="9"/>
        <v>1918.5674696226843</v>
      </c>
      <c r="K65" s="144"/>
      <c r="L65" s="475">
        <f t="shared" si="2"/>
        <v>340993.39160093752</v>
      </c>
      <c r="M65" s="486">
        <f t="shared" si="10"/>
        <v>1562.8863781709633</v>
      </c>
      <c r="O65" s="487">
        <f t="shared" si="3"/>
        <v>400.10125772756192</v>
      </c>
      <c r="AJ65" s="323">
        <f t="shared" si="6"/>
        <v>2122.1487955659732</v>
      </c>
      <c r="AK65" s="323">
        <f t="shared" si="11"/>
        <v>0</v>
      </c>
      <c r="AL65" s="323">
        <f t="shared" si="7"/>
        <v>159.161159667448</v>
      </c>
      <c r="AM65" s="323">
        <f t="shared" si="12"/>
        <v>0</v>
      </c>
      <c r="AN65" s="323">
        <f t="shared" si="13"/>
        <v>159.161159667448</v>
      </c>
      <c r="AO65" s="323">
        <f t="shared" si="14"/>
        <v>1962.9876358985252</v>
      </c>
    </row>
    <row r="66" spans="1:42" x14ac:dyDescent="0.35">
      <c r="B66">
        <f>B65+1</f>
        <v>46</v>
      </c>
      <c r="E66" s="475">
        <f t="shared" si="1"/>
        <v>1962.9876358985252</v>
      </c>
      <c r="F66" s="484">
        <f t="shared" si="8"/>
        <v>254657.85546791679</v>
      </c>
      <c r="G66" s="144"/>
      <c r="H66" s="485">
        <v>0</v>
      </c>
      <c r="I66" s="144">
        <f t="shared" si="16"/>
        <v>88254.10360264343</v>
      </c>
      <c r="J66" s="484">
        <f t="shared" si="9"/>
        <v>1918.5674696226843</v>
      </c>
      <c r="K66" s="144"/>
      <c r="L66" s="475">
        <f t="shared" si="2"/>
        <v>342911.95907056023</v>
      </c>
      <c r="M66" s="486">
        <f t="shared" si="10"/>
        <v>1571.6798124067341</v>
      </c>
      <c r="O66" s="487">
        <f t="shared" si="3"/>
        <v>391.30782349179117</v>
      </c>
      <c r="AJ66" s="323">
        <f t="shared" si="6"/>
        <v>2122.1487955659732</v>
      </c>
      <c r="AK66" s="323">
        <f t="shared" si="11"/>
        <v>0</v>
      </c>
      <c r="AL66" s="323">
        <f t="shared" si="7"/>
        <v>159.161159667448</v>
      </c>
      <c r="AM66" s="323">
        <f t="shared" si="12"/>
        <v>0</v>
      </c>
      <c r="AN66" s="323">
        <f t="shared" si="13"/>
        <v>159.161159667448</v>
      </c>
      <c r="AO66" s="323">
        <f t="shared" si="14"/>
        <v>1962.9876358985252</v>
      </c>
    </row>
    <row r="67" spans="1:42" x14ac:dyDescent="0.35">
      <c r="B67">
        <f t="shared" si="15"/>
        <v>47</v>
      </c>
      <c r="E67" s="475">
        <f t="shared" si="1"/>
        <v>1962.9876358985252</v>
      </c>
      <c r="F67" s="484">
        <f t="shared" si="8"/>
        <v>254657.85546791679</v>
      </c>
      <c r="G67" s="144"/>
      <c r="H67" s="485">
        <v>0</v>
      </c>
      <c r="I67" s="144">
        <f t="shared" si="16"/>
        <v>90172.671072266108</v>
      </c>
      <c r="J67" s="484">
        <f t="shared" si="9"/>
        <v>1918.5674696226843</v>
      </c>
      <c r="K67" s="144"/>
      <c r="L67" s="475">
        <f t="shared" si="2"/>
        <v>344830.52654018288</v>
      </c>
      <c r="M67" s="486">
        <f t="shared" si="10"/>
        <v>1580.4732466425046</v>
      </c>
      <c r="O67" s="487">
        <f t="shared" si="3"/>
        <v>382.51438925602065</v>
      </c>
      <c r="AJ67" s="323">
        <f t="shared" si="6"/>
        <v>2122.1487955659732</v>
      </c>
      <c r="AK67" s="323">
        <f t="shared" si="11"/>
        <v>0</v>
      </c>
      <c r="AL67" s="323">
        <f t="shared" si="7"/>
        <v>159.161159667448</v>
      </c>
      <c r="AM67" s="323">
        <f t="shared" si="12"/>
        <v>0</v>
      </c>
      <c r="AN67" s="323">
        <f t="shared" si="13"/>
        <v>159.161159667448</v>
      </c>
      <c r="AO67" s="323">
        <f t="shared" si="14"/>
        <v>1962.9876358985252</v>
      </c>
    </row>
    <row r="68" spans="1:42" x14ac:dyDescent="0.35">
      <c r="B68">
        <f t="shared" si="15"/>
        <v>48</v>
      </c>
      <c r="E68" s="475">
        <f t="shared" si="1"/>
        <v>1962.9876358985252</v>
      </c>
      <c r="F68" s="484">
        <f t="shared" si="8"/>
        <v>254657.85546791679</v>
      </c>
      <c r="G68" s="144"/>
      <c r="H68" s="485">
        <v>0</v>
      </c>
      <c r="I68" s="144">
        <f t="shared" si="16"/>
        <v>92091.238541888786</v>
      </c>
      <c r="J68" s="484">
        <f t="shared" si="9"/>
        <v>1918.5674696226843</v>
      </c>
      <c r="K68" s="144"/>
      <c r="L68" s="475">
        <f t="shared" si="2"/>
        <v>346749.09400980559</v>
      </c>
      <c r="M68" s="486">
        <f t="shared" si="10"/>
        <v>1589.2666808782753</v>
      </c>
      <c r="O68" s="487">
        <f t="shared" si="3"/>
        <v>373.7209550202499</v>
      </c>
      <c r="AJ68" s="323">
        <f t="shared" si="6"/>
        <v>2122.1487955659732</v>
      </c>
      <c r="AK68" s="323">
        <f t="shared" si="11"/>
        <v>0</v>
      </c>
      <c r="AL68" s="323">
        <f t="shared" si="7"/>
        <v>159.161159667448</v>
      </c>
      <c r="AM68" s="323">
        <f t="shared" si="12"/>
        <v>0</v>
      </c>
      <c r="AN68" s="323">
        <f t="shared" si="13"/>
        <v>159.161159667448</v>
      </c>
      <c r="AO68" s="323">
        <f t="shared" si="14"/>
        <v>1962.9876358985252</v>
      </c>
      <c r="AP68" s="387">
        <f>SUM(AO57:AO68)-Y23</f>
        <v>0</v>
      </c>
    </row>
    <row r="69" spans="1:42" x14ac:dyDescent="0.35">
      <c r="A69">
        <f>A57+1</f>
        <v>5</v>
      </c>
      <c r="B69">
        <f t="shared" si="15"/>
        <v>49</v>
      </c>
      <c r="E69" s="475">
        <f t="shared" si="1"/>
        <v>1962.9876358985252</v>
      </c>
      <c r="F69" s="484">
        <f t="shared" si="8"/>
        <v>254657.85546791679</v>
      </c>
      <c r="G69" s="144"/>
      <c r="H69" s="485">
        <v>0</v>
      </c>
      <c r="I69" s="144">
        <f t="shared" si="16"/>
        <v>94009.806011511464</v>
      </c>
      <c r="J69" s="484">
        <f t="shared" si="9"/>
        <v>1918.5674696226843</v>
      </c>
      <c r="K69" s="144"/>
      <c r="L69" s="475">
        <f t="shared" si="2"/>
        <v>348667.66147942824</v>
      </c>
      <c r="M69" s="486">
        <f t="shared" si="10"/>
        <v>1598.0601151140459</v>
      </c>
      <c r="O69" s="487">
        <f t="shared" si="3"/>
        <v>364.92752078447938</v>
      </c>
      <c r="AJ69" s="323">
        <f t="shared" si="6"/>
        <v>2122.1487955659732</v>
      </c>
      <c r="AK69" s="323">
        <f t="shared" si="11"/>
        <v>0</v>
      </c>
      <c r="AL69" s="323">
        <f t="shared" si="7"/>
        <v>159.161159667448</v>
      </c>
      <c r="AM69" s="323">
        <f t="shared" si="12"/>
        <v>0</v>
      </c>
      <c r="AN69" s="323">
        <f t="shared" si="13"/>
        <v>159.161159667448</v>
      </c>
      <c r="AO69" s="323">
        <f t="shared" si="14"/>
        <v>1962.9876358985252</v>
      </c>
    </row>
    <row r="70" spans="1:42" ht="19.350000000000001" customHeight="1" thickBot="1" x14ac:dyDescent="0.4">
      <c r="B70">
        <f t="shared" si="15"/>
        <v>50</v>
      </c>
      <c r="E70" s="475">
        <f t="shared" si="1"/>
        <v>1962.9876358985252</v>
      </c>
      <c r="F70" s="484">
        <f t="shared" si="8"/>
        <v>254657.85546791679</v>
      </c>
      <c r="G70" s="144"/>
      <c r="H70" s="485">
        <v>0</v>
      </c>
      <c r="I70" s="144">
        <f t="shared" si="16"/>
        <v>95928.373481134142</v>
      </c>
      <c r="J70" s="484">
        <f t="shared" si="9"/>
        <v>1918.5674696226843</v>
      </c>
      <c r="K70" s="144"/>
      <c r="L70" s="475">
        <f t="shared" si="2"/>
        <v>350586.22894905094</v>
      </c>
      <c r="M70" s="486">
        <f t="shared" si="10"/>
        <v>1606.8535493498166</v>
      </c>
      <c r="O70" s="487">
        <f t="shared" si="3"/>
        <v>356.13408654870864</v>
      </c>
      <c r="T70" s="402"/>
      <c r="AJ70" s="323">
        <f t="shared" si="6"/>
        <v>2122.1487955659732</v>
      </c>
      <c r="AK70" s="323">
        <f t="shared" si="11"/>
        <v>0</v>
      </c>
      <c r="AL70" s="323">
        <f t="shared" si="7"/>
        <v>159.161159667448</v>
      </c>
      <c r="AM70" s="323">
        <f t="shared" si="12"/>
        <v>0</v>
      </c>
      <c r="AN70" s="323">
        <f t="shared" si="13"/>
        <v>159.161159667448</v>
      </c>
      <c r="AO70" s="323">
        <f t="shared" si="14"/>
        <v>1962.9876358985252</v>
      </c>
    </row>
    <row r="71" spans="1:42" ht="15" customHeight="1" thickBot="1" x14ac:dyDescent="0.5">
      <c r="B71">
        <f t="shared" si="15"/>
        <v>51</v>
      </c>
      <c r="E71" s="475">
        <f t="shared" si="1"/>
        <v>1962.9876358985252</v>
      </c>
      <c r="F71" s="484">
        <f t="shared" si="8"/>
        <v>254657.85546791679</v>
      </c>
      <c r="G71" s="144"/>
      <c r="H71" s="485">
        <v>0</v>
      </c>
      <c r="I71" s="144">
        <f t="shared" si="16"/>
        <v>97846.94095075682</v>
      </c>
      <c r="J71" s="484">
        <f t="shared" si="9"/>
        <v>1918.5674696226843</v>
      </c>
      <c r="K71" s="144"/>
      <c r="L71" s="475">
        <f t="shared" si="2"/>
        <v>352504.79641867359</v>
      </c>
      <c r="M71" s="486">
        <f t="shared" si="10"/>
        <v>1615.6469835855869</v>
      </c>
      <c r="O71" s="487">
        <f t="shared" si="3"/>
        <v>347.34065231293835</v>
      </c>
      <c r="Q71" s="841" t="s">
        <v>224</v>
      </c>
      <c r="R71" s="842"/>
      <c r="T71" s="402"/>
      <c r="AJ71" s="323">
        <f t="shared" si="6"/>
        <v>2122.1487955659732</v>
      </c>
      <c r="AK71" s="323">
        <f t="shared" si="11"/>
        <v>0</v>
      </c>
      <c r="AL71" s="323">
        <f t="shared" si="7"/>
        <v>159.161159667448</v>
      </c>
      <c r="AM71" s="323">
        <f t="shared" si="12"/>
        <v>0</v>
      </c>
      <c r="AN71" s="323">
        <f t="shared" si="13"/>
        <v>159.161159667448</v>
      </c>
      <c r="AO71" s="323">
        <f t="shared" si="14"/>
        <v>1962.9876358985252</v>
      </c>
    </row>
    <row r="72" spans="1:42" ht="14.25" x14ac:dyDescent="0.45">
      <c r="B72">
        <f t="shared" si="15"/>
        <v>52</v>
      </c>
      <c r="E72" s="475">
        <f t="shared" si="1"/>
        <v>1962.9876358985252</v>
      </c>
      <c r="F72" s="484">
        <f t="shared" si="8"/>
        <v>254657.85546791679</v>
      </c>
      <c r="G72" s="144"/>
      <c r="H72" s="485">
        <v>0</v>
      </c>
      <c r="I72" s="144">
        <f t="shared" si="16"/>
        <v>99765.508420379498</v>
      </c>
      <c r="J72" s="484">
        <f t="shared" si="9"/>
        <v>1918.5674696226843</v>
      </c>
      <c r="K72" s="144"/>
      <c r="L72" s="475">
        <f t="shared" si="2"/>
        <v>354423.3638882963</v>
      </c>
      <c r="M72" s="486">
        <f t="shared" si="10"/>
        <v>1624.4404178213576</v>
      </c>
      <c r="O72" s="487">
        <f t="shared" si="3"/>
        <v>338.5472180771676</v>
      </c>
      <c r="Q72" s="504"/>
      <c r="R72" s="505"/>
      <c r="AJ72" s="323">
        <f t="shared" si="6"/>
        <v>2122.1487955659732</v>
      </c>
      <c r="AK72" s="323">
        <f t="shared" si="11"/>
        <v>0</v>
      </c>
      <c r="AL72" s="323">
        <f t="shared" si="7"/>
        <v>159.161159667448</v>
      </c>
      <c r="AM72" s="323">
        <f t="shared" si="12"/>
        <v>0</v>
      </c>
      <c r="AN72" s="323">
        <f t="shared" si="13"/>
        <v>159.161159667448</v>
      </c>
      <c r="AO72" s="323">
        <f t="shared" si="14"/>
        <v>1962.9876358985252</v>
      </c>
    </row>
    <row r="73" spans="1:42" ht="14.25" x14ac:dyDescent="0.45">
      <c r="B73">
        <f t="shared" si="15"/>
        <v>53</v>
      </c>
      <c r="E73" s="475">
        <f t="shared" si="1"/>
        <v>1962.9876358985252</v>
      </c>
      <c r="F73" s="484">
        <f t="shared" si="8"/>
        <v>254657.85546791679</v>
      </c>
      <c r="G73" s="144"/>
      <c r="H73" s="485">
        <v>0</v>
      </c>
      <c r="I73" s="144">
        <f t="shared" si="16"/>
        <v>101684.07589000218</v>
      </c>
      <c r="J73" s="484">
        <f t="shared" si="9"/>
        <v>1918.5674696226843</v>
      </c>
      <c r="K73" s="144"/>
      <c r="L73" s="475">
        <f t="shared" si="2"/>
        <v>356341.93135791895</v>
      </c>
      <c r="M73" s="486">
        <f t="shared" si="10"/>
        <v>1633.2338520571282</v>
      </c>
      <c r="O73" s="487">
        <f t="shared" si="3"/>
        <v>329.75378384139708</v>
      </c>
      <c r="Q73" s="506" t="s">
        <v>225</v>
      </c>
      <c r="R73" s="507">
        <f>FV($C$8,5,,-$C$5)</f>
        <v>912489.67680000025</v>
      </c>
      <c r="T73" s="402"/>
      <c r="AJ73" s="323">
        <f t="shared" si="6"/>
        <v>2122.1487955659732</v>
      </c>
      <c r="AK73" s="323">
        <f t="shared" si="11"/>
        <v>0</v>
      </c>
      <c r="AL73" s="323">
        <f t="shared" si="7"/>
        <v>159.161159667448</v>
      </c>
      <c r="AM73" s="323">
        <f t="shared" si="12"/>
        <v>0</v>
      </c>
      <c r="AN73" s="323">
        <f t="shared" si="13"/>
        <v>159.161159667448</v>
      </c>
      <c r="AO73" s="323">
        <f t="shared" si="14"/>
        <v>1962.9876358985252</v>
      </c>
    </row>
    <row r="74" spans="1:42" ht="14.25" x14ac:dyDescent="0.45">
      <c r="B74">
        <f t="shared" si="15"/>
        <v>54</v>
      </c>
      <c r="E74" s="475">
        <f t="shared" si="1"/>
        <v>1962.9876358985252</v>
      </c>
      <c r="F74" s="484">
        <f t="shared" si="8"/>
        <v>254657.85546791679</v>
      </c>
      <c r="G74" s="144"/>
      <c r="H74" s="485">
        <v>0</v>
      </c>
      <c r="I74" s="144">
        <f t="shared" si="16"/>
        <v>103602.64335962485</v>
      </c>
      <c r="J74" s="484">
        <f t="shared" si="9"/>
        <v>1918.5674696226843</v>
      </c>
      <c r="K74" s="144"/>
      <c r="L74" s="475">
        <f t="shared" si="2"/>
        <v>358260.49882754165</v>
      </c>
      <c r="M74" s="486">
        <f t="shared" si="10"/>
        <v>1642.0272862928989</v>
      </c>
      <c r="O74" s="487">
        <f t="shared" si="3"/>
        <v>320.96034960562633</v>
      </c>
      <c r="Q74" s="506" t="s">
        <v>226</v>
      </c>
      <c r="R74" s="508">
        <f>-$C$7</f>
        <v>-600000</v>
      </c>
      <c r="T74" s="402"/>
      <c r="AJ74" s="323">
        <f t="shared" si="6"/>
        <v>2122.1487955659732</v>
      </c>
      <c r="AK74" s="323">
        <f t="shared" si="11"/>
        <v>0</v>
      </c>
      <c r="AL74" s="323">
        <f t="shared" si="7"/>
        <v>159.161159667448</v>
      </c>
      <c r="AM74" s="323">
        <f t="shared" si="12"/>
        <v>0</v>
      </c>
      <c r="AN74" s="323">
        <f t="shared" si="13"/>
        <v>159.161159667448</v>
      </c>
      <c r="AO74" s="323">
        <f t="shared" si="14"/>
        <v>1962.9876358985252</v>
      </c>
    </row>
    <row r="75" spans="1:42" ht="14.25" x14ac:dyDescent="0.45">
      <c r="B75">
        <f t="shared" si="15"/>
        <v>55</v>
      </c>
      <c r="E75" s="475">
        <f t="shared" si="1"/>
        <v>1962.9876358985252</v>
      </c>
      <c r="F75" s="484">
        <f t="shared" si="8"/>
        <v>254657.85546791679</v>
      </c>
      <c r="G75" s="144"/>
      <c r="H75" s="485">
        <v>0</v>
      </c>
      <c r="I75" s="144">
        <f t="shared" si="16"/>
        <v>105521.21082924753</v>
      </c>
      <c r="J75" s="484">
        <f t="shared" si="9"/>
        <v>1918.5674696226843</v>
      </c>
      <c r="K75" s="144"/>
      <c r="L75" s="475">
        <f t="shared" si="2"/>
        <v>360179.0662971643</v>
      </c>
      <c r="M75" s="486">
        <f t="shared" si="10"/>
        <v>1650.8207205286694</v>
      </c>
      <c r="O75" s="487">
        <f t="shared" si="3"/>
        <v>312.16691536985581</v>
      </c>
      <c r="Q75" s="506" t="s">
        <v>227</v>
      </c>
      <c r="R75" s="507">
        <f>F80</f>
        <v>254657.85546791679</v>
      </c>
      <c r="T75" s="402"/>
      <c r="AJ75" s="323">
        <f t="shared" si="6"/>
        <v>2122.1487955659732</v>
      </c>
      <c r="AK75" s="323">
        <f t="shared" si="11"/>
        <v>0</v>
      </c>
      <c r="AL75" s="323">
        <f t="shared" si="7"/>
        <v>159.161159667448</v>
      </c>
      <c r="AM75" s="323">
        <f t="shared" si="12"/>
        <v>0</v>
      </c>
      <c r="AN75" s="323">
        <f t="shared" si="13"/>
        <v>159.161159667448</v>
      </c>
      <c r="AO75" s="323">
        <f t="shared" si="14"/>
        <v>1962.9876358985252</v>
      </c>
    </row>
    <row r="76" spans="1:42" ht="14.65" thickBot="1" x14ac:dyDescent="0.5">
      <c r="B76">
        <f t="shared" si="15"/>
        <v>56</v>
      </c>
      <c r="E76" s="475">
        <f t="shared" si="1"/>
        <v>1962.9876358985252</v>
      </c>
      <c r="F76" s="484">
        <f t="shared" si="8"/>
        <v>254657.85546791679</v>
      </c>
      <c r="G76" s="144"/>
      <c r="H76" s="485">
        <v>0</v>
      </c>
      <c r="I76" s="144">
        <f t="shared" si="16"/>
        <v>107439.77829887021</v>
      </c>
      <c r="J76" s="484">
        <f t="shared" si="9"/>
        <v>1918.5674696226843</v>
      </c>
      <c r="K76" s="144"/>
      <c r="L76" s="475">
        <f t="shared" si="2"/>
        <v>362097.63376678701</v>
      </c>
      <c r="M76" s="486">
        <f t="shared" si="10"/>
        <v>1659.6141547644402</v>
      </c>
      <c r="O76" s="487">
        <f t="shared" si="3"/>
        <v>303.37348113408507</v>
      </c>
      <c r="Q76" s="506" t="s">
        <v>228</v>
      </c>
      <c r="R76" s="507">
        <f>$I$18-(SUM(J21:J80))</f>
        <v>230228.09635472263</v>
      </c>
      <c r="T76" s="402"/>
      <c r="AJ76" s="323">
        <f t="shared" si="6"/>
        <v>2122.1487955659732</v>
      </c>
      <c r="AK76" s="323">
        <f t="shared" si="11"/>
        <v>0</v>
      </c>
      <c r="AL76" s="323">
        <f t="shared" si="7"/>
        <v>159.161159667448</v>
      </c>
      <c r="AM76" s="323">
        <f t="shared" si="12"/>
        <v>0</v>
      </c>
      <c r="AN76" s="323">
        <f t="shared" si="13"/>
        <v>159.161159667448</v>
      </c>
      <c r="AO76" s="323">
        <f t="shared" si="14"/>
        <v>1962.9876358985252</v>
      </c>
    </row>
    <row r="77" spans="1:42" ht="14.65" thickBot="1" x14ac:dyDescent="0.5">
      <c r="B77">
        <f t="shared" si="15"/>
        <v>57</v>
      </c>
      <c r="E77" s="475">
        <f t="shared" si="1"/>
        <v>1962.9876358985252</v>
      </c>
      <c r="F77" s="484">
        <f t="shared" si="8"/>
        <v>254657.85546791679</v>
      </c>
      <c r="G77" s="144"/>
      <c r="H77" s="485">
        <v>0</v>
      </c>
      <c r="I77" s="144">
        <f t="shared" si="16"/>
        <v>109358.34576849289</v>
      </c>
      <c r="J77" s="484">
        <f t="shared" si="9"/>
        <v>1918.5674696226843</v>
      </c>
      <c r="K77" s="144"/>
      <c r="L77" s="475">
        <f t="shared" si="2"/>
        <v>364016.20123640966</v>
      </c>
      <c r="M77" s="486">
        <f t="shared" si="10"/>
        <v>1668.4075890002107</v>
      </c>
      <c r="O77" s="487">
        <f t="shared" si="3"/>
        <v>294.58004689831455</v>
      </c>
      <c r="Q77" s="506" t="s">
        <v>175</v>
      </c>
      <c r="R77" s="509">
        <f>SUM(R73:R76)</f>
        <v>797375.62862263969</v>
      </c>
      <c r="T77" s="402"/>
      <c r="AJ77" s="323">
        <f t="shared" si="6"/>
        <v>2122.1487955659732</v>
      </c>
      <c r="AK77" s="323">
        <f t="shared" si="11"/>
        <v>0</v>
      </c>
      <c r="AL77" s="323">
        <f t="shared" si="7"/>
        <v>159.161159667448</v>
      </c>
      <c r="AM77" s="323">
        <f t="shared" si="12"/>
        <v>0</v>
      </c>
      <c r="AN77" s="323">
        <f t="shared" si="13"/>
        <v>159.161159667448</v>
      </c>
      <c r="AO77" s="323">
        <f t="shared" si="14"/>
        <v>1962.9876358985252</v>
      </c>
    </row>
    <row r="78" spans="1:42" ht="14.25" x14ac:dyDescent="0.45">
      <c r="B78">
        <f t="shared" si="15"/>
        <v>58</v>
      </c>
      <c r="E78" s="475">
        <f t="shared" si="1"/>
        <v>1962.9876358985252</v>
      </c>
      <c r="F78" s="484">
        <f t="shared" si="8"/>
        <v>254657.85546791679</v>
      </c>
      <c r="G78" s="144"/>
      <c r="H78" s="485">
        <v>0</v>
      </c>
      <c r="I78" s="144">
        <f t="shared" si="16"/>
        <v>111276.91323811557</v>
      </c>
      <c r="J78" s="484">
        <f t="shared" si="9"/>
        <v>1918.5674696226843</v>
      </c>
      <c r="K78" s="144"/>
      <c r="L78" s="475">
        <f t="shared" si="2"/>
        <v>365934.76870603237</v>
      </c>
      <c r="M78" s="486">
        <f t="shared" si="10"/>
        <v>1677.2010232359814</v>
      </c>
      <c r="O78" s="487">
        <f t="shared" si="3"/>
        <v>285.7866126625438</v>
      </c>
      <c r="Q78" s="506"/>
      <c r="R78" s="510">
        <f>(R77-$C$5)/$C$5</f>
        <v>6.3167504830186252E-2</v>
      </c>
      <c r="T78" s="402"/>
      <c r="AJ78" s="323">
        <f t="shared" si="6"/>
        <v>2122.1487955659732</v>
      </c>
      <c r="AK78" s="323">
        <f t="shared" si="11"/>
        <v>0</v>
      </c>
      <c r="AL78" s="323">
        <f t="shared" si="7"/>
        <v>159.161159667448</v>
      </c>
      <c r="AM78" s="323">
        <f t="shared" si="12"/>
        <v>0</v>
      </c>
      <c r="AN78" s="323">
        <f t="shared" si="13"/>
        <v>159.161159667448</v>
      </c>
      <c r="AO78" s="323">
        <f t="shared" si="14"/>
        <v>1962.9876358985252</v>
      </c>
    </row>
    <row r="79" spans="1:42" ht="28.5" x14ac:dyDescent="0.45">
      <c r="B79">
        <f t="shared" si="15"/>
        <v>59</v>
      </c>
      <c r="E79" s="475">
        <f t="shared" si="1"/>
        <v>1962.9876358985252</v>
      </c>
      <c r="F79" s="484">
        <f t="shared" si="8"/>
        <v>254657.85546791679</v>
      </c>
      <c r="G79" s="144"/>
      <c r="H79" s="485">
        <v>0</v>
      </c>
      <c r="I79" s="144">
        <f t="shared" si="16"/>
        <v>113195.48070773824</v>
      </c>
      <c r="J79" s="484">
        <f t="shared" si="9"/>
        <v>1918.5674696226843</v>
      </c>
      <c r="K79" s="144"/>
      <c r="L79" s="475">
        <f t="shared" si="2"/>
        <v>367853.33617565501</v>
      </c>
      <c r="M79" s="486">
        <f t="shared" si="10"/>
        <v>1685.9944574717517</v>
      </c>
      <c r="O79" s="487">
        <f t="shared" si="3"/>
        <v>276.99317842677351</v>
      </c>
      <c r="Q79" s="511" t="s">
        <v>178</v>
      </c>
      <c r="R79" s="507">
        <f>SUM(J21:J80)</f>
        <v>115114.04817736092</v>
      </c>
      <c r="T79" s="402"/>
      <c r="AJ79" s="323">
        <f t="shared" si="6"/>
        <v>2122.1487955659732</v>
      </c>
      <c r="AK79" s="323">
        <f t="shared" si="11"/>
        <v>0</v>
      </c>
      <c r="AL79" s="323">
        <f t="shared" si="7"/>
        <v>159.161159667448</v>
      </c>
      <c r="AM79" s="323">
        <f t="shared" si="12"/>
        <v>0</v>
      </c>
      <c r="AN79" s="323">
        <f t="shared" si="13"/>
        <v>159.161159667448</v>
      </c>
      <c r="AO79" s="323">
        <f t="shared" si="14"/>
        <v>1962.9876358985252</v>
      </c>
    </row>
    <row r="80" spans="1:42" ht="14.65" thickBot="1" x14ac:dyDescent="0.5">
      <c r="B80" s="512">
        <f t="shared" si="15"/>
        <v>60</v>
      </c>
      <c r="C80" s="512"/>
      <c r="D80" s="512"/>
      <c r="E80" s="513">
        <f t="shared" si="1"/>
        <v>1962.9876358985252</v>
      </c>
      <c r="F80" s="514">
        <f t="shared" si="8"/>
        <v>254657.85546791679</v>
      </c>
      <c r="G80" s="515"/>
      <c r="H80" s="516">
        <v>0</v>
      </c>
      <c r="I80" s="515">
        <f t="shared" si="16"/>
        <v>115114.04817736092</v>
      </c>
      <c r="J80" s="514">
        <f t="shared" si="9"/>
        <v>1918.5674696226843</v>
      </c>
      <c r="K80" s="515"/>
      <c r="L80" s="513">
        <f>$F$17+I80</f>
        <v>369771.90364527772</v>
      </c>
      <c r="M80" s="517">
        <f t="shared" si="10"/>
        <v>1694.7878917075225</v>
      </c>
      <c r="N80" s="512"/>
      <c r="O80" s="518">
        <f t="shared" si="3"/>
        <v>268.19974419100276</v>
      </c>
      <c r="Q80" s="519" t="s">
        <v>182</v>
      </c>
      <c r="R80" s="520">
        <f>SUM(O21:O80)</f>
        <v>31656.363248774152</v>
      </c>
      <c r="T80" s="402"/>
      <c r="AJ80" s="323">
        <f t="shared" si="6"/>
        <v>2122.1487955659732</v>
      </c>
      <c r="AK80" s="323">
        <f t="shared" si="11"/>
        <v>0</v>
      </c>
      <c r="AL80" s="323">
        <f t="shared" si="7"/>
        <v>159.161159667448</v>
      </c>
      <c r="AM80" s="323">
        <f t="shared" si="12"/>
        <v>0</v>
      </c>
      <c r="AN80" s="323">
        <f t="shared" si="13"/>
        <v>159.161159667448</v>
      </c>
      <c r="AO80" s="323">
        <f t="shared" si="14"/>
        <v>1962.9876358985252</v>
      </c>
      <c r="AP80" s="387">
        <f>SUM(AO69:AO80)-Y24</f>
        <v>0</v>
      </c>
    </row>
    <row r="81" spans="1:42" x14ac:dyDescent="0.35">
      <c r="A81">
        <f>A69+1</f>
        <v>6</v>
      </c>
      <c r="B81">
        <f t="shared" si="15"/>
        <v>61</v>
      </c>
      <c r="E81" s="475">
        <f t="shared" si="1"/>
        <v>1962.9876358985252</v>
      </c>
      <c r="F81" s="484">
        <f t="shared" si="8"/>
        <v>254657.85546791679</v>
      </c>
      <c r="G81" s="144"/>
      <c r="H81" s="485">
        <v>0</v>
      </c>
      <c r="I81" s="144">
        <f t="shared" si="16"/>
        <v>117032.6156469836</v>
      </c>
      <c r="J81" s="484">
        <f t="shared" si="9"/>
        <v>1918.5674696226843</v>
      </c>
      <c r="K81" s="144"/>
      <c r="L81" s="475">
        <f t="shared" si="2"/>
        <v>371690.47111490037</v>
      </c>
      <c r="M81" s="486">
        <f t="shared" si="10"/>
        <v>1703.581325943293</v>
      </c>
      <c r="O81" s="487">
        <f t="shared" si="3"/>
        <v>259.40630995523225</v>
      </c>
      <c r="AJ81" s="323">
        <f t="shared" si="6"/>
        <v>2122.1487955659732</v>
      </c>
      <c r="AK81" s="323">
        <f t="shared" si="11"/>
        <v>0</v>
      </c>
      <c r="AL81" s="323">
        <f t="shared" si="7"/>
        <v>159.161159667448</v>
      </c>
      <c r="AM81" s="323">
        <f t="shared" si="12"/>
        <v>0</v>
      </c>
      <c r="AN81" s="323">
        <f t="shared" si="13"/>
        <v>159.161159667448</v>
      </c>
      <c r="AO81" s="323">
        <f t="shared" si="14"/>
        <v>1962.9876358985252</v>
      </c>
    </row>
    <row r="82" spans="1:42" x14ac:dyDescent="0.35">
      <c r="B82">
        <f t="shared" si="15"/>
        <v>62</v>
      </c>
      <c r="E82" s="475">
        <f t="shared" si="1"/>
        <v>1962.9876358985252</v>
      </c>
      <c r="F82" s="484">
        <f t="shared" si="8"/>
        <v>254657.85546791679</v>
      </c>
      <c r="G82" s="144"/>
      <c r="H82" s="485">
        <v>0</v>
      </c>
      <c r="I82" s="144">
        <f t="shared" si="16"/>
        <v>118951.18311660628</v>
      </c>
      <c r="J82" s="484">
        <f t="shared" si="9"/>
        <v>1918.5674696226843</v>
      </c>
      <c r="K82" s="144"/>
      <c r="L82" s="475">
        <f t="shared" si="2"/>
        <v>373609.03858452308</v>
      </c>
      <c r="M82" s="486">
        <f t="shared" si="10"/>
        <v>1712.3747601790637</v>
      </c>
      <c r="O82" s="487">
        <f t="shared" si="3"/>
        <v>250.6128757194615</v>
      </c>
      <c r="AJ82" s="323">
        <f t="shared" si="6"/>
        <v>2122.1487955659732</v>
      </c>
      <c r="AK82" s="323">
        <f t="shared" si="11"/>
        <v>0</v>
      </c>
      <c r="AL82" s="323">
        <f t="shared" si="7"/>
        <v>159.161159667448</v>
      </c>
      <c r="AM82" s="323">
        <f t="shared" si="12"/>
        <v>0</v>
      </c>
      <c r="AN82" s="323">
        <f t="shared" si="13"/>
        <v>159.161159667448</v>
      </c>
      <c r="AO82" s="323">
        <f t="shared" si="14"/>
        <v>1962.9876358985252</v>
      </c>
    </row>
    <row r="83" spans="1:42" x14ac:dyDescent="0.35">
      <c r="B83">
        <f t="shared" si="15"/>
        <v>63</v>
      </c>
      <c r="E83" s="475">
        <f t="shared" si="1"/>
        <v>1962.9876358985252</v>
      </c>
      <c r="F83" s="484">
        <f t="shared" si="8"/>
        <v>254657.85546791679</v>
      </c>
      <c r="G83" s="144"/>
      <c r="H83" s="485">
        <v>0</v>
      </c>
      <c r="I83" s="144">
        <f t="shared" si="16"/>
        <v>120869.75058622895</v>
      </c>
      <c r="J83" s="484">
        <f t="shared" si="9"/>
        <v>1918.5674696226843</v>
      </c>
      <c r="K83" s="144"/>
      <c r="L83" s="475">
        <f t="shared" si="2"/>
        <v>375527.60605414573</v>
      </c>
      <c r="M83" s="486">
        <f t="shared" si="10"/>
        <v>1721.1681944148343</v>
      </c>
      <c r="O83" s="487">
        <f t="shared" si="3"/>
        <v>241.81944148369098</v>
      </c>
      <c r="AJ83" s="323">
        <f t="shared" si="6"/>
        <v>2122.1487955659732</v>
      </c>
      <c r="AK83" s="323">
        <f t="shared" si="11"/>
        <v>0</v>
      </c>
      <c r="AL83" s="323">
        <f t="shared" si="7"/>
        <v>159.161159667448</v>
      </c>
      <c r="AM83" s="323">
        <f t="shared" si="12"/>
        <v>0</v>
      </c>
      <c r="AN83" s="323">
        <f t="shared" si="13"/>
        <v>159.161159667448</v>
      </c>
      <c r="AO83" s="323">
        <f t="shared" si="14"/>
        <v>1962.9876358985252</v>
      </c>
    </row>
    <row r="84" spans="1:42" x14ac:dyDescent="0.35">
      <c r="B84">
        <f t="shared" si="15"/>
        <v>64</v>
      </c>
      <c r="E84" s="475">
        <f t="shared" si="1"/>
        <v>1962.9876358985252</v>
      </c>
      <c r="F84" s="484">
        <f t="shared" si="8"/>
        <v>254657.85546791679</v>
      </c>
      <c r="G84" s="144"/>
      <c r="H84" s="485">
        <v>0</v>
      </c>
      <c r="I84" s="144">
        <f t="shared" si="16"/>
        <v>122788.31805585163</v>
      </c>
      <c r="J84" s="484">
        <f t="shared" si="9"/>
        <v>1918.5674696226843</v>
      </c>
      <c r="K84" s="144"/>
      <c r="L84" s="475">
        <f t="shared" si="2"/>
        <v>377446.17352376843</v>
      </c>
      <c r="M84" s="486">
        <f t="shared" si="10"/>
        <v>1729.961628650605</v>
      </c>
      <c r="O84" s="487">
        <f t="shared" si="3"/>
        <v>233.02600724792023</v>
      </c>
      <c r="AJ84" s="323">
        <f t="shared" si="6"/>
        <v>2122.1487955659732</v>
      </c>
      <c r="AK84" s="323">
        <f t="shared" si="11"/>
        <v>0</v>
      </c>
      <c r="AL84" s="323">
        <f t="shared" si="7"/>
        <v>159.161159667448</v>
      </c>
      <c r="AM84" s="323">
        <f t="shared" si="12"/>
        <v>0</v>
      </c>
      <c r="AN84" s="323">
        <f t="shared" si="13"/>
        <v>159.161159667448</v>
      </c>
      <c r="AO84" s="323">
        <f t="shared" si="14"/>
        <v>1962.9876358985252</v>
      </c>
    </row>
    <row r="85" spans="1:42" x14ac:dyDescent="0.35">
      <c r="B85">
        <f t="shared" si="15"/>
        <v>65</v>
      </c>
      <c r="E85" s="475">
        <f t="shared" ref="E85:E148" si="18">(F85*($E$12/12))</f>
        <v>1962.9876358985252</v>
      </c>
      <c r="F85" s="484">
        <f t="shared" si="8"/>
        <v>254657.85546791679</v>
      </c>
      <c r="G85" s="144"/>
      <c r="H85" s="485">
        <v>0</v>
      </c>
      <c r="I85" s="144">
        <f t="shared" si="16"/>
        <v>124706.88552547431</v>
      </c>
      <c r="J85" s="484">
        <f t="shared" si="9"/>
        <v>1918.5674696226843</v>
      </c>
      <c r="K85" s="144"/>
      <c r="L85" s="475">
        <f t="shared" ref="L85:L148" si="19">$F$17+I85</f>
        <v>379364.74099339108</v>
      </c>
      <c r="M85" s="486">
        <f t="shared" si="10"/>
        <v>1738.7550628863755</v>
      </c>
      <c r="O85" s="487">
        <f t="shared" ref="O85:O148" si="20">E85+H85-M85</f>
        <v>224.23257301214971</v>
      </c>
      <c r="AJ85" s="323">
        <f t="shared" ref="AJ85:AJ148" si="21">F85*(($E$9+$E$10)/12)</f>
        <v>2122.1487955659732</v>
      </c>
      <c r="AK85" s="323">
        <f t="shared" si="11"/>
        <v>0</v>
      </c>
      <c r="AL85" s="323">
        <f t="shared" ref="AL85:AL148" si="22">F85*(-$E$11/12)</f>
        <v>159.161159667448</v>
      </c>
      <c r="AM85" s="323">
        <f t="shared" si="12"/>
        <v>0</v>
      </c>
      <c r="AN85" s="323">
        <f t="shared" si="13"/>
        <v>159.161159667448</v>
      </c>
      <c r="AO85" s="323">
        <f t="shared" si="14"/>
        <v>1962.9876358985252</v>
      </c>
    </row>
    <row r="86" spans="1:42" x14ac:dyDescent="0.35">
      <c r="B86">
        <f t="shared" si="15"/>
        <v>66</v>
      </c>
      <c r="E86" s="475">
        <f t="shared" si="18"/>
        <v>1962.9876358985252</v>
      </c>
      <c r="F86" s="484">
        <f t="shared" ref="F86:F149" si="23">$E$6</f>
        <v>254657.85546791679</v>
      </c>
      <c r="G86" s="144"/>
      <c r="H86" s="485">
        <v>0</v>
      </c>
      <c r="I86" s="144">
        <f t="shared" si="16"/>
        <v>126625.45299509699</v>
      </c>
      <c r="J86" s="484">
        <f t="shared" ref="J86:J149" si="24">$H$6/180</f>
        <v>1918.5674696226843</v>
      </c>
      <c r="K86" s="144"/>
      <c r="L86" s="475">
        <f t="shared" si="19"/>
        <v>381283.30846301379</v>
      </c>
      <c r="M86" s="486">
        <f t="shared" ref="M86:M149" si="25">(L86*(($M$9+$M$10+$M$11)/12))+($M$14)/12</f>
        <v>1747.5484971221463</v>
      </c>
      <c r="O86" s="487">
        <f t="shared" si="20"/>
        <v>215.43913877637897</v>
      </c>
      <c r="AJ86" s="323">
        <f t="shared" si="21"/>
        <v>2122.1487955659732</v>
      </c>
      <c r="AK86" s="323">
        <f t="shared" ref="AK86:AK149" si="26">$I$17*(($H$9+$H$10)/12)</f>
        <v>0</v>
      </c>
      <c r="AL86" s="323">
        <f t="shared" si="22"/>
        <v>159.161159667448</v>
      </c>
      <c r="AM86" s="323">
        <f t="shared" ref="AM86:AM149" si="27">$I$17*(-$H$11/12)</f>
        <v>0</v>
      </c>
      <c r="AN86" s="323">
        <f t="shared" ref="AN86:AN149" si="28">AL86+AM86</f>
        <v>159.161159667448</v>
      </c>
      <c r="AO86" s="323">
        <f t="shared" ref="AO86:AO149" si="29">AJ86+AK86-AN86</f>
        <v>1962.9876358985252</v>
      </c>
    </row>
    <row r="87" spans="1:42" x14ac:dyDescent="0.35">
      <c r="B87">
        <f t="shared" ref="B87:B150" si="30">B86+1</f>
        <v>67</v>
      </c>
      <c r="E87" s="475">
        <f t="shared" si="18"/>
        <v>1962.9876358985252</v>
      </c>
      <c r="F87" s="484">
        <f t="shared" si="23"/>
        <v>254657.85546791679</v>
      </c>
      <c r="G87" s="144"/>
      <c r="H87" s="485">
        <v>0</v>
      </c>
      <c r="I87" s="144">
        <f t="shared" si="16"/>
        <v>128544.02046471967</v>
      </c>
      <c r="J87" s="484">
        <f t="shared" si="24"/>
        <v>1918.5674696226843</v>
      </c>
      <c r="K87" s="144"/>
      <c r="L87" s="475">
        <f t="shared" si="19"/>
        <v>383201.87593263644</v>
      </c>
      <c r="M87" s="486">
        <f t="shared" si="25"/>
        <v>1756.3419313579168</v>
      </c>
      <c r="O87" s="487">
        <f t="shared" si="20"/>
        <v>206.64570454060845</v>
      </c>
      <c r="AJ87" s="323">
        <f t="shared" si="21"/>
        <v>2122.1487955659732</v>
      </c>
      <c r="AK87" s="323">
        <f t="shared" si="26"/>
        <v>0</v>
      </c>
      <c r="AL87" s="323">
        <f t="shared" si="22"/>
        <v>159.161159667448</v>
      </c>
      <c r="AM87" s="323">
        <f t="shared" si="27"/>
        <v>0</v>
      </c>
      <c r="AN87" s="323">
        <f t="shared" si="28"/>
        <v>159.161159667448</v>
      </c>
      <c r="AO87" s="323">
        <f t="shared" si="29"/>
        <v>1962.9876358985252</v>
      </c>
    </row>
    <row r="88" spans="1:42" x14ac:dyDescent="0.35">
      <c r="B88">
        <f t="shared" si="30"/>
        <v>68</v>
      </c>
      <c r="E88" s="475">
        <f t="shared" si="18"/>
        <v>1962.9876358985252</v>
      </c>
      <c r="F88" s="484">
        <f t="shared" si="23"/>
        <v>254657.85546791679</v>
      </c>
      <c r="G88" s="144"/>
      <c r="H88" s="485">
        <v>0</v>
      </c>
      <c r="I88" s="144">
        <f t="shared" ref="I88:I151" si="31">I87+J88</f>
        <v>130462.58793434234</v>
      </c>
      <c r="J88" s="484">
        <f t="shared" si="24"/>
        <v>1918.5674696226843</v>
      </c>
      <c r="K88" s="144"/>
      <c r="L88" s="475">
        <f t="shared" si="19"/>
        <v>385120.44340225914</v>
      </c>
      <c r="M88" s="486">
        <f t="shared" si="25"/>
        <v>1765.1353655936873</v>
      </c>
      <c r="O88" s="487">
        <f t="shared" si="20"/>
        <v>197.85227030483793</v>
      </c>
      <c r="AJ88" s="323">
        <f t="shared" si="21"/>
        <v>2122.1487955659732</v>
      </c>
      <c r="AK88" s="323">
        <f t="shared" si="26"/>
        <v>0</v>
      </c>
      <c r="AL88" s="323">
        <f t="shared" si="22"/>
        <v>159.161159667448</v>
      </c>
      <c r="AM88" s="323">
        <f t="shared" si="27"/>
        <v>0</v>
      </c>
      <c r="AN88" s="323">
        <f t="shared" si="28"/>
        <v>159.161159667448</v>
      </c>
      <c r="AO88" s="323">
        <f t="shared" si="29"/>
        <v>1962.9876358985252</v>
      </c>
    </row>
    <row r="89" spans="1:42" x14ac:dyDescent="0.35">
      <c r="B89">
        <f>B88+1</f>
        <v>69</v>
      </c>
      <c r="E89" s="475">
        <f t="shared" si="18"/>
        <v>1962.9876358985252</v>
      </c>
      <c r="F89" s="484">
        <f t="shared" si="23"/>
        <v>254657.85546791679</v>
      </c>
      <c r="G89" s="144"/>
      <c r="H89" s="485">
        <v>0</v>
      </c>
      <c r="I89" s="144">
        <f t="shared" si="31"/>
        <v>132381.15540396504</v>
      </c>
      <c r="J89" s="484">
        <f t="shared" si="24"/>
        <v>1918.5674696226843</v>
      </c>
      <c r="K89" s="144"/>
      <c r="L89" s="475">
        <f t="shared" si="19"/>
        <v>387039.01087188185</v>
      </c>
      <c r="M89" s="486">
        <f t="shared" si="25"/>
        <v>1773.9287998294581</v>
      </c>
      <c r="O89" s="487">
        <f t="shared" si="20"/>
        <v>189.05883606906718</v>
      </c>
      <c r="AJ89" s="323">
        <f t="shared" si="21"/>
        <v>2122.1487955659732</v>
      </c>
      <c r="AK89" s="323">
        <f t="shared" si="26"/>
        <v>0</v>
      </c>
      <c r="AL89" s="323">
        <f t="shared" si="22"/>
        <v>159.161159667448</v>
      </c>
      <c r="AM89" s="323">
        <f t="shared" si="27"/>
        <v>0</v>
      </c>
      <c r="AN89" s="323">
        <f t="shared" si="28"/>
        <v>159.161159667448</v>
      </c>
      <c r="AO89" s="323">
        <f t="shared" si="29"/>
        <v>1962.9876358985252</v>
      </c>
    </row>
    <row r="90" spans="1:42" x14ac:dyDescent="0.35">
      <c r="B90">
        <f t="shared" si="30"/>
        <v>70</v>
      </c>
      <c r="E90" s="475">
        <f t="shared" si="18"/>
        <v>1962.9876358985252</v>
      </c>
      <c r="F90" s="484">
        <f t="shared" si="23"/>
        <v>254657.85546791679</v>
      </c>
      <c r="G90" s="144"/>
      <c r="H90" s="485">
        <v>0</v>
      </c>
      <c r="I90" s="144">
        <f t="shared" si="31"/>
        <v>134299.72287358771</v>
      </c>
      <c r="J90" s="484">
        <f t="shared" si="24"/>
        <v>1918.5674696226843</v>
      </c>
      <c r="K90" s="144"/>
      <c r="L90" s="475">
        <f t="shared" si="19"/>
        <v>388957.5783415045</v>
      </c>
      <c r="M90" s="486">
        <f t="shared" si="25"/>
        <v>1782.7222340652286</v>
      </c>
      <c r="O90" s="487">
        <f t="shared" si="20"/>
        <v>180.26540183329666</v>
      </c>
      <c r="AJ90" s="323">
        <f t="shared" si="21"/>
        <v>2122.1487955659732</v>
      </c>
      <c r="AK90" s="323">
        <f t="shared" si="26"/>
        <v>0</v>
      </c>
      <c r="AL90" s="323">
        <f t="shared" si="22"/>
        <v>159.161159667448</v>
      </c>
      <c r="AM90" s="323">
        <f t="shared" si="27"/>
        <v>0</v>
      </c>
      <c r="AN90" s="323">
        <f t="shared" si="28"/>
        <v>159.161159667448</v>
      </c>
      <c r="AO90" s="323">
        <f t="shared" si="29"/>
        <v>1962.9876358985252</v>
      </c>
    </row>
    <row r="91" spans="1:42" x14ac:dyDescent="0.35">
      <c r="B91">
        <f t="shared" si="30"/>
        <v>71</v>
      </c>
      <c r="E91" s="475">
        <f t="shared" si="18"/>
        <v>1962.9876358985252</v>
      </c>
      <c r="F91" s="484">
        <f t="shared" si="23"/>
        <v>254657.85546791679</v>
      </c>
      <c r="G91" s="144"/>
      <c r="H91" s="485">
        <v>0</v>
      </c>
      <c r="I91" s="144">
        <f t="shared" si="31"/>
        <v>136218.29034321039</v>
      </c>
      <c r="J91" s="484">
        <f t="shared" si="24"/>
        <v>1918.5674696226843</v>
      </c>
      <c r="K91" s="144"/>
      <c r="L91" s="475">
        <f t="shared" si="19"/>
        <v>390876.14581112715</v>
      </c>
      <c r="M91" s="486">
        <f t="shared" si="25"/>
        <v>1791.5156683009991</v>
      </c>
      <c r="O91" s="487">
        <f t="shared" si="20"/>
        <v>171.47196759752615</v>
      </c>
      <c r="AJ91" s="323">
        <f t="shared" si="21"/>
        <v>2122.1487955659732</v>
      </c>
      <c r="AK91" s="323">
        <f t="shared" si="26"/>
        <v>0</v>
      </c>
      <c r="AL91" s="323">
        <f t="shared" si="22"/>
        <v>159.161159667448</v>
      </c>
      <c r="AM91" s="323">
        <f t="shared" si="27"/>
        <v>0</v>
      </c>
      <c r="AN91" s="323">
        <f t="shared" si="28"/>
        <v>159.161159667448</v>
      </c>
      <c r="AO91" s="323">
        <f t="shared" si="29"/>
        <v>1962.9876358985252</v>
      </c>
    </row>
    <row r="92" spans="1:42" x14ac:dyDescent="0.35">
      <c r="B92">
        <f t="shared" si="30"/>
        <v>72</v>
      </c>
      <c r="E92" s="475">
        <f t="shared" si="18"/>
        <v>1962.9876358985252</v>
      </c>
      <c r="F92" s="484">
        <f t="shared" si="23"/>
        <v>254657.85546791679</v>
      </c>
      <c r="G92" s="144"/>
      <c r="H92" s="485">
        <v>0</v>
      </c>
      <c r="I92" s="144">
        <f t="shared" si="31"/>
        <v>138136.85781283307</v>
      </c>
      <c r="J92" s="484">
        <f t="shared" si="24"/>
        <v>1918.5674696226843</v>
      </c>
      <c r="K92" s="144"/>
      <c r="L92" s="475">
        <f t="shared" si="19"/>
        <v>392794.71328074986</v>
      </c>
      <c r="M92" s="486">
        <f t="shared" si="25"/>
        <v>1800.3091025367698</v>
      </c>
      <c r="O92" s="487">
        <f t="shared" si="20"/>
        <v>162.6785333617554</v>
      </c>
      <c r="AJ92" s="323">
        <f t="shared" si="21"/>
        <v>2122.1487955659732</v>
      </c>
      <c r="AK92" s="323">
        <f t="shared" si="26"/>
        <v>0</v>
      </c>
      <c r="AL92" s="323">
        <f t="shared" si="22"/>
        <v>159.161159667448</v>
      </c>
      <c r="AM92" s="323">
        <f t="shared" si="27"/>
        <v>0</v>
      </c>
      <c r="AN92" s="323">
        <f t="shared" si="28"/>
        <v>159.161159667448</v>
      </c>
      <c r="AO92" s="323">
        <f t="shared" si="29"/>
        <v>1962.9876358985252</v>
      </c>
      <c r="AP92" s="387">
        <f>SUM(AO81:AO92)-Y25</f>
        <v>0</v>
      </c>
    </row>
    <row r="93" spans="1:42" x14ac:dyDescent="0.35">
      <c r="A93">
        <f>A81+1</f>
        <v>7</v>
      </c>
      <c r="B93">
        <f t="shared" si="30"/>
        <v>73</v>
      </c>
      <c r="E93" s="475">
        <f t="shared" si="18"/>
        <v>1962.9876358985252</v>
      </c>
      <c r="F93" s="484">
        <f t="shared" si="23"/>
        <v>254657.85546791679</v>
      </c>
      <c r="G93" s="144"/>
      <c r="H93" s="485">
        <v>0</v>
      </c>
      <c r="I93" s="144">
        <f t="shared" si="31"/>
        <v>140055.42528245575</v>
      </c>
      <c r="J93" s="484">
        <f t="shared" si="24"/>
        <v>1918.5674696226843</v>
      </c>
      <c r="K93" s="144"/>
      <c r="L93" s="475">
        <f t="shared" si="19"/>
        <v>394713.28075037256</v>
      </c>
      <c r="M93" s="486">
        <f t="shared" si="25"/>
        <v>1809.1025367725406</v>
      </c>
      <c r="O93" s="487">
        <f t="shared" si="20"/>
        <v>153.88509912598465</v>
      </c>
      <c r="AJ93" s="323">
        <f t="shared" si="21"/>
        <v>2122.1487955659732</v>
      </c>
      <c r="AK93" s="323">
        <f t="shared" si="26"/>
        <v>0</v>
      </c>
      <c r="AL93" s="323">
        <f t="shared" si="22"/>
        <v>159.161159667448</v>
      </c>
      <c r="AM93" s="323">
        <f t="shared" si="27"/>
        <v>0</v>
      </c>
      <c r="AN93" s="323">
        <f t="shared" si="28"/>
        <v>159.161159667448</v>
      </c>
      <c r="AO93" s="323">
        <f t="shared" si="29"/>
        <v>1962.9876358985252</v>
      </c>
    </row>
    <row r="94" spans="1:42" x14ac:dyDescent="0.35">
      <c r="B94">
        <f t="shared" si="30"/>
        <v>74</v>
      </c>
      <c r="E94" s="475">
        <f t="shared" si="18"/>
        <v>1962.9876358985252</v>
      </c>
      <c r="F94" s="484">
        <f t="shared" si="23"/>
        <v>254657.85546791679</v>
      </c>
      <c r="G94" s="144"/>
      <c r="H94" s="485">
        <v>0</v>
      </c>
      <c r="I94" s="144">
        <f t="shared" si="31"/>
        <v>141973.99275207843</v>
      </c>
      <c r="J94" s="484">
        <f t="shared" si="24"/>
        <v>1918.5674696226843</v>
      </c>
      <c r="K94" s="144"/>
      <c r="L94" s="475">
        <f t="shared" si="19"/>
        <v>396631.84821999521</v>
      </c>
      <c r="M94" s="486">
        <f t="shared" si="25"/>
        <v>1817.8959710083111</v>
      </c>
      <c r="O94" s="487">
        <f t="shared" si="20"/>
        <v>145.09166489021413</v>
      </c>
      <c r="AJ94" s="323">
        <f t="shared" si="21"/>
        <v>2122.1487955659732</v>
      </c>
      <c r="AK94" s="323">
        <f t="shared" si="26"/>
        <v>0</v>
      </c>
      <c r="AL94" s="323">
        <f t="shared" si="22"/>
        <v>159.161159667448</v>
      </c>
      <c r="AM94" s="323">
        <f t="shared" si="27"/>
        <v>0</v>
      </c>
      <c r="AN94" s="323">
        <f t="shared" si="28"/>
        <v>159.161159667448</v>
      </c>
      <c r="AO94" s="323">
        <f t="shared" si="29"/>
        <v>1962.9876358985252</v>
      </c>
    </row>
    <row r="95" spans="1:42" x14ac:dyDescent="0.35">
      <c r="B95">
        <f t="shared" si="30"/>
        <v>75</v>
      </c>
      <c r="E95" s="475">
        <f t="shared" si="18"/>
        <v>1962.9876358985252</v>
      </c>
      <c r="F95" s="484">
        <f t="shared" si="23"/>
        <v>254657.85546791679</v>
      </c>
      <c r="G95" s="144"/>
      <c r="H95" s="485">
        <v>0</v>
      </c>
      <c r="I95" s="144">
        <f t="shared" si="31"/>
        <v>143892.5602217011</v>
      </c>
      <c r="J95" s="484">
        <f t="shared" si="24"/>
        <v>1918.5674696226843</v>
      </c>
      <c r="K95" s="144"/>
      <c r="L95" s="475">
        <f t="shared" si="19"/>
        <v>398550.41568961786</v>
      </c>
      <c r="M95" s="486">
        <f t="shared" si="25"/>
        <v>1826.6894052440816</v>
      </c>
      <c r="O95" s="487">
        <f t="shared" si="20"/>
        <v>136.29823065444361</v>
      </c>
      <c r="AJ95" s="323">
        <f t="shared" si="21"/>
        <v>2122.1487955659732</v>
      </c>
      <c r="AK95" s="323">
        <f t="shared" si="26"/>
        <v>0</v>
      </c>
      <c r="AL95" s="323">
        <f t="shared" si="22"/>
        <v>159.161159667448</v>
      </c>
      <c r="AM95" s="323">
        <f t="shared" si="27"/>
        <v>0</v>
      </c>
      <c r="AN95" s="323">
        <f t="shared" si="28"/>
        <v>159.161159667448</v>
      </c>
      <c r="AO95" s="323">
        <f t="shared" si="29"/>
        <v>1962.9876358985252</v>
      </c>
    </row>
    <row r="96" spans="1:42" x14ac:dyDescent="0.35">
      <c r="B96">
        <f t="shared" si="30"/>
        <v>76</v>
      </c>
      <c r="E96" s="475">
        <f t="shared" si="18"/>
        <v>1962.9876358985252</v>
      </c>
      <c r="F96" s="484">
        <f t="shared" si="23"/>
        <v>254657.85546791679</v>
      </c>
      <c r="G96" s="144"/>
      <c r="H96" s="485">
        <v>0</v>
      </c>
      <c r="I96" s="144">
        <f t="shared" si="31"/>
        <v>145811.12769132378</v>
      </c>
      <c r="J96" s="484">
        <f t="shared" si="24"/>
        <v>1918.5674696226843</v>
      </c>
      <c r="K96" s="144"/>
      <c r="L96" s="475">
        <f t="shared" si="19"/>
        <v>400468.98315924057</v>
      </c>
      <c r="M96" s="486">
        <f t="shared" si="25"/>
        <v>1835.4828394798524</v>
      </c>
      <c r="O96" s="487">
        <f t="shared" si="20"/>
        <v>127.50479641867287</v>
      </c>
      <c r="AJ96" s="323">
        <f t="shared" si="21"/>
        <v>2122.1487955659732</v>
      </c>
      <c r="AK96" s="323">
        <f t="shared" si="26"/>
        <v>0</v>
      </c>
      <c r="AL96" s="323">
        <f t="shared" si="22"/>
        <v>159.161159667448</v>
      </c>
      <c r="AM96" s="323">
        <f t="shared" si="27"/>
        <v>0</v>
      </c>
      <c r="AN96" s="323">
        <f t="shared" si="28"/>
        <v>159.161159667448</v>
      </c>
      <c r="AO96" s="323">
        <f t="shared" si="29"/>
        <v>1962.9876358985252</v>
      </c>
    </row>
    <row r="97" spans="1:42" x14ac:dyDescent="0.35">
      <c r="B97">
        <f t="shared" si="30"/>
        <v>77</v>
      </c>
      <c r="E97" s="475">
        <f t="shared" si="18"/>
        <v>1962.9876358985252</v>
      </c>
      <c r="F97" s="484">
        <f t="shared" si="23"/>
        <v>254657.85546791679</v>
      </c>
      <c r="G97" s="144"/>
      <c r="H97" s="485">
        <v>0</v>
      </c>
      <c r="I97" s="144">
        <f t="shared" si="31"/>
        <v>147729.69516094646</v>
      </c>
      <c r="J97" s="484">
        <f t="shared" si="24"/>
        <v>1918.5674696226843</v>
      </c>
      <c r="K97" s="144"/>
      <c r="L97" s="475">
        <f t="shared" si="19"/>
        <v>402387.55062886328</v>
      </c>
      <c r="M97" s="486">
        <f t="shared" si="25"/>
        <v>1844.2762737156229</v>
      </c>
      <c r="O97" s="487">
        <f t="shared" si="20"/>
        <v>118.71136218290235</v>
      </c>
      <c r="AJ97" s="323">
        <f t="shared" si="21"/>
        <v>2122.1487955659732</v>
      </c>
      <c r="AK97" s="323">
        <f t="shared" si="26"/>
        <v>0</v>
      </c>
      <c r="AL97" s="323">
        <f t="shared" si="22"/>
        <v>159.161159667448</v>
      </c>
      <c r="AM97" s="323">
        <f t="shared" si="27"/>
        <v>0</v>
      </c>
      <c r="AN97" s="323">
        <f t="shared" si="28"/>
        <v>159.161159667448</v>
      </c>
      <c r="AO97" s="323">
        <f t="shared" si="29"/>
        <v>1962.9876358985252</v>
      </c>
    </row>
    <row r="98" spans="1:42" x14ac:dyDescent="0.35">
      <c r="B98">
        <f t="shared" si="30"/>
        <v>78</v>
      </c>
      <c r="E98" s="475">
        <f t="shared" si="18"/>
        <v>1962.9876358985252</v>
      </c>
      <c r="F98" s="484">
        <f t="shared" si="23"/>
        <v>254657.85546791679</v>
      </c>
      <c r="G98" s="144"/>
      <c r="H98" s="485">
        <v>0</v>
      </c>
      <c r="I98" s="144">
        <f t="shared" si="31"/>
        <v>149648.26263056914</v>
      </c>
      <c r="J98" s="484">
        <f t="shared" si="24"/>
        <v>1918.5674696226843</v>
      </c>
      <c r="K98" s="144"/>
      <c r="L98" s="475">
        <f t="shared" si="19"/>
        <v>404306.11809848592</v>
      </c>
      <c r="M98" s="486">
        <f t="shared" si="25"/>
        <v>1853.0697079513934</v>
      </c>
      <c r="O98" s="487">
        <f t="shared" si="20"/>
        <v>109.91792794713183</v>
      </c>
      <c r="AJ98" s="323">
        <f t="shared" si="21"/>
        <v>2122.1487955659732</v>
      </c>
      <c r="AK98" s="323">
        <f t="shared" si="26"/>
        <v>0</v>
      </c>
      <c r="AL98" s="323">
        <f t="shared" si="22"/>
        <v>159.161159667448</v>
      </c>
      <c r="AM98" s="323">
        <f t="shared" si="27"/>
        <v>0</v>
      </c>
      <c r="AN98" s="323">
        <f t="shared" si="28"/>
        <v>159.161159667448</v>
      </c>
      <c r="AO98" s="323">
        <f t="shared" si="29"/>
        <v>1962.9876358985252</v>
      </c>
    </row>
    <row r="99" spans="1:42" x14ac:dyDescent="0.35">
      <c r="B99">
        <f t="shared" si="30"/>
        <v>79</v>
      </c>
      <c r="E99" s="475">
        <f t="shared" si="18"/>
        <v>1962.9876358985252</v>
      </c>
      <c r="F99" s="484">
        <f t="shared" si="23"/>
        <v>254657.85546791679</v>
      </c>
      <c r="G99" s="144"/>
      <c r="H99" s="485">
        <v>0</v>
      </c>
      <c r="I99" s="144">
        <f t="shared" si="31"/>
        <v>151566.83010019182</v>
      </c>
      <c r="J99" s="484">
        <f t="shared" si="24"/>
        <v>1918.5674696226843</v>
      </c>
      <c r="K99" s="144"/>
      <c r="L99" s="475">
        <f t="shared" si="19"/>
        <v>406224.68556810857</v>
      </c>
      <c r="M99" s="486">
        <f t="shared" si="25"/>
        <v>1861.8631421871639</v>
      </c>
      <c r="O99" s="487">
        <f t="shared" si="20"/>
        <v>101.12449371136131</v>
      </c>
      <c r="AJ99" s="323">
        <f t="shared" si="21"/>
        <v>2122.1487955659732</v>
      </c>
      <c r="AK99" s="323">
        <f t="shared" si="26"/>
        <v>0</v>
      </c>
      <c r="AL99" s="323">
        <f t="shared" si="22"/>
        <v>159.161159667448</v>
      </c>
      <c r="AM99" s="323">
        <f t="shared" si="27"/>
        <v>0</v>
      </c>
      <c r="AN99" s="323">
        <f t="shared" si="28"/>
        <v>159.161159667448</v>
      </c>
      <c r="AO99" s="323">
        <f t="shared" si="29"/>
        <v>1962.9876358985252</v>
      </c>
    </row>
    <row r="100" spans="1:42" x14ac:dyDescent="0.35">
      <c r="B100">
        <f t="shared" si="30"/>
        <v>80</v>
      </c>
      <c r="E100" s="475">
        <f t="shared" si="18"/>
        <v>1962.9876358985252</v>
      </c>
      <c r="F100" s="484">
        <f t="shared" si="23"/>
        <v>254657.85546791679</v>
      </c>
      <c r="G100" s="144"/>
      <c r="H100" s="485">
        <v>0</v>
      </c>
      <c r="I100" s="144">
        <f t="shared" si="31"/>
        <v>153485.39756981449</v>
      </c>
      <c r="J100" s="484">
        <f t="shared" si="24"/>
        <v>1918.5674696226843</v>
      </c>
      <c r="K100" s="144"/>
      <c r="L100" s="475">
        <f t="shared" si="19"/>
        <v>408143.25303773128</v>
      </c>
      <c r="M100" s="486">
        <f t="shared" si="25"/>
        <v>1870.6565764229347</v>
      </c>
      <c r="O100" s="487">
        <f t="shared" si="20"/>
        <v>92.331059475590564</v>
      </c>
      <c r="AJ100" s="323">
        <f t="shared" si="21"/>
        <v>2122.1487955659732</v>
      </c>
      <c r="AK100" s="323">
        <f t="shared" si="26"/>
        <v>0</v>
      </c>
      <c r="AL100" s="323">
        <f t="shared" si="22"/>
        <v>159.161159667448</v>
      </c>
      <c r="AM100" s="323">
        <f t="shared" si="27"/>
        <v>0</v>
      </c>
      <c r="AN100" s="323">
        <f t="shared" si="28"/>
        <v>159.161159667448</v>
      </c>
      <c r="AO100" s="323">
        <f t="shared" si="29"/>
        <v>1962.9876358985252</v>
      </c>
    </row>
    <row r="101" spans="1:42" x14ac:dyDescent="0.35">
      <c r="B101">
        <f t="shared" si="30"/>
        <v>81</v>
      </c>
      <c r="E101" s="475">
        <f t="shared" si="18"/>
        <v>1962.9876358985252</v>
      </c>
      <c r="F101" s="484">
        <f t="shared" si="23"/>
        <v>254657.85546791679</v>
      </c>
      <c r="G101" s="144"/>
      <c r="H101" s="485">
        <v>0</v>
      </c>
      <c r="I101" s="144">
        <f t="shared" si="31"/>
        <v>155403.96503943717</v>
      </c>
      <c r="J101" s="484">
        <f t="shared" si="24"/>
        <v>1918.5674696226843</v>
      </c>
      <c r="K101" s="144"/>
      <c r="L101" s="475">
        <f t="shared" si="19"/>
        <v>410061.82050735399</v>
      </c>
      <c r="M101" s="486">
        <f t="shared" si="25"/>
        <v>1879.4500106587054</v>
      </c>
      <c r="O101" s="487">
        <f t="shared" si="20"/>
        <v>83.537625239819818</v>
      </c>
      <c r="AJ101" s="323">
        <f t="shared" si="21"/>
        <v>2122.1487955659732</v>
      </c>
      <c r="AK101" s="323">
        <f t="shared" si="26"/>
        <v>0</v>
      </c>
      <c r="AL101" s="323">
        <f t="shared" si="22"/>
        <v>159.161159667448</v>
      </c>
      <c r="AM101" s="323">
        <f t="shared" si="27"/>
        <v>0</v>
      </c>
      <c r="AN101" s="323">
        <f t="shared" si="28"/>
        <v>159.161159667448</v>
      </c>
      <c r="AO101" s="323">
        <f t="shared" si="29"/>
        <v>1962.9876358985252</v>
      </c>
    </row>
    <row r="102" spans="1:42" x14ac:dyDescent="0.35">
      <c r="B102">
        <f t="shared" si="30"/>
        <v>82</v>
      </c>
      <c r="E102" s="475">
        <f t="shared" si="18"/>
        <v>1962.9876358985252</v>
      </c>
      <c r="F102" s="484">
        <f t="shared" si="23"/>
        <v>254657.85546791679</v>
      </c>
      <c r="G102" s="144"/>
      <c r="H102" s="485">
        <v>0</v>
      </c>
      <c r="I102" s="144">
        <f t="shared" si="31"/>
        <v>157322.53250905985</v>
      </c>
      <c r="J102" s="484">
        <f t="shared" si="24"/>
        <v>1918.5674696226843</v>
      </c>
      <c r="K102" s="144"/>
      <c r="L102" s="475">
        <f t="shared" si="19"/>
        <v>411980.38797697664</v>
      </c>
      <c r="M102" s="486">
        <f t="shared" si="25"/>
        <v>1888.2434448944759</v>
      </c>
      <c r="O102" s="487">
        <f t="shared" si="20"/>
        <v>74.744191004049298</v>
      </c>
      <c r="AJ102" s="323">
        <f t="shared" si="21"/>
        <v>2122.1487955659732</v>
      </c>
      <c r="AK102" s="323">
        <f t="shared" si="26"/>
        <v>0</v>
      </c>
      <c r="AL102" s="323">
        <f t="shared" si="22"/>
        <v>159.161159667448</v>
      </c>
      <c r="AM102" s="323">
        <f t="shared" si="27"/>
        <v>0</v>
      </c>
      <c r="AN102" s="323">
        <f t="shared" si="28"/>
        <v>159.161159667448</v>
      </c>
      <c r="AO102" s="323">
        <f t="shared" si="29"/>
        <v>1962.9876358985252</v>
      </c>
    </row>
    <row r="103" spans="1:42" x14ac:dyDescent="0.35">
      <c r="B103">
        <f t="shared" si="30"/>
        <v>83</v>
      </c>
      <c r="E103" s="475">
        <f t="shared" si="18"/>
        <v>1962.9876358985252</v>
      </c>
      <c r="F103" s="484">
        <f t="shared" si="23"/>
        <v>254657.85546791679</v>
      </c>
      <c r="G103" s="144"/>
      <c r="H103" s="485">
        <v>0</v>
      </c>
      <c r="I103" s="144">
        <f t="shared" si="31"/>
        <v>159241.09997868253</v>
      </c>
      <c r="J103" s="484">
        <f t="shared" si="24"/>
        <v>1918.5674696226843</v>
      </c>
      <c r="K103" s="144"/>
      <c r="L103" s="475">
        <f t="shared" si="19"/>
        <v>413898.95544659928</v>
      </c>
      <c r="M103" s="486">
        <f t="shared" si="25"/>
        <v>1897.0368791302465</v>
      </c>
      <c r="O103" s="487">
        <f t="shared" si="20"/>
        <v>65.950756768278779</v>
      </c>
      <c r="AJ103" s="323">
        <f t="shared" si="21"/>
        <v>2122.1487955659732</v>
      </c>
      <c r="AK103" s="323">
        <f t="shared" si="26"/>
        <v>0</v>
      </c>
      <c r="AL103" s="323">
        <f t="shared" si="22"/>
        <v>159.161159667448</v>
      </c>
      <c r="AM103" s="323">
        <f t="shared" si="27"/>
        <v>0</v>
      </c>
      <c r="AN103" s="323">
        <f t="shared" si="28"/>
        <v>159.161159667448</v>
      </c>
      <c r="AO103" s="323">
        <f t="shared" si="29"/>
        <v>1962.9876358985252</v>
      </c>
    </row>
    <row r="104" spans="1:42" x14ac:dyDescent="0.35">
      <c r="B104">
        <f t="shared" si="30"/>
        <v>84</v>
      </c>
      <c r="E104" s="475">
        <f t="shared" si="18"/>
        <v>1962.9876358985252</v>
      </c>
      <c r="F104" s="484">
        <f t="shared" si="23"/>
        <v>254657.85546791679</v>
      </c>
      <c r="G104" s="144"/>
      <c r="H104" s="485">
        <v>0</v>
      </c>
      <c r="I104" s="144">
        <f t="shared" si="31"/>
        <v>161159.6674483052</v>
      </c>
      <c r="J104" s="484">
        <f t="shared" si="24"/>
        <v>1918.5674696226843</v>
      </c>
      <c r="K104" s="144"/>
      <c r="L104" s="475">
        <f t="shared" si="19"/>
        <v>415817.52291622199</v>
      </c>
      <c r="M104" s="486">
        <f t="shared" si="25"/>
        <v>1905.8303133660172</v>
      </c>
      <c r="O104" s="487">
        <f t="shared" si="20"/>
        <v>57.157322532508033</v>
      </c>
      <c r="AJ104" s="323">
        <f t="shared" si="21"/>
        <v>2122.1487955659732</v>
      </c>
      <c r="AK104" s="323">
        <f t="shared" si="26"/>
        <v>0</v>
      </c>
      <c r="AL104" s="323">
        <f t="shared" si="22"/>
        <v>159.161159667448</v>
      </c>
      <c r="AM104" s="323">
        <f t="shared" si="27"/>
        <v>0</v>
      </c>
      <c r="AN104" s="323">
        <f t="shared" si="28"/>
        <v>159.161159667448</v>
      </c>
      <c r="AO104" s="323">
        <f t="shared" si="29"/>
        <v>1962.9876358985252</v>
      </c>
      <c r="AP104" s="387">
        <f>SUM(AO93:AO104)-Y26</f>
        <v>0</v>
      </c>
    </row>
    <row r="105" spans="1:42" x14ac:dyDescent="0.35">
      <c r="A105">
        <f>A93+1</f>
        <v>8</v>
      </c>
      <c r="B105">
        <f t="shared" si="30"/>
        <v>85</v>
      </c>
      <c r="E105" s="475">
        <f t="shared" si="18"/>
        <v>1962.9876358985252</v>
      </c>
      <c r="F105" s="484">
        <f t="shared" si="23"/>
        <v>254657.85546791679</v>
      </c>
      <c r="G105" s="144"/>
      <c r="H105" s="485">
        <v>0</v>
      </c>
      <c r="I105" s="144">
        <f t="shared" si="31"/>
        <v>163078.23491792788</v>
      </c>
      <c r="J105" s="484">
        <f t="shared" si="24"/>
        <v>1918.5674696226843</v>
      </c>
      <c r="K105" s="144"/>
      <c r="L105" s="475">
        <f t="shared" si="19"/>
        <v>417736.0903858447</v>
      </c>
      <c r="M105" s="486">
        <f t="shared" si="25"/>
        <v>1914.623747601788</v>
      </c>
      <c r="O105" s="487">
        <f t="shared" si="20"/>
        <v>48.363888296737287</v>
      </c>
      <c r="AJ105" s="323">
        <f t="shared" si="21"/>
        <v>2122.1487955659732</v>
      </c>
      <c r="AK105" s="323">
        <f t="shared" si="26"/>
        <v>0</v>
      </c>
      <c r="AL105" s="323">
        <f t="shared" si="22"/>
        <v>159.161159667448</v>
      </c>
      <c r="AM105" s="323">
        <f t="shared" si="27"/>
        <v>0</v>
      </c>
      <c r="AN105" s="323">
        <f t="shared" si="28"/>
        <v>159.161159667448</v>
      </c>
      <c r="AO105" s="323">
        <f t="shared" si="29"/>
        <v>1962.9876358985252</v>
      </c>
    </row>
    <row r="106" spans="1:42" x14ac:dyDescent="0.35">
      <c r="B106">
        <f t="shared" si="30"/>
        <v>86</v>
      </c>
      <c r="E106" s="475">
        <f t="shared" si="18"/>
        <v>1962.9876358985252</v>
      </c>
      <c r="F106" s="484">
        <f t="shared" si="23"/>
        <v>254657.85546791679</v>
      </c>
      <c r="G106" s="144"/>
      <c r="H106" s="485">
        <v>0</v>
      </c>
      <c r="I106" s="144">
        <f t="shared" si="31"/>
        <v>164996.80238755056</v>
      </c>
      <c r="J106" s="484">
        <f t="shared" si="24"/>
        <v>1918.5674696226843</v>
      </c>
      <c r="K106" s="144"/>
      <c r="L106" s="475">
        <f t="shared" si="19"/>
        <v>419654.65785546735</v>
      </c>
      <c r="M106" s="486">
        <f t="shared" si="25"/>
        <v>1923.4171818375582</v>
      </c>
      <c r="O106" s="487">
        <f t="shared" si="20"/>
        <v>39.570454060966995</v>
      </c>
      <c r="AJ106" s="323">
        <f t="shared" si="21"/>
        <v>2122.1487955659732</v>
      </c>
      <c r="AK106" s="323">
        <f t="shared" si="26"/>
        <v>0</v>
      </c>
      <c r="AL106" s="323">
        <f t="shared" si="22"/>
        <v>159.161159667448</v>
      </c>
      <c r="AM106" s="323">
        <f t="shared" si="27"/>
        <v>0</v>
      </c>
      <c r="AN106" s="323">
        <f t="shared" si="28"/>
        <v>159.161159667448</v>
      </c>
      <c r="AO106" s="323">
        <f t="shared" si="29"/>
        <v>1962.9876358985252</v>
      </c>
    </row>
    <row r="107" spans="1:42" x14ac:dyDescent="0.35">
      <c r="B107">
        <f t="shared" si="30"/>
        <v>87</v>
      </c>
      <c r="E107" s="475">
        <f t="shared" si="18"/>
        <v>1962.9876358985252</v>
      </c>
      <c r="F107" s="484">
        <f t="shared" si="23"/>
        <v>254657.85546791679</v>
      </c>
      <c r="G107" s="144"/>
      <c r="H107" s="485">
        <v>0</v>
      </c>
      <c r="I107" s="144">
        <f t="shared" si="31"/>
        <v>166915.36985717324</v>
      </c>
      <c r="J107" s="484">
        <f t="shared" si="24"/>
        <v>1918.5674696226843</v>
      </c>
      <c r="K107" s="144"/>
      <c r="L107" s="475">
        <f t="shared" si="19"/>
        <v>421573.22532509</v>
      </c>
      <c r="M107" s="486">
        <f t="shared" si="25"/>
        <v>1932.2106160733288</v>
      </c>
      <c r="O107" s="487">
        <f t="shared" si="20"/>
        <v>30.777019825196476</v>
      </c>
      <c r="AJ107" s="323">
        <f t="shared" si="21"/>
        <v>2122.1487955659732</v>
      </c>
      <c r="AK107" s="323">
        <f t="shared" si="26"/>
        <v>0</v>
      </c>
      <c r="AL107" s="323">
        <f t="shared" si="22"/>
        <v>159.161159667448</v>
      </c>
      <c r="AM107" s="323">
        <f t="shared" si="27"/>
        <v>0</v>
      </c>
      <c r="AN107" s="323">
        <f t="shared" si="28"/>
        <v>159.161159667448</v>
      </c>
      <c r="AO107" s="323">
        <f t="shared" si="29"/>
        <v>1962.9876358985252</v>
      </c>
    </row>
    <row r="108" spans="1:42" x14ac:dyDescent="0.35">
      <c r="B108">
        <f t="shared" si="30"/>
        <v>88</v>
      </c>
      <c r="E108" s="475">
        <f t="shared" si="18"/>
        <v>1962.9876358985252</v>
      </c>
      <c r="F108" s="484">
        <f t="shared" si="23"/>
        <v>254657.85546791679</v>
      </c>
      <c r="G108" s="144"/>
      <c r="H108" s="485">
        <v>0</v>
      </c>
      <c r="I108" s="144">
        <f t="shared" si="31"/>
        <v>168833.93732679592</v>
      </c>
      <c r="J108" s="484">
        <f t="shared" si="24"/>
        <v>1918.5674696226843</v>
      </c>
      <c r="K108" s="144"/>
      <c r="L108" s="475">
        <f t="shared" si="19"/>
        <v>423491.7927947127</v>
      </c>
      <c r="M108" s="486">
        <f t="shared" si="25"/>
        <v>1941.0040503090995</v>
      </c>
      <c r="O108" s="487">
        <f t="shared" si="20"/>
        <v>21.983585589425729</v>
      </c>
      <c r="AJ108" s="323">
        <f t="shared" si="21"/>
        <v>2122.1487955659732</v>
      </c>
      <c r="AK108" s="323">
        <f t="shared" si="26"/>
        <v>0</v>
      </c>
      <c r="AL108" s="323">
        <f t="shared" si="22"/>
        <v>159.161159667448</v>
      </c>
      <c r="AM108" s="323">
        <f t="shared" si="27"/>
        <v>0</v>
      </c>
      <c r="AN108" s="323">
        <f t="shared" si="28"/>
        <v>159.161159667448</v>
      </c>
      <c r="AO108" s="323">
        <f t="shared" si="29"/>
        <v>1962.9876358985252</v>
      </c>
    </row>
    <row r="109" spans="1:42" x14ac:dyDescent="0.35">
      <c r="B109">
        <f t="shared" si="30"/>
        <v>89</v>
      </c>
      <c r="E109" s="475">
        <f t="shared" si="18"/>
        <v>1962.9876358985252</v>
      </c>
      <c r="F109" s="484">
        <f t="shared" si="23"/>
        <v>254657.85546791679</v>
      </c>
      <c r="G109" s="144"/>
      <c r="H109" s="485">
        <v>0</v>
      </c>
      <c r="I109" s="144">
        <f t="shared" si="31"/>
        <v>170752.50479641859</v>
      </c>
      <c r="J109" s="484">
        <f t="shared" si="24"/>
        <v>1918.5674696226843</v>
      </c>
      <c r="K109" s="144"/>
      <c r="L109" s="475">
        <f t="shared" si="19"/>
        <v>425410.36026433541</v>
      </c>
      <c r="M109" s="486">
        <f t="shared" si="25"/>
        <v>1949.7974845448703</v>
      </c>
      <c r="O109" s="487">
        <f t="shared" si="20"/>
        <v>13.190151353654983</v>
      </c>
      <c r="AJ109" s="323">
        <f t="shared" si="21"/>
        <v>2122.1487955659732</v>
      </c>
      <c r="AK109" s="323">
        <f t="shared" si="26"/>
        <v>0</v>
      </c>
      <c r="AL109" s="323">
        <f t="shared" si="22"/>
        <v>159.161159667448</v>
      </c>
      <c r="AM109" s="323">
        <f t="shared" si="27"/>
        <v>0</v>
      </c>
      <c r="AN109" s="323">
        <f t="shared" si="28"/>
        <v>159.161159667448</v>
      </c>
      <c r="AO109" s="323">
        <f t="shared" si="29"/>
        <v>1962.9876358985252</v>
      </c>
    </row>
    <row r="110" spans="1:42" x14ac:dyDescent="0.35">
      <c r="B110">
        <f t="shared" si="30"/>
        <v>90</v>
      </c>
      <c r="E110" s="475">
        <f t="shared" si="18"/>
        <v>1962.9876358985252</v>
      </c>
      <c r="F110" s="484">
        <f t="shared" si="23"/>
        <v>254657.85546791679</v>
      </c>
      <c r="G110" s="144"/>
      <c r="H110" s="485">
        <v>0</v>
      </c>
      <c r="I110" s="144">
        <f t="shared" si="31"/>
        <v>172671.07226604127</v>
      </c>
      <c r="J110" s="484">
        <f t="shared" si="24"/>
        <v>1918.5674696226843</v>
      </c>
      <c r="K110" s="144"/>
      <c r="L110" s="475">
        <f t="shared" si="19"/>
        <v>427328.92773395806</v>
      </c>
      <c r="M110" s="486">
        <f t="shared" si="25"/>
        <v>1958.5909187806408</v>
      </c>
      <c r="O110" s="487">
        <f t="shared" si="20"/>
        <v>4.3967171178844637</v>
      </c>
      <c r="AJ110" s="323">
        <f t="shared" si="21"/>
        <v>2122.1487955659732</v>
      </c>
      <c r="AK110" s="323">
        <f t="shared" si="26"/>
        <v>0</v>
      </c>
      <c r="AL110" s="323">
        <f t="shared" si="22"/>
        <v>159.161159667448</v>
      </c>
      <c r="AM110" s="323">
        <f t="shared" si="27"/>
        <v>0</v>
      </c>
      <c r="AN110" s="323">
        <f t="shared" si="28"/>
        <v>159.161159667448</v>
      </c>
      <c r="AO110" s="323">
        <f t="shared" si="29"/>
        <v>1962.9876358985252</v>
      </c>
    </row>
    <row r="111" spans="1:42" x14ac:dyDescent="0.35">
      <c r="B111">
        <f t="shared" si="30"/>
        <v>91</v>
      </c>
      <c r="E111" s="475">
        <f t="shared" si="18"/>
        <v>1962.9876358985252</v>
      </c>
      <c r="F111" s="484">
        <f t="shared" si="23"/>
        <v>254657.85546791679</v>
      </c>
      <c r="G111" s="144"/>
      <c r="H111" s="485">
        <v>0</v>
      </c>
      <c r="I111" s="144">
        <f t="shared" si="31"/>
        <v>174589.63973566395</v>
      </c>
      <c r="J111" s="484">
        <f t="shared" si="24"/>
        <v>1918.5674696226843</v>
      </c>
      <c r="K111" s="144"/>
      <c r="L111" s="475">
        <f t="shared" si="19"/>
        <v>429247.49520358071</v>
      </c>
      <c r="M111" s="486">
        <f t="shared" si="25"/>
        <v>1967.3843530164113</v>
      </c>
      <c r="O111" s="487">
        <f t="shared" si="20"/>
        <v>-4.3967171178860553</v>
      </c>
      <c r="AJ111" s="323">
        <f t="shared" si="21"/>
        <v>2122.1487955659732</v>
      </c>
      <c r="AK111" s="323">
        <f t="shared" si="26"/>
        <v>0</v>
      </c>
      <c r="AL111" s="323">
        <f t="shared" si="22"/>
        <v>159.161159667448</v>
      </c>
      <c r="AM111" s="323">
        <f t="shared" si="27"/>
        <v>0</v>
      </c>
      <c r="AN111" s="323">
        <f t="shared" si="28"/>
        <v>159.161159667448</v>
      </c>
      <c r="AO111" s="323">
        <f t="shared" si="29"/>
        <v>1962.9876358985252</v>
      </c>
    </row>
    <row r="112" spans="1:42" x14ac:dyDescent="0.35">
      <c r="B112">
        <f t="shared" si="30"/>
        <v>92</v>
      </c>
      <c r="E112" s="475">
        <f t="shared" si="18"/>
        <v>1962.9876358985252</v>
      </c>
      <c r="F112" s="484">
        <f t="shared" si="23"/>
        <v>254657.85546791679</v>
      </c>
      <c r="G112" s="144"/>
      <c r="H112" s="485">
        <v>0</v>
      </c>
      <c r="I112" s="144">
        <f t="shared" si="31"/>
        <v>176508.20720528663</v>
      </c>
      <c r="J112" s="484">
        <f t="shared" si="24"/>
        <v>1918.5674696226843</v>
      </c>
      <c r="K112" s="144"/>
      <c r="L112" s="475">
        <f t="shared" si="19"/>
        <v>431166.06267320341</v>
      </c>
      <c r="M112" s="486">
        <f t="shared" si="25"/>
        <v>1976.177787252182</v>
      </c>
      <c r="O112" s="487">
        <f t="shared" si="20"/>
        <v>-13.190151353656802</v>
      </c>
      <c r="AJ112" s="323">
        <f t="shared" si="21"/>
        <v>2122.1487955659732</v>
      </c>
      <c r="AK112" s="323">
        <f t="shared" si="26"/>
        <v>0</v>
      </c>
      <c r="AL112" s="323">
        <f t="shared" si="22"/>
        <v>159.161159667448</v>
      </c>
      <c r="AM112" s="323">
        <f t="shared" si="27"/>
        <v>0</v>
      </c>
      <c r="AN112" s="323">
        <f t="shared" si="28"/>
        <v>159.161159667448</v>
      </c>
      <c r="AO112" s="323">
        <f t="shared" si="29"/>
        <v>1962.9876358985252</v>
      </c>
    </row>
    <row r="113" spans="1:42" x14ac:dyDescent="0.35">
      <c r="B113">
        <f t="shared" si="30"/>
        <v>93</v>
      </c>
      <c r="E113" s="475">
        <f t="shared" si="18"/>
        <v>1962.9876358985252</v>
      </c>
      <c r="F113" s="484">
        <f t="shared" si="23"/>
        <v>254657.85546791679</v>
      </c>
      <c r="G113" s="144"/>
      <c r="H113" s="485">
        <v>0</v>
      </c>
      <c r="I113" s="144">
        <f t="shared" si="31"/>
        <v>178426.77467490931</v>
      </c>
      <c r="J113" s="484">
        <f t="shared" si="24"/>
        <v>1918.5674696226843</v>
      </c>
      <c r="K113" s="144"/>
      <c r="L113" s="475">
        <f t="shared" si="19"/>
        <v>433084.63014282612</v>
      </c>
      <c r="M113" s="486">
        <f t="shared" si="25"/>
        <v>1984.9712214879528</v>
      </c>
      <c r="O113" s="487">
        <f t="shared" si="20"/>
        <v>-21.983585589427548</v>
      </c>
      <c r="AJ113" s="323">
        <f t="shared" si="21"/>
        <v>2122.1487955659732</v>
      </c>
      <c r="AK113" s="323">
        <f t="shared" si="26"/>
        <v>0</v>
      </c>
      <c r="AL113" s="323">
        <f t="shared" si="22"/>
        <v>159.161159667448</v>
      </c>
      <c r="AM113" s="323">
        <f t="shared" si="27"/>
        <v>0</v>
      </c>
      <c r="AN113" s="323">
        <f t="shared" si="28"/>
        <v>159.161159667448</v>
      </c>
      <c r="AO113" s="323">
        <f t="shared" si="29"/>
        <v>1962.9876358985252</v>
      </c>
    </row>
    <row r="114" spans="1:42" x14ac:dyDescent="0.35">
      <c r="B114">
        <f t="shared" si="30"/>
        <v>94</v>
      </c>
      <c r="E114" s="475">
        <f t="shared" si="18"/>
        <v>1962.9876358985252</v>
      </c>
      <c r="F114" s="484">
        <f t="shared" si="23"/>
        <v>254657.85546791679</v>
      </c>
      <c r="G114" s="144"/>
      <c r="H114" s="485">
        <v>0</v>
      </c>
      <c r="I114" s="144">
        <f t="shared" si="31"/>
        <v>180345.34214453198</v>
      </c>
      <c r="J114" s="484">
        <f t="shared" si="24"/>
        <v>1918.5674696226843</v>
      </c>
      <c r="K114" s="144"/>
      <c r="L114" s="475">
        <f t="shared" si="19"/>
        <v>435003.19761244877</v>
      </c>
      <c r="M114" s="486">
        <f t="shared" si="25"/>
        <v>1993.7646557237231</v>
      </c>
      <c r="O114" s="487">
        <f t="shared" si="20"/>
        <v>-30.77701982519784</v>
      </c>
      <c r="AJ114" s="323">
        <f t="shared" si="21"/>
        <v>2122.1487955659732</v>
      </c>
      <c r="AK114" s="323">
        <f t="shared" si="26"/>
        <v>0</v>
      </c>
      <c r="AL114" s="323">
        <f t="shared" si="22"/>
        <v>159.161159667448</v>
      </c>
      <c r="AM114" s="323">
        <f t="shared" si="27"/>
        <v>0</v>
      </c>
      <c r="AN114" s="323">
        <f t="shared" si="28"/>
        <v>159.161159667448</v>
      </c>
      <c r="AO114" s="323">
        <f t="shared" si="29"/>
        <v>1962.9876358985252</v>
      </c>
    </row>
    <row r="115" spans="1:42" x14ac:dyDescent="0.35">
      <c r="B115">
        <f t="shared" si="30"/>
        <v>95</v>
      </c>
      <c r="E115" s="475">
        <f t="shared" si="18"/>
        <v>1962.9876358985252</v>
      </c>
      <c r="F115" s="484">
        <f t="shared" si="23"/>
        <v>254657.85546791679</v>
      </c>
      <c r="G115" s="144"/>
      <c r="H115" s="485">
        <v>0</v>
      </c>
      <c r="I115" s="144">
        <f t="shared" si="31"/>
        <v>182263.90961415466</v>
      </c>
      <c r="J115" s="484">
        <f t="shared" si="24"/>
        <v>1918.5674696226843</v>
      </c>
      <c r="K115" s="144"/>
      <c r="L115" s="475">
        <f t="shared" si="19"/>
        <v>436921.76508207142</v>
      </c>
      <c r="M115" s="486">
        <f t="shared" si="25"/>
        <v>2002.5580899594936</v>
      </c>
      <c r="O115" s="487">
        <f t="shared" si="20"/>
        <v>-39.570454060968359</v>
      </c>
      <c r="AJ115" s="323">
        <f t="shared" si="21"/>
        <v>2122.1487955659732</v>
      </c>
      <c r="AK115" s="323">
        <f t="shared" si="26"/>
        <v>0</v>
      </c>
      <c r="AL115" s="323">
        <f t="shared" si="22"/>
        <v>159.161159667448</v>
      </c>
      <c r="AM115" s="323">
        <f t="shared" si="27"/>
        <v>0</v>
      </c>
      <c r="AN115" s="323">
        <f t="shared" si="28"/>
        <v>159.161159667448</v>
      </c>
      <c r="AO115" s="323">
        <f t="shared" si="29"/>
        <v>1962.9876358985252</v>
      </c>
    </row>
    <row r="116" spans="1:42" x14ac:dyDescent="0.35">
      <c r="B116">
        <f t="shared" si="30"/>
        <v>96</v>
      </c>
      <c r="E116" s="475">
        <f t="shared" si="18"/>
        <v>1962.9876358985252</v>
      </c>
      <c r="F116" s="484">
        <f t="shared" si="23"/>
        <v>254657.85546791679</v>
      </c>
      <c r="G116" s="144"/>
      <c r="H116" s="485">
        <v>0</v>
      </c>
      <c r="I116" s="144">
        <f t="shared" si="31"/>
        <v>184182.47708377734</v>
      </c>
      <c r="J116" s="484">
        <f t="shared" si="24"/>
        <v>1918.5674696226843</v>
      </c>
      <c r="K116" s="144"/>
      <c r="L116" s="475">
        <f t="shared" si="19"/>
        <v>438840.33255169413</v>
      </c>
      <c r="M116" s="486">
        <f t="shared" si="25"/>
        <v>2011.3515241952643</v>
      </c>
      <c r="O116" s="487">
        <f t="shared" si="20"/>
        <v>-48.363888296739105</v>
      </c>
      <c r="AJ116" s="323">
        <f t="shared" si="21"/>
        <v>2122.1487955659732</v>
      </c>
      <c r="AK116" s="323">
        <f t="shared" si="26"/>
        <v>0</v>
      </c>
      <c r="AL116" s="323">
        <f t="shared" si="22"/>
        <v>159.161159667448</v>
      </c>
      <c r="AM116" s="323">
        <f t="shared" si="27"/>
        <v>0</v>
      </c>
      <c r="AN116" s="323">
        <f t="shared" si="28"/>
        <v>159.161159667448</v>
      </c>
      <c r="AO116" s="323">
        <f t="shared" si="29"/>
        <v>1962.9876358985252</v>
      </c>
      <c r="AP116" s="387">
        <f>SUM(AO105:AO116)-Y27</f>
        <v>0</v>
      </c>
    </row>
    <row r="117" spans="1:42" x14ac:dyDescent="0.35">
      <c r="A117">
        <f>A105+1</f>
        <v>9</v>
      </c>
      <c r="B117">
        <f t="shared" si="30"/>
        <v>97</v>
      </c>
      <c r="E117" s="475">
        <f t="shared" si="18"/>
        <v>1962.9876358985252</v>
      </c>
      <c r="F117" s="484">
        <f t="shared" si="23"/>
        <v>254657.85546791679</v>
      </c>
      <c r="G117" s="144"/>
      <c r="H117" s="485">
        <v>0</v>
      </c>
      <c r="I117" s="144">
        <f t="shared" si="31"/>
        <v>186101.04455340002</v>
      </c>
      <c r="J117" s="484">
        <f t="shared" si="24"/>
        <v>1918.5674696226843</v>
      </c>
      <c r="K117" s="144"/>
      <c r="L117" s="475">
        <f t="shared" si="19"/>
        <v>440758.90002131683</v>
      </c>
      <c r="M117" s="486">
        <f t="shared" si="25"/>
        <v>2020.1449584310351</v>
      </c>
      <c r="O117" s="487">
        <f t="shared" si="20"/>
        <v>-57.157322532509852</v>
      </c>
      <c r="AJ117" s="323">
        <f t="shared" si="21"/>
        <v>2122.1487955659732</v>
      </c>
      <c r="AK117" s="323">
        <f t="shared" si="26"/>
        <v>0</v>
      </c>
      <c r="AL117" s="323">
        <f t="shared" si="22"/>
        <v>159.161159667448</v>
      </c>
      <c r="AM117" s="323">
        <f t="shared" si="27"/>
        <v>0</v>
      </c>
      <c r="AN117" s="323">
        <f t="shared" si="28"/>
        <v>159.161159667448</v>
      </c>
      <c r="AO117" s="323">
        <f t="shared" si="29"/>
        <v>1962.9876358985252</v>
      </c>
    </row>
    <row r="118" spans="1:42" x14ac:dyDescent="0.35">
      <c r="B118">
        <f t="shared" si="30"/>
        <v>98</v>
      </c>
      <c r="E118" s="475">
        <f t="shared" si="18"/>
        <v>1962.9876358985252</v>
      </c>
      <c r="F118" s="484">
        <f t="shared" si="23"/>
        <v>254657.85546791679</v>
      </c>
      <c r="G118" s="144"/>
      <c r="H118" s="485">
        <v>0</v>
      </c>
      <c r="I118" s="144">
        <f t="shared" si="31"/>
        <v>188019.6120230227</v>
      </c>
      <c r="J118" s="484">
        <f t="shared" si="24"/>
        <v>1918.5674696226843</v>
      </c>
      <c r="K118" s="144"/>
      <c r="L118" s="475">
        <f t="shared" si="19"/>
        <v>442677.46749093948</v>
      </c>
      <c r="M118" s="486">
        <f t="shared" si="25"/>
        <v>2028.9383926668056</v>
      </c>
      <c r="O118" s="487">
        <f t="shared" si="20"/>
        <v>-65.950756768280371</v>
      </c>
      <c r="AJ118" s="323">
        <f t="shared" si="21"/>
        <v>2122.1487955659732</v>
      </c>
      <c r="AK118" s="323">
        <f t="shared" si="26"/>
        <v>0</v>
      </c>
      <c r="AL118" s="323">
        <f t="shared" si="22"/>
        <v>159.161159667448</v>
      </c>
      <c r="AM118" s="323">
        <f t="shared" si="27"/>
        <v>0</v>
      </c>
      <c r="AN118" s="323">
        <f t="shared" si="28"/>
        <v>159.161159667448</v>
      </c>
      <c r="AO118" s="323">
        <f t="shared" si="29"/>
        <v>1962.9876358985252</v>
      </c>
    </row>
    <row r="119" spans="1:42" x14ac:dyDescent="0.35">
      <c r="B119">
        <f t="shared" si="30"/>
        <v>99</v>
      </c>
      <c r="E119" s="475">
        <f t="shared" si="18"/>
        <v>1962.9876358985252</v>
      </c>
      <c r="F119" s="484">
        <f t="shared" si="23"/>
        <v>254657.85546791679</v>
      </c>
      <c r="G119" s="144"/>
      <c r="H119" s="485">
        <v>0</v>
      </c>
      <c r="I119" s="144">
        <f t="shared" si="31"/>
        <v>189938.17949264537</v>
      </c>
      <c r="J119" s="484">
        <f t="shared" si="24"/>
        <v>1918.5674696226843</v>
      </c>
      <c r="K119" s="144"/>
      <c r="L119" s="475">
        <f t="shared" si="19"/>
        <v>444596.03496056213</v>
      </c>
      <c r="M119" s="486">
        <f t="shared" si="25"/>
        <v>2037.7318269025761</v>
      </c>
      <c r="O119" s="487">
        <f t="shared" si="20"/>
        <v>-74.74419100405089</v>
      </c>
      <c r="AJ119" s="323">
        <f t="shared" si="21"/>
        <v>2122.1487955659732</v>
      </c>
      <c r="AK119" s="323">
        <f t="shared" si="26"/>
        <v>0</v>
      </c>
      <c r="AL119" s="323">
        <f t="shared" si="22"/>
        <v>159.161159667448</v>
      </c>
      <c r="AM119" s="323">
        <f t="shared" si="27"/>
        <v>0</v>
      </c>
      <c r="AN119" s="323">
        <f t="shared" si="28"/>
        <v>159.161159667448</v>
      </c>
      <c r="AO119" s="323">
        <f t="shared" si="29"/>
        <v>1962.9876358985252</v>
      </c>
    </row>
    <row r="120" spans="1:42" x14ac:dyDescent="0.35">
      <c r="B120">
        <f t="shared" si="30"/>
        <v>100</v>
      </c>
      <c r="E120" s="475">
        <f t="shared" si="18"/>
        <v>1962.9876358985252</v>
      </c>
      <c r="F120" s="484">
        <f t="shared" si="23"/>
        <v>254657.85546791679</v>
      </c>
      <c r="G120" s="144"/>
      <c r="H120" s="485">
        <v>0</v>
      </c>
      <c r="I120" s="144">
        <f t="shared" si="31"/>
        <v>191856.74696226805</v>
      </c>
      <c r="J120" s="484">
        <f t="shared" si="24"/>
        <v>1918.5674696226843</v>
      </c>
      <c r="K120" s="144"/>
      <c r="L120" s="475">
        <f t="shared" si="19"/>
        <v>446514.60243018484</v>
      </c>
      <c r="M120" s="486">
        <f t="shared" si="25"/>
        <v>2046.5252611383469</v>
      </c>
      <c r="O120" s="487">
        <f t="shared" si="20"/>
        <v>-83.537625239821637</v>
      </c>
      <c r="AJ120" s="323">
        <f t="shared" si="21"/>
        <v>2122.1487955659732</v>
      </c>
      <c r="AK120" s="323">
        <f t="shared" si="26"/>
        <v>0</v>
      </c>
      <c r="AL120" s="323">
        <f t="shared" si="22"/>
        <v>159.161159667448</v>
      </c>
      <c r="AM120" s="323">
        <f t="shared" si="27"/>
        <v>0</v>
      </c>
      <c r="AN120" s="323">
        <f t="shared" si="28"/>
        <v>159.161159667448</v>
      </c>
      <c r="AO120" s="323">
        <f t="shared" si="29"/>
        <v>1962.9876358985252</v>
      </c>
    </row>
    <row r="121" spans="1:42" x14ac:dyDescent="0.35">
      <c r="B121">
        <f t="shared" si="30"/>
        <v>101</v>
      </c>
      <c r="E121" s="475">
        <f t="shared" si="18"/>
        <v>1962.9876358985252</v>
      </c>
      <c r="F121" s="484">
        <f t="shared" si="23"/>
        <v>254657.85546791679</v>
      </c>
      <c r="G121" s="144"/>
      <c r="H121" s="485">
        <v>0</v>
      </c>
      <c r="I121" s="144">
        <f t="shared" si="31"/>
        <v>193775.31443189073</v>
      </c>
      <c r="J121" s="484">
        <f t="shared" si="24"/>
        <v>1918.5674696226843</v>
      </c>
      <c r="K121" s="144"/>
      <c r="L121" s="475">
        <f t="shared" si="19"/>
        <v>448433.16989980754</v>
      </c>
      <c r="M121" s="486">
        <f t="shared" si="25"/>
        <v>2055.3186953741174</v>
      </c>
      <c r="O121" s="487">
        <f t="shared" si="20"/>
        <v>-92.331059475592156</v>
      </c>
      <c r="AJ121" s="323">
        <f t="shared" si="21"/>
        <v>2122.1487955659732</v>
      </c>
      <c r="AK121" s="323">
        <f t="shared" si="26"/>
        <v>0</v>
      </c>
      <c r="AL121" s="323">
        <f t="shared" si="22"/>
        <v>159.161159667448</v>
      </c>
      <c r="AM121" s="323">
        <f t="shared" si="27"/>
        <v>0</v>
      </c>
      <c r="AN121" s="323">
        <f t="shared" si="28"/>
        <v>159.161159667448</v>
      </c>
      <c r="AO121" s="323">
        <f t="shared" si="29"/>
        <v>1962.9876358985252</v>
      </c>
    </row>
    <row r="122" spans="1:42" x14ac:dyDescent="0.35">
      <c r="B122">
        <f t="shared" si="30"/>
        <v>102</v>
      </c>
      <c r="E122" s="475">
        <f t="shared" si="18"/>
        <v>1962.9876358985252</v>
      </c>
      <c r="F122" s="484">
        <f t="shared" si="23"/>
        <v>254657.85546791679</v>
      </c>
      <c r="G122" s="144"/>
      <c r="H122" s="485">
        <v>0</v>
      </c>
      <c r="I122" s="144">
        <f t="shared" si="31"/>
        <v>195693.88190151341</v>
      </c>
      <c r="J122" s="484">
        <f t="shared" si="24"/>
        <v>1918.5674696226843</v>
      </c>
      <c r="K122" s="144"/>
      <c r="L122" s="475">
        <f t="shared" si="19"/>
        <v>450351.73736943019</v>
      </c>
      <c r="M122" s="486">
        <f t="shared" si="25"/>
        <v>2064.1121296098881</v>
      </c>
      <c r="O122" s="487">
        <f t="shared" si="20"/>
        <v>-101.1244937113629</v>
      </c>
      <c r="AJ122" s="323">
        <f t="shared" si="21"/>
        <v>2122.1487955659732</v>
      </c>
      <c r="AK122" s="323">
        <f t="shared" si="26"/>
        <v>0</v>
      </c>
      <c r="AL122" s="323">
        <f t="shared" si="22"/>
        <v>159.161159667448</v>
      </c>
      <c r="AM122" s="323">
        <f t="shared" si="27"/>
        <v>0</v>
      </c>
      <c r="AN122" s="323">
        <f t="shared" si="28"/>
        <v>159.161159667448</v>
      </c>
      <c r="AO122" s="323">
        <f t="shared" si="29"/>
        <v>1962.9876358985252</v>
      </c>
    </row>
    <row r="123" spans="1:42" x14ac:dyDescent="0.35">
      <c r="B123">
        <f t="shared" si="30"/>
        <v>103</v>
      </c>
      <c r="E123" s="475">
        <f t="shared" si="18"/>
        <v>1962.9876358985252</v>
      </c>
      <c r="F123" s="484">
        <f t="shared" si="23"/>
        <v>254657.85546791679</v>
      </c>
      <c r="G123" s="144"/>
      <c r="H123" s="485">
        <v>0</v>
      </c>
      <c r="I123" s="144">
        <f t="shared" si="31"/>
        <v>197612.44937113608</v>
      </c>
      <c r="J123" s="484">
        <f t="shared" si="24"/>
        <v>1918.5674696226843</v>
      </c>
      <c r="K123" s="144"/>
      <c r="L123" s="475">
        <f t="shared" si="19"/>
        <v>452270.30483905284</v>
      </c>
      <c r="M123" s="486">
        <f t="shared" si="25"/>
        <v>2072.9055638456584</v>
      </c>
      <c r="O123" s="487">
        <f t="shared" si="20"/>
        <v>-109.91792794713319</v>
      </c>
      <c r="AJ123" s="323">
        <f t="shared" si="21"/>
        <v>2122.1487955659732</v>
      </c>
      <c r="AK123" s="323">
        <f t="shared" si="26"/>
        <v>0</v>
      </c>
      <c r="AL123" s="323">
        <f t="shared" si="22"/>
        <v>159.161159667448</v>
      </c>
      <c r="AM123" s="323">
        <f t="shared" si="27"/>
        <v>0</v>
      </c>
      <c r="AN123" s="323">
        <f t="shared" si="28"/>
        <v>159.161159667448</v>
      </c>
      <c r="AO123" s="323">
        <f t="shared" si="29"/>
        <v>1962.9876358985252</v>
      </c>
    </row>
    <row r="124" spans="1:42" x14ac:dyDescent="0.35">
      <c r="B124">
        <f t="shared" si="30"/>
        <v>104</v>
      </c>
      <c r="E124" s="475">
        <f t="shared" si="18"/>
        <v>1962.9876358985252</v>
      </c>
      <c r="F124" s="484">
        <f t="shared" si="23"/>
        <v>254657.85546791679</v>
      </c>
      <c r="G124" s="144"/>
      <c r="H124" s="485">
        <v>0</v>
      </c>
      <c r="I124" s="144">
        <f t="shared" si="31"/>
        <v>199531.01684075876</v>
      </c>
      <c r="J124" s="484">
        <f t="shared" si="24"/>
        <v>1918.5674696226843</v>
      </c>
      <c r="K124" s="144"/>
      <c r="L124" s="475">
        <f t="shared" si="19"/>
        <v>454188.87230867555</v>
      </c>
      <c r="M124" s="486">
        <f t="shared" si="25"/>
        <v>2081.6989980814292</v>
      </c>
      <c r="O124" s="487">
        <f t="shared" si="20"/>
        <v>-118.71136218290394</v>
      </c>
      <c r="AJ124" s="323">
        <f t="shared" si="21"/>
        <v>2122.1487955659732</v>
      </c>
      <c r="AK124" s="323">
        <f t="shared" si="26"/>
        <v>0</v>
      </c>
      <c r="AL124" s="323">
        <f t="shared" si="22"/>
        <v>159.161159667448</v>
      </c>
      <c r="AM124" s="323">
        <f t="shared" si="27"/>
        <v>0</v>
      </c>
      <c r="AN124" s="323">
        <f t="shared" si="28"/>
        <v>159.161159667448</v>
      </c>
      <c r="AO124" s="323">
        <f t="shared" si="29"/>
        <v>1962.9876358985252</v>
      </c>
    </row>
    <row r="125" spans="1:42" x14ac:dyDescent="0.35">
      <c r="B125">
        <f t="shared" si="30"/>
        <v>105</v>
      </c>
      <c r="E125" s="475">
        <f t="shared" si="18"/>
        <v>1962.9876358985252</v>
      </c>
      <c r="F125" s="484">
        <f t="shared" si="23"/>
        <v>254657.85546791679</v>
      </c>
      <c r="G125" s="144"/>
      <c r="H125" s="485">
        <v>0</v>
      </c>
      <c r="I125" s="144">
        <f t="shared" si="31"/>
        <v>201449.58431038144</v>
      </c>
      <c r="J125" s="484">
        <f t="shared" si="24"/>
        <v>1918.5674696226843</v>
      </c>
      <c r="K125" s="144"/>
      <c r="L125" s="475">
        <f t="shared" si="19"/>
        <v>456107.43977829826</v>
      </c>
      <c r="M125" s="486">
        <f t="shared" si="25"/>
        <v>2090.4924323171999</v>
      </c>
      <c r="O125" s="487">
        <f t="shared" si="20"/>
        <v>-127.50479641867469</v>
      </c>
      <c r="AJ125" s="323">
        <f t="shared" si="21"/>
        <v>2122.1487955659732</v>
      </c>
      <c r="AK125" s="323">
        <f t="shared" si="26"/>
        <v>0</v>
      </c>
      <c r="AL125" s="323">
        <f t="shared" si="22"/>
        <v>159.161159667448</v>
      </c>
      <c r="AM125" s="323">
        <f t="shared" si="27"/>
        <v>0</v>
      </c>
      <c r="AN125" s="323">
        <f t="shared" si="28"/>
        <v>159.161159667448</v>
      </c>
      <c r="AO125" s="323">
        <f t="shared" si="29"/>
        <v>1962.9876358985252</v>
      </c>
    </row>
    <row r="126" spans="1:42" x14ac:dyDescent="0.35">
      <c r="B126">
        <f t="shared" si="30"/>
        <v>106</v>
      </c>
      <c r="E126" s="475">
        <f t="shared" si="18"/>
        <v>1962.9876358985252</v>
      </c>
      <c r="F126" s="484">
        <f t="shared" si="23"/>
        <v>254657.85546791679</v>
      </c>
      <c r="G126" s="144"/>
      <c r="H126" s="485">
        <v>0</v>
      </c>
      <c r="I126" s="144">
        <f t="shared" si="31"/>
        <v>203368.15178000412</v>
      </c>
      <c r="J126" s="484">
        <f t="shared" si="24"/>
        <v>1918.5674696226843</v>
      </c>
      <c r="K126" s="144"/>
      <c r="L126" s="475">
        <f t="shared" si="19"/>
        <v>458026.0072479209</v>
      </c>
      <c r="M126" s="486">
        <f t="shared" si="25"/>
        <v>2099.2858665529702</v>
      </c>
      <c r="O126" s="487">
        <f t="shared" si="20"/>
        <v>-136.29823065444498</v>
      </c>
      <c r="AJ126" s="323">
        <f t="shared" si="21"/>
        <v>2122.1487955659732</v>
      </c>
      <c r="AK126" s="323">
        <f t="shared" si="26"/>
        <v>0</v>
      </c>
      <c r="AL126" s="323">
        <f t="shared" si="22"/>
        <v>159.161159667448</v>
      </c>
      <c r="AM126" s="323">
        <f t="shared" si="27"/>
        <v>0</v>
      </c>
      <c r="AN126" s="323">
        <f t="shared" si="28"/>
        <v>159.161159667448</v>
      </c>
      <c r="AO126" s="323">
        <f t="shared" si="29"/>
        <v>1962.9876358985252</v>
      </c>
    </row>
    <row r="127" spans="1:42" x14ac:dyDescent="0.35">
      <c r="B127">
        <f t="shared" si="30"/>
        <v>107</v>
      </c>
      <c r="E127" s="475">
        <f t="shared" si="18"/>
        <v>1962.9876358985252</v>
      </c>
      <c r="F127" s="484">
        <f t="shared" si="23"/>
        <v>254657.85546791679</v>
      </c>
      <c r="G127" s="144"/>
      <c r="H127" s="485">
        <v>0</v>
      </c>
      <c r="I127" s="144">
        <f t="shared" si="31"/>
        <v>205286.7192496268</v>
      </c>
      <c r="J127" s="484">
        <f t="shared" si="24"/>
        <v>1918.5674696226843</v>
      </c>
      <c r="K127" s="144"/>
      <c r="L127" s="475">
        <f t="shared" si="19"/>
        <v>459944.57471754355</v>
      </c>
      <c r="M127" s="486">
        <f t="shared" si="25"/>
        <v>2108.079300788741</v>
      </c>
      <c r="O127" s="487">
        <f t="shared" si="20"/>
        <v>-145.09166489021572</v>
      </c>
      <c r="AJ127" s="323">
        <f t="shared" si="21"/>
        <v>2122.1487955659732</v>
      </c>
      <c r="AK127" s="323">
        <f t="shared" si="26"/>
        <v>0</v>
      </c>
      <c r="AL127" s="323">
        <f t="shared" si="22"/>
        <v>159.161159667448</v>
      </c>
      <c r="AM127" s="323">
        <f t="shared" si="27"/>
        <v>0</v>
      </c>
      <c r="AN127" s="323">
        <f t="shared" si="28"/>
        <v>159.161159667448</v>
      </c>
      <c r="AO127" s="323">
        <f t="shared" si="29"/>
        <v>1962.9876358985252</v>
      </c>
    </row>
    <row r="128" spans="1:42" x14ac:dyDescent="0.35">
      <c r="B128">
        <f t="shared" si="30"/>
        <v>108</v>
      </c>
      <c r="E128" s="475">
        <f t="shared" si="18"/>
        <v>1962.9876358985252</v>
      </c>
      <c r="F128" s="484">
        <f t="shared" si="23"/>
        <v>254657.85546791679</v>
      </c>
      <c r="G128" s="144"/>
      <c r="H128" s="485">
        <v>0</v>
      </c>
      <c r="I128" s="144">
        <f t="shared" si="31"/>
        <v>207205.28671924947</v>
      </c>
      <c r="J128" s="484">
        <f t="shared" si="24"/>
        <v>1918.5674696226843</v>
      </c>
      <c r="K128" s="144"/>
      <c r="L128" s="475">
        <f t="shared" si="19"/>
        <v>461863.14218716626</v>
      </c>
      <c r="M128" s="486">
        <f t="shared" si="25"/>
        <v>2116.8727350245117</v>
      </c>
      <c r="O128" s="487">
        <f t="shared" si="20"/>
        <v>-153.88509912598647</v>
      </c>
      <c r="AJ128" s="323">
        <f t="shared" si="21"/>
        <v>2122.1487955659732</v>
      </c>
      <c r="AK128" s="323">
        <f t="shared" si="26"/>
        <v>0</v>
      </c>
      <c r="AL128" s="323">
        <f t="shared" si="22"/>
        <v>159.161159667448</v>
      </c>
      <c r="AM128" s="323">
        <f t="shared" si="27"/>
        <v>0</v>
      </c>
      <c r="AN128" s="323">
        <f t="shared" si="28"/>
        <v>159.161159667448</v>
      </c>
      <c r="AO128" s="323">
        <f t="shared" si="29"/>
        <v>1962.9876358985252</v>
      </c>
      <c r="AP128" s="387">
        <f>SUM(AO117:AO128)-Y28</f>
        <v>0</v>
      </c>
    </row>
    <row r="129" spans="1:42" x14ac:dyDescent="0.35">
      <c r="A129">
        <f>A117+1</f>
        <v>10</v>
      </c>
      <c r="B129">
        <f t="shared" si="30"/>
        <v>109</v>
      </c>
      <c r="E129" s="475">
        <f t="shared" si="18"/>
        <v>1962.9876358985252</v>
      </c>
      <c r="F129" s="484">
        <f t="shared" si="23"/>
        <v>254657.85546791679</v>
      </c>
      <c r="G129" s="144"/>
      <c r="H129" s="485">
        <v>0</v>
      </c>
      <c r="I129" s="144">
        <f t="shared" si="31"/>
        <v>209123.85418887215</v>
      </c>
      <c r="J129" s="484">
        <f t="shared" si="24"/>
        <v>1918.5674696226843</v>
      </c>
      <c r="K129" s="144"/>
      <c r="L129" s="475">
        <f t="shared" si="19"/>
        <v>463781.70965678897</v>
      </c>
      <c r="M129" s="486">
        <f t="shared" si="25"/>
        <v>2125.6661692602825</v>
      </c>
      <c r="O129" s="487">
        <f t="shared" si="20"/>
        <v>-162.67853336175722</v>
      </c>
      <c r="AJ129" s="323">
        <f t="shared" si="21"/>
        <v>2122.1487955659732</v>
      </c>
      <c r="AK129" s="323">
        <f t="shared" si="26"/>
        <v>0</v>
      </c>
      <c r="AL129" s="323">
        <f t="shared" si="22"/>
        <v>159.161159667448</v>
      </c>
      <c r="AM129" s="323">
        <f t="shared" si="27"/>
        <v>0</v>
      </c>
      <c r="AN129" s="323">
        <f t="shared" si="28"/>
        <v>159.161159667448</v>
      </c>
      <c r="AO129" s="323">
        <f t="shared" si="29"/>
        <v>1962.9876358985252</v>
      </c>
    </row>
    <row r="130" spans="1:42" ht="17.75" customHeight="1" thickBot="1" x14ac:dyDescent="0.4">
      <c r="B130">
        <f t="shared" si="30"/>
        <v>110</v>
      </c>
      <c r="E130" s="475">
        <f t="shared" si="18"/>
        <v>1962.9876358985252</v>
      </c>
      <c r="F130" s="484">
        <f t="shared" si="23"/>
        <v>254657.85546791679</v>
      </c>
      <c r="G130" s="144"/>
      <c r="H130" s="485">
        <v>0</v>
      </c>
      <c r="I130" s="144">
        <f t="shared" si="31"/>
        <v>211042.42165849483</v>
      </c>
      <c r="J130" s="484">
        <f t="shared" si="24"/>
        <v>1918.5674696226843</v>
      </c>
      <c r="K130" s="144"/>
      <c r="L130" s="475">
        <f t="shared" si="19"/>
        <v>465700.27712641162</v>
      </c>
      <c r="M130" s="486">
        <f t="shared" si="25"/>
        <v>2134.4596034960528</v>
      </c>
      <c r="O130" s="487">
        <f t="shared" si="20"/>
        <v>-171.47196759752751</v>
      </c>
      <c r="AJ130" s="323">
        <f t="shared" si="21"/>
        <v>2122.1487955659732</v>
      </c>
      <c r="AK130" s="323">
        <f t="shared" si="26"/>
        <v>0</v>
      </c>
      <c r="AL130" s="323">
        <f t="shared" si="22"/>
        <v>159.161159667448</v>
      </c>
      <c r="AM130" s="323">
        <f t="shared" si="27"/>
        <v>0</v>
      </c>
      <c r="AN130" s="323">
        <f t="shared" si="28"/>
        <v>159.161159667448</v>
      </c>
      <c r="AO130" s="323">
        <f t="shared" si="29"/>
        <v>1962.9876358985252</v>
      </c>
    </row>
    <row r="131" spans="1:42" ht="14.65" thickBot="1" x14ac:dyDescent="0.5">
      <c r="B131">
        <f t="shared" si="30"/>
        <v>111</v>
      </c>
      <c r="E131" s="475">
        <f t="shared" si="18"/>
        <v>1962.9876358985252</v>
      </c>
      <c r="F131" s="484">
        <f t="shared" si="23"/>
        <v>254657.85546791679</v>
      </c>
      <c r="G131" s="144"/>
      <c r="H131" s="485">
        <v>0</v>
      </c>
      <c r="I131" s="144">
        <f t="shared" si="31"/>
        <v>212960.98912811751</v>
      </c>
      <c r="J131" s="484">
        <f t="shared" si="24"/>
        <v>1918.5674696226843</v>
      </c>
      <c r="K131" s="144"/>
      <c r="L131" s="475">
        <f t="shared" si="19"/>
        <v>467618.84459603427</v>
      </c>
      <c r="M131" s="486">
        <f t="shared" si="25"/>
        <v>2143.2530377318235</v>
      </c>
      <c r="O131" s="487">
        <f t="shared" si="20"/>
        <v>-180.26540183329826</v>
      </c>
      <c r="Q131" s="841" t="s">
        <v>229</v>
      </c>
      <c r="R131" s="842"/>
      <c r="AJ131" s="323">
        <f t="shared" si="21"/>
        <v>2122.1487955659732</v>
      </c>
      <c r="AK131" s="323">
        <f t="shared" si="26"/>
        <v>0</v>
      </c>
      <c r="AL131" s="323">
        <f t="shared" si="22"/>
        <v>159.161159667448</v>
      </c>
      <c r="AM131" s="323">
        <f t="shared" si="27"/>
        <v>0</v>
      </c>
      <c r="AN131" s="323">
        <f t="shared" si="28"/>
        <v>159.161159667448</v>
      </c>
      <c r="AO131" s="323">
        <f t="shared" si="29"/>
        <v>1962.9876358985252</v>
      </c>
    </row>
    <row r="132" spans="1:42" ht="15" customHeight="1" x14ac:dyDescent="0.45">
      <c r="B132">
        <f t="shared" si="30"/>
        <v>112</v>
      </c>
      <c r="E132" s="475">
        <f t="shared" si="18"/>
        <v>1962.9876358985252</v>
      </c>
      <c r="F132" s="484">
        <f t="shared" si="23"/>
        <v>254657.85546791679</v>
      </c>
      <c r="G132" s="144"/>
      <c r="H132" s="485">
        <v>0</v>
      </c>
      <c r="I132" s="144">
        <f t="shared" si="31"/>
        <v>214879.55659774019</v>
      </c>
      <c r="J132" s="484">
        <f t="shared" si="24"/>
        <v>1918.5674696226843</v>
      </c>
      <c r="K132" s="144"/>
      <c r="L132" s="475">
        <f t="shared" si="19"/>
        <v>469537.41206565697</v>
      </c>
      <c r="M132" s="486">
        <f t="shared" si="25"/>
        <v>2152.0464719675942</v>
      </c>
      <c r="O132" s="487">
        <f t="shared" si="20"/>
        <v>-189.058836069069</v>
      </c>
      <c r="Q132" s="504"/>
      <c r="R132" s="505"/>
      <c r="AJ132" s="323">
        <f t="shared" si="21"/>
        <v>2122.1487955659732</v>
      </c>
      <c r="AK132" s="323">
        <f t="shared" si="26"/>
        <v>0</v>
      </c>
      <c r="AL132" s="323">
        <f t="shared" si="22"/>
        <v>159.161159667448</v>
      </c>
      <c r="AM132" s="323">
        <f t="shared" si="27"/>
        <v>0</v>
      </c>
      <c r="AN132" s="323">
        <f t="shared" si="28"/>
        <v>159.161159667448</v>
      </c>
      <c r="AO132" s="323">
        <f t="shared" si="29"/>
        <v>1962.9876358985252</v>
      </c>
    </row>
    <row r="133" spans="1:42" ht="14.25" x14ac:dyDescent="0.45">
      <c r="B133">
        <f t="shared" si="30"/>
        <v>113</v>
      </c>
      <c r="E133" s="475">
        <f t="shared" si="18"/>
        <v>1962.9876358985252</v>
      </c>
      <c r="F133" s="484">
        <f t="shared" si="23"/>
        <v>254657.85546791679</v>
      </c>
      <c r="G133" s="144"/>
      <c r="H133" s="485">
        <v>0</v>
      </c>
      <c r="I133" s="144">
        <f t="shared" si="31"/>
        <v>216798.12406736286</v>
      </c>
      <c r="J133" s="484">
        <f t="shared" si="24"/>
        <v>1918.5674696226843</v>
      </c>
      <c r="K133" s="144"/>
      <c r="L133" s="475">
        <f t="shared" si="19"/>
        <v>471455.97953527968</v>
      </c>
      <c r="M133" s="486">
        <f t="shared" si="25"/>
        <v>2160.839906203365</v>
      </c>
      <c r="O133" s="487">
        <f t="shared" si="20"/>
        <v>-197.85227030483975</v>
      </c>
      <c r="Q133" s="506" t="s">
        <v>230</v>
      </c>
      <c r="R133" s="507">
        <f>FV($C$8,10,,-$C$5)</f>
        <v>1110183.2136887584</v>
      </c>
      <c r="T133" s="402"/>
      <c r="AJ133" s="323">
        <f t="shared" si="21"/>
        <v>2122.1487955659732</v>
      </c>
      <c r="AK133" s="323">
        <f t="shared" si="26"/>
        <v>0</v>
      </c>
      <c r="AL133" s="323">
        <f t="shared" si="22"/>
        <v>159.161159667448</v>
      </c>
      <c r="AM133" s="323">
        <f t="shared" si="27"/>
        <v>0</v>
      </c>
      <c r="AN133" s="323">
        <f t="shared" si="28"/>
        <v>159.161159667448</v>
      </c>
      <c r="AO133" s="323">
        <f t="shared" si="29"/>
        <v>1962.9876358985252</v>
      </c>
    </row>
    <row r="134" spans="1:42" ht="14.25" x14ac:dyDescent="0.45">
      <c r="B134">
        <f t="shared" si="30"/>
        <v>114</v>
      </c>
      <c r="E134" s="475">
        <f t="shared" si="18"/>
        <v>1962.9876358985252</v>
      </c>
      <c r="F134" s="484">
        <f t="shared" si="23"/>
        <v>254657.85546791679</v>
      </c>
      <c r="G134" s="144"/>
      <c r="H134" s="485">
        <v>0</v>
      </c>
      <c r="I134" s="144">
        <f t="shared" si="31"/>
        <v>218716.69153698554</v>
      </c>
      <c r="J134" s="484">
        <f t="shared" si="24"/>
        <v>1918.5674696226843</v>
      </c>
      <c r="K134" s="144"/>
      <c r="L134" s="475">
        <f t="shared" si="19"/>
        <v>473374.54700490233</v>
      </c>
      <c r="M134" s="486">
        <f t="shared" si="25"/>
        <v>2169.6333404391353</v>
      </c>
      <c r="O134" s="487">
        <f t="shared" si="20"/>
        <v>-206.64570454061004</v>
      </c>
      <c r="Q134" s="506" t="s">
        <v>226</v>
      </c>
      <c r="R134" s="508">
        <f>-$C$7</f>
        <v>-600000</v>
      </c>
      <c r="T134" s="402"/>
      <c r="AJ134" s="323">
        <f t="shared" si="21"/>
        <v>2122.1487955659732</v>
      </c>
      <c r="AK134" s="323">
        <f t="shared" si="26"/>
        <v>0</v>
      </c>
      <c r="AL134" s="323">
        <f t="shared" si="22"/>
        <v>159.161159667448</v>
      </c>
      <c r="AM134" s="323">
        <f t="shared" si="27"/>
        <v>0</v>
      </c>
      <c r="AN134" s="323">
        <f t="shared" si="28"/>
        <v>159.161159667448</v>
      </c>
      <c r="AO134" s="323">
        <f t="shared" si="29"/>
        <v>1962.9876358985252</v>
      </c>
    </row>
    <row r="135" spans="1:42" ht="14.25" x14ac:dyDescent="0.45">
      <c r="B135">
        <f t="shared" si="30"/>
        <v>115</v>
      </c>
      <c r="E135" s="475">
        <f t="shared" si="18"/>
        <v>1962.9876358985252</v>
      </c>
      <c r="F135" s="484">
        <f t="shared" si="23"/>
        <v>254657.85546791679</v>
      </c>
      <c r="G135" s="144"/>
      <c r="H135" s="485">
        <v>0</v>
      </c>
      <c r="I135" s="144">
        <f t="shared" si="31"/>
        <v>220635.25900660822</v>
      </c>
      <c r="J135" s="484">
        <f t="shared" si="24"/>
        <v>1918.5674696226843</v>
      </c>
      <c r="K135" s="144"/>
      <c r="L135" s="475">
        <f t="shared" si="19"/>
        <v>475293.11447452498</v>
      </c>
      <c r="M135" s="486">
        <f t="shared" si="25"/>
        <v>2178.4267746749056</v>
      </c>
      <c r="O135" s="487">
        <f t="shared" si="20"/>
        <v>-215.43913877638033</v>
      </c>
      <c r="Q135" s="506" t="s">
        <v>227</v>
      </c>
      <c r="R135" s="507">
        <f>F140</f>
        <v>254657.85546791679</v>
      </c>
      <c r="T135" s="402"/>
      <c r="AJ135" s="323">
        <f t="shared" si="21"/>
        <v>2122.1487955659732</v>
      </c>
      <c r="AK135" s="323">
        <f t="shared" si="26"/>
        <v>0</v>
      </c>
      <c r="AL135" s="323">
        <f t="shared" si="22"/>
        <v>159.161159667448</v>
      </c>
      <c r="AM135" s="323">
        <f t="shared" si="27"/>
        <v>0</v>
      </c>
      <c r="AN135" s="323">
        <f t="shared" si="28"/>
        <v>159.161159667448</v>
      </c>
      <c r="AO135" s="323">
        <f t="shared" si="29"/>
        <v>1962.9876358985252</v>
      </c>
    </row>
    <row r="136" spans="1:42" ht="14.65" thickBot="1" x14ac:dyDescent="0.5">
      <c r="B136">
        <f t="shared" si="30"/>
        <v>116</v>
      </c>
      <c r="E136" s="475">
        <f t="shared" si="18"/>
        <v>1962.9876358985252</v>
      </c>
      <c r="F136" s="484">
        <f t="shared" si="23"/>
        <v>254657.85546791679</v>
      </c>
      <c r="G136" s="144"/>
      <c r="H136" s="485">
        <v>0</v>
      </c>
      <c r="I136" s="144">
        <f t="shared" si="31"/>
        <v>222553.8264762309</v>
      </c>
      <c r="J136" s="484">
        <f t="shared" si="24"/>
        <v>1918.5674696226843</v>
      </c>
      <c r="K136" s="144"/>
      <c r="L136" s="475">
        <f t="shared" si="19"/>
        <v>477211.68194414768</v>
      </c>
      <c r="M136" s="486">
        <f t="shared" si="25"/>
        <v>2187.2202089106763</v>
      </c>
      <c r="O136" s="487">
        <f t="shared" si="20"/>
        <v>-224.23257301215108</v>
      </c>
      <c r="Q136" s="506" t="s">
        <v>228</v>
      </c>
      <c r="R136" s="507">
        <f>$I$18-(SUM(J21:J140))</f>
        <v>115114.04817736192</v>
      </c>
      <c r="T136" s="402"/>
      <c r="AJ136" s="323">
        <f t="shared" si="21"/>
        <v>2122.1487955659732</v>
      </c>
      <c r="AK136" s="323">
        <f t="shared" si="26"/>
        <v>0</v>
      </c>
      <c r="AL136" s="323">
        <f t="shared" si="22"/>
        <v>159.161159667448</v>
      </c>
      <c r="AM136" s="323">
        <f t="shared" si="27"/>
        <v>0</v>
      </c>
      <c r="AN136" s="323">
        <f t="shared" si="28"/>
        <v>159.161159667448</v>
      </c>
      <c r="AO136" s="323">
        <f t="shared" si="29"/>
        <v>1962.9876358985252</v>
      </c>
    </row>
    <row r="137" spans="1:42" ht="14.65" thickBot="1" x14ac:dyDescent="0.5">
      <c r="B137">
        <f t="shared" si="30"/>
        <v>117</v>
      </c>
      <c r="E137" s="475">
        <f t="shared" si="18"/>
        <v>1962.9876358985252</v>
      </c>
      <c r="F137" s="484">
        <f t="shared" si="23"/>
        <v>254657.85546791679</v>
      </c>
      <c r="G137" s="144"/>
      <c r="H137" s="485">
        <v>0</v>
      </c>
      <c r="I137" s="144">
        <f t="shared" si="31"/>
        <v>224472.39394585358</v>
      </c>
      <c r="J137" s="484">
        <f t="shared" si="24"/>
        <v>1918.5674696226843</v>
      </c>
      <c r="K137" s="144"/>
      <c r="L137" s="475">
        <f t="shared" si="19"/>
        <v>479130.24941377039</v>
      </c>
      <c r="M137" s="486">
        <f t="shared" si="25"/>
        <v>2196.0136431464471</v>
      </c>
      <c r="O137" s="487">
        <f t="shared" si="20"/>
        <v>-233.02600724792183</v>
      </c>
      <c r="Q137" s="506" t="s">
        <v>175</v>
      </c>
      <c r="R137" s="509">
        <f>SUM(R133:R136)</f>
        <v>879955.1173340372</v>
      </c>
      <c r="T137" s="402"/>
      <c r="AJ137" s="323">
        <f t="shared" si="21"/>
        <v>2122.1487955659732</v>
      </c>
      <c r="AK137" s="323">
        <f t="shared" si="26"/>
        <v>0</v>
      </c>
      <c r="AL137" s="323">
        <f t="shared" si="22"/>
        <v>159.161159667448</v>
      </c>
      <c r="AM137" s="323">
        <f t="shared" si="27"/>
        <v>0</v>
      </c>
      <c r="AN137" s="323">
        <f t="shared" si="28"/>
        <v>159.161159667448</v>
      </c>
      <c r="AO137" s="323">
        <f t="shared" si="29"/>
        <v>1962.9876358985252</v>
      </c>
    </row>
    <row r="138" spans="1:42" ht="14.25" x14ac:dyDescent="0.45">
      <c r="B138">
        <f t="shared" si="30"/>
        <v>118</v>
      </c>
      <c r="E138" s="475">
        <f t="shared" si="18"/>
        <v>1962.9876358985252</v>
      </c>
      <c r="F138" s="484">
        <f t="shared" si="23"/>
        <v>254657.85546791679</v>
      </c>
      <c r="G138" s="144"/>
      <c r="H138" s="485">
        <v>0</v>
      </c>
      <c r="I138" s="144">
        <f t="shared" si="31"/>
        <v>226390.96141547625</v>
      </c>
      <c r="J138" s="484">
        <f t="shared" si="24"/>
        <v>1918.5674696226843</v>
      </c>
      <c r="K138" s="144"/>
      <c r="L138" s="475">
        <f t="shared" si="19"/>
        <v>481048.81688339304</v>
      </c>
      <c r="M138" s="486">
        <f t="shared" si="25"/>
        <v>2204.8070773822178</v>
      </c>
      <c r="O138" s="487">
        <f t="shared" si="20"/>
        <v>-241.81944148369257</v>
      </c>
      <c r="Q138" s="506"/>
      <c r="R138" s="510">
        <f>(R137-$C$5)/$C$5</f>
        <v>0.17327348977871626</v>
      </c>
      <c r="T138" s="402"/>
      <c r="AJ138" s="323">
        <f t="shared" si="21"/>
        <v>2122.1487955659732</v>
      </c>
      <c r="AK138" s="323">
        <f t="shared" si="26"/>
        <v>0</v>
      </c>
      <c r="AL138" s="323">
        <f t="shared" si="22"/>
        <v>159.161159667448</v>
      </c>
      <c r="AM138" s="323">
        <f t="shared" si="27"/>
        <v>0</v>
      </c>
      <c r="AN138" s="323">
        <f t="shared" si="28"/>
        <v>159.161159667448</v>
      </c>
      <c r="AO138" s="323">
        <f t="shared" si="29"/>
        <v>1962.9876358985252</v>
      </c>
    </row>
    <row r="139" spans="1:42" ht="28.5" x14ac:dyDescent="0.45">
      <c r="B139">
        <f t="shared" si="30"/>
        <v>119</v>
      </c>
      <c r="E139" s="475">
        <f t="shared" si="18"/>
        <v>1962.9876358985252</v>
      </c>
      <c r="F139" s="484">
        <f t="shared" si="23"/>
        <v>254657.85546791679</v>
      </c>
      <c r="G139" s="144"/>
      <c r="H139" s="485">
        <v>0</v>
      </c>
      <c r="I139" s="144">
        <f t="shared" si="31"/>
        <v>228309.52888509893</v>
      </c>
      <c r="J139" s="484">
        <f t="shared" si="24"/>
        <v>1918.5674696226843</v>
      </c>
      <c r="K139" s="144"/>
      <c r="L139" s="475">
        <f t="shared" si="19"/>
        <v>482967.38435301569</v>
      </c>
      <c r="M139" s="486">
        <f t="shared" si="25"/>
        <v>2213.6005116179881</v>
      </c>
      <c r="O139" s="487">
        <f t="shared" si="20"/>
        <v>-250.61287571946286</v>
      </c>
      <c r="Q139" s="511" t="s">
        <v>178</v>
      </c>
      <c r="R139" s="507">
        <f>SUM(J21:J140)</f>
        <v>230228.09635472161</v>
      </c>
      <c r="AJ139" s="323">
        <f t="shared" si="21"/>
        <v>2122.1487955659732</v>
      </c>
      <c r="AK139" s="323">
        <f t="shared" si="26"/>
        <v>0</v>
      </c>
      <c r="AL139" s="323">
        <f t="shared" si="22"/>
        <v>159.161159667448</v>
      </c>
      <c r="AM139" s="323">
        <f t="shared" si="27"/>
        <v>0</v>
      </c>
      <c r="AN139" s="323">
        <f t="shared" si="28"/>
        <v>159.161159667448</v>
      </c>
      <c r="AO139" s="323">
        <f t="shared" si="29"/>
        <v>1962.9876358985252</v>
      </c>
    </row>
    <row r="140" spans="1:42" ht="14.65" thickBot="1" x14ac:dyDescent="0.5">
      <c r="B140" s="512">
        <f t="shared" si="30"/>
        <v>120</v>
      </c>
      <c r="C140" s="512"/>
      <c r="D140" s="512"/>
      <c r="E140" s="513">
        <f t="shared" si="18"/>
        <v>1962.9876358985252</v>
      </c>
      <c r="F140" s="514">
        <f t="shared" si="23"/>
        <v>254657.85546791679</v>
      </c>
      <c r="G140" s="515"/>
      <c r="H140" s="516">
        <v>0</v>
      </c>
      <c r="I140" s="515">
        <f t="shared" si="31"/>
        <v>230228.09635472161</v>
      </c>
      <c r="J140" s="514">
        <f t="shared" si="24"/>
        <v>1918.5674696226843</v>
      </c>
      <c r="K140" s="515"/>
      <c r="L140" s="513">
        <f>$F$17+I140</f>
        <v>484885.9518226384</v>
      </c>
      <c r="M140" s="517">
        <f t="shared" si="25"/>
        <v>2222.3939458537589</v>
      </c>
      <c r="N140" s="512"/>
      <c r="O140" s="518">
        <f t="shared" si="20"/>
        <v>-259.40630995523361</v>
      </c>
      <c r="Q140" s="519" t="s">
        <v>182</v>
      </c>
      <c r="R140" s="520">
        <f>SUM(O21:O140)</f>
        <v>31656.363248774083</v>
      </c>
      <c r="AJ140" s="323">
        <f t="shared" si="21"/>
        <v>2122.1487955659732</v>
      </c>
      <c r="AK140" s="323">
        <f t="shared" si="26"/>
        <v>0</v>
      </c>
      <c r="AL140" s="323">
        <f t="shared" si="22"/>
        <v>159.161159667448</v>
      </c>
      <c r="AM140" s="323">
        <f t="shared" si="27"/>
        <v>0</v>
      </c>
      <c r="AN140" s="323">
        <f t="shared" si="28"/>
        <v>159.161159667448</v>
      </c>
      <c r="AO140" s="323">
        <f t="shared" si="29"/>
        <v>1962.9876358985252</v>
      </c>
      <c r="AP140" s="387">
        <f>SUM(AO129:AO140)-Y29</f>
        <v>0</v>
      </c>
    </row>
    <row r="141" spans="1:42" x14ac:dyDescent="0.35">
      <c r="A141">
        <f>A129+1</f>
        <v>11</v>
      </c>
      <c r="B141">
        <f t="shared" si="30"/>
        <v>121</v>
      </c>
      <c r="E141" s="475">
        <f t="shared" si="18"/>
        <v>1962.9876358985252</v>
      </c>
      <c r="F141" s="484">
        <f t="shared" si="23"/>
        <v>254657.85546791679</v>
      </c>
      <c r="G141" s="144"/>
      <c r="H141" s="485">
        <v>0</v>
      </c>
      <c r="I141" s="144">
        <f t="shared" si="31"/>
        <v>232146.66382434429</v>
      </c>
      <c r="J141" s="484">
        <f t="shared" si="24"/>
        <v>1918.5674696226843</v>
      </c>
      <c r="K141" s="144"/>
      <c r="L141" s="475">
        <f t="shared" si="19"/>
        <v>486804.5192922611</v>
      </c>
      <c r="M141" s="486">
        <f t="shared" si="25"/>
        <v>2231.1873800895296</v>
      </c>
      <c r="O141" s="487">
        <f t="shared" si="20"/>
        <v>-268.19974419100436</v>
      </c>
      <c r="AJ141" s="323">
        <f t="shared" si="21"/>
        <v>2122.1487955659732</v>
      </c>
      <c r="AK141" s="323">
        <f t="shared" si="26"/>
        <v>0</v>
      </c>
      <c r="AL141" s="323">
        <f t="shared" si="22"/>
        <v>159.161159667448</v>
      </c>
      <c r="AM141" s="323">
        <f t="shared" si="27"/>
        <v>0</v>
      </c>
      <c r="AN141" s="323">
        <f t="shared" si="28"/>
        <v>159.161159667448</v>
      </c>
      <c r="AO141" s="323">
        <f t="shared" si="29"/>
        <v>1962.9876358985252</v>
      </c>
    </row>
    <row r="142" spans="1:42" x14ac:dyDescent="0.35">
      <c r="B142">
        <f t="shared" si="30"/>
        <v>122</v>
      </c>
      <c r="E142" s="475">
        <f t="shared" si="18"/>
        <v>1962.9876358985252</v>
      </c>
      <c r="F142" s="484">
        <f t="shared" si="23"/>
        <v>254657.85546791679</v>
      </c>
      <c r="G142" s="144"/>
      <c r="H142" s="485">
        <v>0</v>
      </c>
      <c r="I142" s="144">
        <f t="shared" si="31"/>
        <v>234065.23129396696</v>
      </c>
      <c r="J142" s="484">
        <f t="shared" si="24"/>
        <v>1918.5674696226843</v>
      </c>
      <c r="K142" s="144"/>
      <c r="L142" s="475">
        <f t="shared" si="19"/>
        <v>488723.08676188375</v>
      </c>
      <c r="M142" s="486">
        <f t="shared" si="25"/>
        <v>2239.9808143252999</v>
      </c>
      <c r="O142" s="487">
        <f t="shared" si="20"/>
        <v>-276.99317842677465</v>
      </c>
      <c r="AJ142" s="323">
        <f t="shared" si="21"/>
        <v>2122.1487955659732</v>
      </c>
      <c r="AK142" s="323">
        <f t="shared" si="26"/>
        <v>0</v>
      </c>
      <c r="AL142" s="323">
        <f t="shared" si="22"/>
        <v>159.161159667448</v>
      </c>
      <c r="AM142" s="323">
        <f t="shared" si="27"/>
        <v>0</v>
      </c>
      <c r="AN142" s="323">
        <f t="shared" si="28"/>
        <v>159.161159667448</v>
      </c>
      <c r="AO142" s="323">
        <f t="shared" si="29"/>
        <v>1962.9876358985252</v>
      </c>
    </row>
    <row r="143" spans="1:42" x14ac:dyDescent="0.35">
      <c r="B143">
        <f t="shared" si="30"/>
        <v>123</v>
      </c>
      <c r="E143" s="475">
        <f t="shared" si="18"/>
        <v>1962.9876358985252</v>
      </c>
      <c r="F143" s="484">
        <f t="shared" si="23"/>
        <v>254657.85546791679</v>
      </c>
      <c r="G143" s="144"/>
      <c r="H143" s="485">
        <v>0</v>
      </c>
      <c r="I143" s="144">
        <f t="shared" si="31"/>
        <v>235983.79876358964</v>
      </c>
      <c r="J143" s="484">
        <f t="shared" si="24"/>
        <v>1918.5674696226843</v>
      </c>
      <c r="K143" s="144"/>
      <c r="L143" s="475">
        <f t="shared" si="19"/>
        <v>490641.6542315064</v>
      </c>
      <c r="M143" s="486">
        <f t="shared" si="25"/>
        <v>2248.7742485610706</v>
      </c>
      <c r="O143" s="487">
        <f t="shared" si="20"/>
        <v>-285.78661266254539</v>
      </c>
      <c r="AJ143" s="323">
        <f t="shared" si="21"/>
        <v>2122.1487955659732</v>
      </c>
      <c r="AK143" s="323">
        <f t="shared" si="26"/>
        <v>0</v>
      </c>
      <c r="AL143" s="323">
        <f t="shared" si="22"/>
        <v>159.161159667448</v>
      </c>
      <c r="AM143" s="323">
        <f t="shared" si="27"/>
        <v>0</v>
      </c>
      <c r="AN143" s="323">
        <f t="shared" si="28"/>
        <v>159.161159667448</v>
      </c>
      <c r="AO143" s="323">
        <f t="shared" si="29"/>
        <v>1962.9876358985252</v>
      </c>
    </row>
    <row r="144" spans="1:42" x14ac:dyDescent="0.35">
      <c r="B144">
        <f t="shared" si="30"/>
        <v>124</v>
      </c>
      <c r="E144" s="475">
        <f t="shared" si="18"/>
        <v>1962.9876358985252</v>
      </c>
      <c r="F144" s="484">
        <f t="shared" si="23"/>
        <v>254657.85546791679</v>
      </c>
      <c r="G144" s="144"/>
      <c r="H144" s="485">
        <v>0</v>
      </c>
      <c r="I144" s="144">
        <f t="shared" si="31"/>
        <v>237902.36623321232</v>
      </c>
      <c r="J144" s="484">
        <f t="shared" si="24"/>
        <v>1918.5674696226843</v>
      </c>
      <c r="K144" s="144"/>
      <c r="L144" s="475">
        <f t="shared" si="19"/>
        <v>492560.22170112911</v>
      </c>
      <c r="M144" s="486">
        <f t="shared" si="25"/>
        <v>2257.5676827968414</v>
      </c>
      <c r="O144" s="487">
        <f t="shared" si="20"/>
        <v>-294.58004689831614</v>
      </c>
      <c r="AJ144" s="323">
        <f t="shared" si="21"/>
        <v>2122.1487955659732</v>
      </c>
      <c r="AK144" s="323">
        <f t="shared" si="26"/>
        <v>0</v>
      </c>
      <c r="AL144" s="323">
        <f t="shared" si="22"/>
        <v>159.161159667448</v>
      </c>
      <c r="AM144" s="323">
        <f t="shared" si="27"/>
        <v>0</v>
      </c>
      <c r="AN144" s="323">
        <f t="shared" si="28"/>
        <v>159.161159667448</v>
      </c>
      <c r="AO144" s="323">
        <f t="shared" si="29"/>
        <v>1962.9876358985252</v>
      </c>
    </row>
    <row r="145" spans="1:42" x14ac:dyDescent="0.35">
      <c r="B145">
        <f t="shared" si="30"/>
        <v>125</v>
      </c>
      <c r="E145" s="475">
        <f t="shared" si="18"/>
        <v>1962.9876358985252</v>
      </c>
      <c r="F145" s="484">
        <f t="shared" si="23"/>
        <v>254657.85546791679</v>
      </c>
      <c r="G145" s="144"/>
      <c r="H145" s="485">
        <v>0</v>
      </c>
      <c r="I145" s="144">
        <f t="shared" si="31"/>
        <v>239820.933702835</v>
      </c>
      <c r="J145" s="484">
        <f t="shared" si="24"/>
        <v>1918.5674696226843</v>
      </c>
      <c r="K145" s="144"/>
      <c r="L145" s="475">
        <f t="shared" si="19"/>
        <v>494478.78917075181</v>
      </c>
      <c r="M145" s="486">
        <f t="shared" si="25"/>
        <v>2266.3611170326121</v>
      </c>
      <c r="O145" s="487">
        <f t="shared" si="20"/>
        <v>-303.37348113408689</v>
      </c>
      <c r="AJ145" s="323">
        <f t="shared" si="21"/>
        <v>2122.1487955659732</v>
      </c>
      <c r="AK145" s="323">
        <f t="shared" si="26"/>
        <v>0</v>
      </c>
      <c r="AL145" s="323">
        <f t="shared" si="22"/>
        <v>159.161159667448</v>
      </c>
      <c r="AM145" s="323">
        <f t="shared" si="27"/>
        <v>0</v>
      </c>
      <c r="AN145" s="323">
        <f t="shared" si="28"/>
        <v>159.161159667448</v>
      </c>
      <c r="AO145" s="323">
        <f t="shared" si="29"/>
        <v>1962.9876358985252</v>
      </c>
    </row>
    <row r="146" spans="1:42" x14ac:dyDescent="0.35">
      <c r="B146">
        <f t="shared" si="30"/>
        <v>126</v>
      </c>
      <c r="E146" s="475">
        <f t="shared" si="18"/>
        <v>1962.9876358985252</v>
      </c>
      <c r="F146" s="484">
        <f t="shared" si="23"/>
        <v>254657.85546791679</v>
      </c>
      <c r="G146" s="144"/>
      <c r="H146" s="485">
        <v>0</v>
      </c>
      <c r="I146" s="144">
        <f t="shared" si="31"/>
        <v>241739.50117245768</v>
      </c>
      <c r="J146" s="484">
        <f t="shared" si="24"/>
        <v>1918.5674696226843</v>
      </c>
      <c r="K146" s="144"/>
      <c r="L146" s="475">
        <f t="shared" si="19"/>
        <v>496397.35664037446</v>
      </c>
      <c r="M146" s="486">
        <f t="shared" si="25"/>
        <v>2275.1545512683824</v>
      </c>
      <c r="O146" s="487">
        <f t="shared" si="20"/>
        <v>-312.16691536985718</v>
      </c>
      <c r="AJ146" s="323">
        <f t="shared" si="21"/>
        <v>2122.1487955659732</v>
      </c>
      <c r="AK146" s="323">
        <f t="shared" si="26"/>
        <v>0</v>
      </c>
      <c r="AL146" s="323">
        <f t="shared" si="22"/>
        <v>159.161159667448</v>
      </c>
      <c r="AM146" s="323">
        <f t="shared" si="27"/>
        <v>0</v>
      </c>
      <c r="AN146" s="323">
        <f t="shared" si="28"/>
        <v>159.161159667448</v>
      </c>
      <c r="AO146" s="323">
        <f t="shared" si="29"/>
        <v>1962.9876358985252</v>
      </c>
    </row>
    <row r="147" spans="1:42" x14ac:dyDescent="0.35">
      <c r="B147">
        <f t="shared" si="30"/>
        <v>127</v>
      </c>
      <c r="E147" s="475">
        <f t="shared" si="18"/>
        <v>1962.9876358985252</v>
      </c>
      <c r="F147" s="484">
        <f t="shared" si="23"/>
        <v>254657.85546791679</v>
      </c>
      <c r="G147" s="144"/>
      <c r="H147" s="485">
        <v>0</v>
      </c>
      <c r="I147" s="144">
        <f t="shared" si="31"/>
        <v>243658.06864208035</v>
      </c>
      <c r="J147" s="484">
        <f t="shared" si="24"/>
        <v>1918.5674696226843</v>
      </c>
      <c r="K147" s="144"/>
      <c r="L147" s="475">
        <f t="shared" si="19"/>
        <v>498315.92410999711</v>
      </c>
      <c r="M147" s="486">
        <f t="shared" si="25"/>
        <v>2283.9479855041532</v>
      </c>
      <c r="O147" s="487">
        <f t="shared" si="20"/>
        <v>-320.96034960562793</v>
      </c>
      <c r="AJ147" s="323">
        <f t="shared" si="21"/>
        <v>2122.1487955659732</v>
      </c>
      <c r="AK147" s="323">
        <f t="shared" si="26"/>
        <v>0</v>
      </c>
      <c r="AL147" s="323">
        <f t="shared" si="22"/>
        <v>159.161159667448</v>
      </c>
      <c r="AM147" s="323">
        <f t="shared" si="27"/>
        <v>0</v>
      </c>
      <c r="AN147" s="323">
        <f t="shared" si="28"/>
        <v>159.161159667448</v>
      </c>
      <c r="AO147" s="323">
        <f t="shared" si="29"/>
        <v>1962.9876358985252</v>
      </c>
    </row>
    <row r="148" spans="1:42" x14ac:dyDescent="0.35">
      <c r="B148">
        <f t="shared" si="30"/>
        <v>128</v>
      </c>
      <c r="E148" s="475">
        <f t="shared" si="18"/>
        <v>1962.9876358985252</v>
      </c>
      <c r="F148" s="484">
        <f t="shared" si="23"/>
        <v>254657.85546791679</v>
      </c>
      <c r="G148" s="144"/>
      <c r="H148" s="485">
        <v>0</v>
      </c>
      <c r="I148" s="144">
        <f t="shared" si="31"/>
        <v>245576.63611170303</v>
      </c>
      <c r="J148" s="484">
        <f t="shared" si="24"/>
        <v>1918.5674696226843</v>
      </c>
      <c r="K148" s="144"/>
      <c r="L148" s="475">
        <f t="shared" si="19"/>
        <v>500234.49157961982</v>
      </c>
      <c r="M148" s="486">
        <f t="shared" si="25"/>
        <v>2292.7414197399239</v>
      </c>
      <c r="O148" s="487">
        <f t="shared" si="20"/>
        <v>-329.75378384139867</v>
      </c>
      <c r="AJ148" s="323">
        <f t="shared" si="21"/>
        <v>2122.1487955659732</v>
      </c>
      <c r="AK148" s="323">
        <f t="shared" si="26"/>
        <v>0</v>
      </c>
      <c r="AL148" s="323">
        <f t="shared" si="22"/>
        <v>159.161159667448</v>
      </c>
      <c r="AM148" s="323">
        <f t="shared" si="27"/>
        <v>0</v>
      </c>
      <c r="AN148" s="323">
        <f t="shared" si="28"/>
        <v>159.161159667448</v>
      </c>
      <c r="AO148" s="323">
        <f t="shared" si="29"/>
        <v>1962.9876358985252</v>
      </c>
    </row>
    <row r="149" spans="1:42" x14ac:dyDescent="0.35">
      <c r="B149">
        <f t="shared" si="30"/>
        <v>129</v>
      </c>
      <c r="E149" s="475">
        <f t="shared" ref="E149:E200" si="32">(F149*($E$12/12))</f>
        <v>1962.9876358985252</v>
      </c>
      <c r="F149" s="484">
        <f t="shared" si="23"/>
        <v>254657.85546791679</v>
      </c>
      <c r="G149" s="144"/>
      <c r="H149" s="485">
        <v>0</v>
      </c>
      <c r="I149" s="144">
        <f t="shared" si="31"/>
        <v>247495.20358132571</v>
      </c>
      <c r="J149" s="484">
        <f t="shared" si="24"/>
        <v>1918.5674696226843</v>
      </c>
      <c r="K149" s="144"/>
      <c r="L149" s="475">
        <f t="shared" ref="L149:L200" si="33">$F$17+I149</f>
        <v>502153.05904924253</v>
      </c>
      <c r="M149" s="486">
        <f t="shared" si="25"/>
        <v>2301.5348539756947</v>
      </c>
      <c r="O149" s="487">
        <f t="shared" ref="O149:O200" si="34">E149+H149-M149</f>
        <v>-338.54721807716942</v>
      </c>
      <c r="AJ149" s="323">
        <f t="shared" ref="AJ149:AJ200" si="35">F149*(($E$9+$E$10)/12)</f>
        <v>2122.1487955659732</v>
      </c>
      <c r="AK149" s="323">
        <f t="shared" si="26"/>
        <v>0</v>
      </c>
      <c r="AL149" s="323">
        <f t="shared" ref="AL149:AL200" si="36">F149*(-$E$11/12)</f>
        <v>159.161159667448</v>
      </c>
      <c r="AM149" s="323">
        <f t="shared" si="27"/>
        <v>0</v>
      </c>
      <c r="AN149" s="323">
        <f t="shared" si="28"/>
        <v>159.161159667448</v>
      </c>
      <c r="AO149" s="323">
        <f t="shared" si="29"/>
        <v>1962.9876358985252</v>
      </c>
    </row>
    <row r="150" spans="1:42" x14ac:dyDescent="0.35">
      <c r="B150">
        <f t="shared" si="30"/>
        <v>130</v>
      </c>
      <c r="E150" s="475">
        <f t="shared" si="32"/>
        <v>1962.9876358985252</v>
      </c>
      <c r="F150" s="484">
        <f t="shared" ref="F150:F200" si="37">$E$6</f>
        <v>254657.85546791679</v>
      </c>
      <c r="G150" s="144"/>
      <c r="H150" s="485">
        <v>0</v>
      </c>
      <c r="I150" s="144">
        <f t="shared" si="31"/>
        <v>249413.77105094839</v>
      </c>
      <c r="J150" s="484">
        <f t="shared" ref="J150:J200" si="38">$H$6/180</f>
        <v>1918.5674696226843</v>
      </c>
      <c r="K150" s="144"/>
      <c r="L150" s="475">
        <f t="shared" si="33"/>
        <v>504071.62651886517</v>
      </c>
      <c r="M150" s="486">
        <f t="shared" ref="M150:M200" si="39">(L150*(($M$9+$M$10+$M$11)/12))+($M$14)/12</f>
        <v>2310.328288211465</v>
      </c>
      <c r="O150" s="487">
        <f t="shared" si="34"/>
        <v>-347.34065231293971</v>
      </c>
      <c r="AJ150" s="323">
        <f t="shared" si="35"/>
        <v>2122.1487955659732</v>
      </c>
      <c r="AK150" s="323">
        <f t="shared" ref="AK150:AK200" si="40">$I$17*(($H$9+$H$10)/12)</f>
        <v>0</v>
      </c>
      <c r="AL150" s="323">
        <f t="shared" si="36"/>
        <v>159.161159667448</v>
      </c>
      <c r="AM150" s="323">
        <f t="shared" ref="AM150:AM200" si="41">$I$17*(-$H$11/12)</f>
        <v>0</v>
      </c>
      <c r="AN150" s="323">
        <f t="shared" ref="AN150:AN200" si="42">AL150+AM150</f>
        <v>159.161159667448</v>
      </c>
      <c r="AO150" s="323">
        <f t="shared" ref="AO150:AO200" si="43">AJ150+AK150-AN150</f>
        <v>1962.9876358985252</v>
      </c>
    </row>
    <row r="151" spans="1:42" x14ac:dyDescent="0.35">
      <c r="B151">
        <f t="shared" ref="B151:B200" si="44">B150+1</f>
        <v>131</v>
      </c>
      <c r="E151" s="475">
        <f t="shared" si="32"/>
        <v>1962.9876358985252</v>
      </c>
      <c r="F151" s="484">
        <f t="shared" si="37"/>
        <v>254657.85546791679</v>
      </c>
      <c r="G151" s="144"/>
      <c r="H151" s="485">
        <v>0</v>
      </c>
      <c r="I151" s="144">
        <f t="shared" si="31"/>
        <v>251332.33852057107</v>
      </c>
      <c r="J151" s="484">
        <f t="shared" si="38"/>
        <v>1918.5674696226843</v>
      </c>
      <c r="K151" s="144"/>
      <c r="L151" s="475">
        <f t="shared" si="33"/>
        <v>505990.19398848782</v>
      </c>
      <c r="M151" s="486">
        <f t="shared" si="39"/>
        <v>2319.1217224472352</v>
      </c>
      <c r="O151" s="487">
        <f t="shared" si="34"/>
        <v>-356.13408654871</v>
      </c>
      <c r="AJ151" s="323">
        <f t="shared" si="35"/>
        <v>2122.1487955659732</v>
      </c>
      <c r="AK151" s="323">
        <f t="shared" si="40"/>
        <v>0</v>
      </c>
      <c r="AL151" s="323">
        <f t="shared" si="36"/>
        <v>159.161159667448</v>
      </c>
      <c r="AM151" s="323">
        <f t="shared" si="41"/>
        <v>0</v>
      </c>
      <c r="AN151" s="323">
        <f t="shared" si="42"/>
        <v>159.161159667448</v>
      </c>
      <c r="AO151" s="323">
        <f t="shared" si="43"/>
        <v>1962.9876358985252</v>
      </c>
    </row>
    <row r="152" spans="1:42" x14ac:dyDescent="0.35">
      <c r="B152">
        <f t="shared" si="44"/>
        <v>132</v>
      </c>
      <c r="E152" s="475">
        <f t="shared" si="32"/>
        <v>1962.9876358985252</v>
      </c>
      <c r="F152" s="484">
        <f t="shared" si="37"/>
        <v>254657.85546791679</v>
      </c>
      <c r="G152" s="144"/>
      <c r="H152" s="485">
        <v>0</v>
      </c>
      <c r="I152" s="144">
        <f t="shared" ref="I152:I200" si="45">I151+J152</f>
        <v>253250.90599019374</v>
      </c>
      <c r="J152" s="484">
        <f t="shared" si="38"/>
        <v>1918.5674696226843</v>
      </c>
      <c r="K152" s="144"/>
      <c r="L152" s="475">
        <f t="shared" si="33"/>
        <v>507908.76145811053</v>
      </c>
      <c r="M152" s="486">
        <f t="shared" si="39"/>
        <v>2327.915156683006</v>
      </c>
      <c r="O152" s="487">
        <f t="shared" si="34"/>
        <v>-364.92752078448075</v>
      </c>
      <c r="AJ152" s="323">
        <f t="shared" si="35"/>
        <v>2122.1487955659732</v>
      </c>
      <c r="AK152" s="323">
        <f t="shared" si="40"/>
        <v>0</v>
      </c>
      <c r="AL152" s="323">
        <f t="shared" si="36"/>
        <v>159.161159667448</v>
      </c>
      <c r="AM152" s="323">
        <f t="shared" si="41"/>
        <v>0</v>
      </c>
      <c r="AN152" s="323">
        <f t="shared" si="42"/>
        <v>159.161159667448</v>
      </c>
      <c r="AO152" s="323">
        <f t="shared" si="43"/>
        <v>1962.9876358985252</v>
      </c>
      <c r="AP152" s="387">
        <f>SUM(AO141:AO152)-Y30</f>
        <v>0</v>
      </c>
    </row>
    <row r="153" spans="1:42" x14ac:dyDescent="0.35">
      <c r="A153">
        <f>A141+1</f>
        <v>12</v>
      </c>
      <c r="B153">
        <f t="shared" si="44"/>
        <v>133</v>
      </c>
      <c r="E153" s="475">
        <f t="shared" si="32"/>
        <v>1962.9876358985252</v>
      </c>
      <c r="F153" s="484">
        <f t="shared" si="37"/>
        <v>254657.85546791679</v>
      </c>
      <c r="G153" s="144"/>
      <c r="H153" s="485">
        <v>0</v>
      </c>
      <c r="I153" s="144">
        <f t="shared" si="45"/>
        <v>255169.47345981642</v>
      </c>
      <c r="J153" s="484">
        <f t="shared" si="38"/>
        <v>1918.5674696226843</v>
      </c>
      <c r="K153" s="144"/>
      <c r="L153" s="475">
        <f t="shared" si="33"/>
        <v>509827.32892773324</v>
      </c>
      <c r="M153" s="486">
        <f t="shared" si="39"/>
        <v>2336.7085909187767</v>
      </c>
      <c r="O153" s="487">
        <f t="shared" si="34"/>
        <v>-373.72095502025149</v>
      </c>
      <c r="AJ153" s="323">
        <f t="shared" si="35"/>
        <v>2122.1487955659732</v>
      </c>
      <c r="AK153" s="323">
        <f t="shared" si="40"/>
        <v>0</v>
      </c>
      <c r="AL153" s="323">
        <f t="shared" si="36"/>
        <v>159.161159667448</v>
      </c>
      <c r="AM153" s="323">
        <f t="shared" si="41"/>
        <v>0</v>
      </c>
      <c r="AN153" s="323">
        <f t="shared" si="42"/>
        <v>159.161159667448</v>
      </c>
      <c r="AO153" s="323">
        <f t="shared" si="43"/>
        <v>1962.9876358985252</v>
      </c>
    </row>
    <row r="154" spans="1:42" x14ac:dyDescent="0.35">
      <c r="B154">
        <f t="shared" si="44"/>
        <v>134</v>
      </c>
      <c r="E154" s="475">
        <f t="shared" si="32"/>
        <v>1962.9876358985252</v>
      </c>
      <c r="F154" s="484">
        <f t="shared" si="37"/>
        <v>254657.85546791679</v>
      </c>
      <c r="G154" s="144"/>
      <c r="H154" s="485">
        <v>0</v>
      </c>
      <c r="I154" s="144">
        <f t="shared" si="45"/>
        <v>257088.0409294391</v>
      </c>
      <c r="J154" s="484">
        <f t="shared" si="38"/>
        <v>1918.5674696226843</v>
      </c>
      <c r="K154" s="144"/>
      <c r="L154" s="475">
        <f t="shared" si="33"/>
        <v>511745.89639735589</v>
      </c>
      <c r="M154" s="486">
        <f t="shared" si="39"/>
        <v>2345.5020251545475</v>
      </c>
      <c r="O154" s="487">
        <f t="shared" si="34"/>
        <v>-382.51438925602224</v>
      </c>
      <c r="AJ154" s="323">
        <f t="shared" si="35"/>
        <v>2122.1487955659732</v>
      </c>
      <c r="AK154" s="323">
        <f t="shared" si="40"/>
        <v>0</v>
      </c>
      <c r="AL154" s="323">
        <f t="shared" si="36"/>
        <v>159.161159667448</v>
      </c>
      <c r="AM154" s="323">
        <f t="shared" si="41"/>
        <v>0</v>
      </c>
      <c r="AN154" s="323">
        <f t="shared" si="42"/>
        <v>159.161159667448</v>
      </c>
      <c r="AO154" s="323">
        <f t="shared" si="43"/>
        <v>1962.9876358985252</v>
      </c>
    </row>
    <row r="155" spans="1:42" x14ac:dyDescent="0.35">
      <c r="B155">
        <f t="shared" si="44"/>
        <v>135</v>
      </c>
      <c r="E155" s="475">
        <f t="shared" si="32"/>
        <v>1962.9876358985252</v>
      </c>
      <c r="F155" s="484">
        <f t="shared" si="37"/>
        <v>254657.85546791679</v>
      </c>
      <c r="G155" s="144"/>
      <c r="H155" s="485">
        <v>0</v>
      </c>
      <c r="I155" s="144">
        <f t="shared" si="45"/>
        <v>259006.60839906178</v>
      </c>
      <c r="J155" s="484">
        <f t="shared" si="38"/>
        <v>1918.5674696226843</v>
      </c>
      <c r="K155" s="144"/>
      <c r="L155" s="475">
        <f t="shared" si="33"/>
        <v>513664.46386697853</v>
      </c>
      <c r="M155" s="486">
        <f t="shared" si="39"/>
        <v>2354.2954593903178</v>
      </c>
      <c r="O155" s="487">
        <f t="shared" si="34"/>
        <v>-391.30782349179253</v>
      </c>
      <c r="AJ155" s="323">
        <f t="shared" si="35"/>
        <v>2122.1487955659732</v>
      </c>
      <c r="AK155" s="323">
        <f t="shared" si="40"/>
        <v>0</v>
      </c>
      <c r="AL155" s="323">
        <f t="shared" si="36"/>
        <v>159.161159667448</v>
      </c>
      <c r="AM155" s="323">
        <f t="shared" si="41"/>
        <v>0</v>
      </c>
      <c r="AN155" s="323">
        <f t="shared" si="42"/>
        <v>159.161159667448</v>
      </c>
      <c r="AO155" s="323">
        <f t="shared" si="43"/>
        <v>1962.9876358985252</v>
      </c>
    </row>
    <row r="156" spans="1:42" x14ac:dyDescent="0.35">
      <c r="B156">
        <f t="shared" si="44"/>
        <v>136</v>
      </c>
      <c r="E156" s="475">
        <f t="shared" si="32"/>
        <v>1962.9876358985252</v>
      </c>
      <c r="F156" s="484">
        <f t="shared" si="37"/>
        <v>254657.85546791679</v>
      </c>
      <c r="G156" s="144"/>
      <c r="H156" s="485">
        <v>0</v>
      </c>
      <c r="I156" s="144">
        <f t="shared" si="45"/>
        <v>260925.17586868446</v>
      </c>
      <c r="J156" s="484">
        <f t="shared" si="38"/>
        <v>1918.5674696226843</v>
      </c>
      <c r="K156" s="144"/>
      <c r="L156" s="475">
        <f t="shared" si="33"/>
        <v>515583.03133660124</v>
      </c>
      <c r="M156" s="486">
        <f t="shared" si="39"/>
        <v>2363.0888936260885</v>
      </c>
      <c r="O156" s="487">
        <f t="shared" si="34"/>
        <v>-400.10125772756328</v>
      </c>
      <c r="AJ156" s="323">
        <f t="shared" si="35"/>
        <v>2122.1487955659732</v>
      </c>
      <c r="AK156" s="323">
        <f t="shared" si="40"/>
        <v>0</v>
      </c>
      <c r="AL156" s="323">
        <f t="shared" si="36"/>
        <v>159.161159667448</v>
      </c>
      <c r="AM156" s="323">
        <f t="shared" si="41"/>
        <v>0</v>
      </c>
      <c r="AN156" s="323">
        <f t="shared" si="42"/>
        <v>159.161159667448</v>
      </c>
      <c r="AO156" s="323">
        <f t="shared" si="43"/>
        <v>1962.9876358985252</v>
      </c>
    </row>
    <row r="157" spans="1:42" x14ac:dyDescent="0.35">
      <c r="B157">
        <f t="shared" si="44"/>
        <v>137</v>
      </c>
      <c r="E157" s="475">
        <f t="shared" si="32"/>
        <v>1962.9876358985252</v>
      </c>
      <c r="F157" s="484">
        <f t="shared" si="37"/>
        <v>254657.85546791679</v>
      </c>
      <c r="G157" s="144"/>
      <c r="H157" s="485">
        <v>0</v>
      </c>
      <c r="I157" s="144">
        <f t="shared" si="45"/>
        <v>262843.74333830713</v>
      </c>
      <c r="J157" s="484">
        <f t="shared" si="38"/>
        <v>1918.5674696226843</v>
      </c>
      <c r="K157" s="144"/>
      <c r="L157" s="475">
        <f t="shared" si="33"/>
        <v>517501.59880622395</v>
      </c>
      <c r="M157" s="486">
        <f t="shared" si="39"/>
        <v>2371.8823278618593</v>
      </c>
      <c r="O157" s="487">
        <f t="shared" si="34"/>
        <v>-408.89469196333403</v>
      </c>
      <c r="AJ157" s="323">
        <f t="shared" si="35"/>
        <v>2122.1487955659732</v>
      </c>
      <c r="AK157" s="323">
        <f t="shared" si="40"/>
        <v>0</v>
      </c>
      <c r="AL157" s="323">
        <f t="shared" si="36"/>
        <v>159.161159667448</v>
      </c>
      <c r="AM157" s="323">
        <f t="shared" si="41"/>
        <v>0</v>
      </c>
      <c r="AN157" s="323">
        <f t="shared" si="42"/>
        <v>159.161159667448</v>
      </c>
      <c r="AO157" s="323">
        <f t="shared" si="43"/>
        <v>1962.9876358985252</v>
      </c>
    </row>
    <row r="158" spans="1:42" x14ac:dyDescent="0.35">
      <c r="B158">
        <f t="shared" si="44"/>
        <v>138</v>
      </c>
      <c r="E158" s="475">
        <f t="shared" si="32"/>
        <v>1962.9876358985252</v>
      </c>
      <c r="F158" s="484">
        <f t="shared" si="37"/>
        <v>254657.85546791679</v>
      </c>
      <c r="G158" s="144"/>
      <c r="H158" s="485">
        <v>0</v>
      </c>
      <c r="I158" s="144">
        <f t="shared" si="45"/>
        <v>264762.31080792984</v>
      </c>
      <c r="J158" s="484">
        <f t="shared" si="38"/>
        <v>1918.5674696226843</v>
      </c>
      <c r="K158" s="144"/>
      <c r="L158" s="475">
        <f t="shared" si="33"/>
        <v>519420.16627584666</v>
      </c>
      <c r="M158" s="486">
        <f t="shared" si="39"/>
        <v>2380.67576209763</v>
      </c>
      <c r="O158" s="487">
        <f t="shared" si="34"/>
        <v>-417.68812619910477</v>
      </c>
      <c r="AJ158" s="323">
        <f t="shared" si="35"/>
        <v>2122.1487955659732</v>
      </c>
      <c r="AK158" s="323">
        <f t="shared" si="40"/>
        <v>0</v>
      </c>
      <c r="AL158" s="323">
        <f t="shared" si="36"/>
        <v>159.161159667448</v>
      </c>
      <c r="AM158" s="323">
        <f t="shared" si="41"/>
        <v>0</v>
      </c>
      <c r="AN158" s="323">
        <f t="shared" si="42"/>
        <v>159.161159667448</v>
      </c>
      <c r="AO158" s="323">
        <f t="shared" si="43"/>
        <v>1962.9876358985252</v>
      </c>
    </row>
    <row r="159" spans="1:42" x14ac:dyDescent="0.35">
      <c r="B159">
        <f t="shared" si="44"/>
        <v>139</v>
      </c>
      <c r="E159" s="475">
        <f t="shared" si="32"/>
        <v>1962.9876358985252</v>
      </c>
      <c r="F159" s="484">
        <f t="shared" si="37"/>
        <v>254657.85546791679</v>
      </c>
      <c r="G159" s="144"/>
      <c r="H159" s="485">
        <v>0</v>
      </c>
      <c r="I159" s="144">
        <f t="shared" si="45"/>
        <v>266680.87827755255</v>
      </c>
      <c r="J159" s="484">
        <f t="shared" si="38"/>
        <v>1918.5674696226843</v>
      </c>
      <c r="K159" s="144"/>
      <c r="L159" s="475">
        <f t="shared" si="33"/>
        <v>521338.73374546936</v>
      </c>
      <c r="M159" s="486">
        <f t="shared" si="39"/>
        <v>2389.4691963334008</v>
      </c>
      <c r="O159" s="487">
        <f t="shared" si="34"/>
        <v>-426.48156043487552</v>
      </c>
      <c r="AJ159" s="323">
        <f t="shared" si="35"/>
        <v>2122.1487955659732</v>
      </c>
      <c r="AK159" s="323">
        <f t="shared" si="40"/>
        <v>0</v>
      </c>
      <c r="AL159" s="323">
        <f t="shared" si="36"/>
        <v>159.161159667448</v>
      </c>
      <c r="AM159" s="323">
        <f t="shared" si="41"/>
        <v>0</v>
      </c>
      <c r="AN159" s="323">
        <f t="shared" si="42"/>
        <v>159.161159667448</v>
      </c>
      <c r="AO159" s="323">
        <f t="shared" si="43"/>
        <v>1962.9876358985252</v>
      </c>
    </row>
    <row r="160" spans="1:42" x14ac:dyDescent="0.35">
      <c r="B160">
        <f t="shared" si="44"/>
        <v>140</v>
      </c>
      <c r="E160" s="475">
        <f t="shared" si="32"/>
        <v>1962.9876358985252</v>
      </c>
      <c r="F160" s="484">
        <f t="shared" si="37"/>
        <v>254657.85546791679</v>
      </c>
      <c r="G160" s="144"/>
      <c r="H160" s="485">
        <v>0</v>
      </c>
      <c r="I160" s="144">
        <f t="shared" si="45"/>
        <v>268599.44574717525</v>
      </c>
      <c r="J160" s="484">
        <f t="shared" si="38"/>
        <v>1918.5674696226843</v>
      </c>
      <c r="K160" s="144"/>
      <c r="L160" s="475">
        <f t="shared" si="33"/>
        <v>523257.30121509207</v>
      </c>
      <c r="M160" s="486">
        <f t="shared" si="39"/>
        <v>2398.2626305691715</v>
      </c>
      <c r="O160" s="487">
        <f t="shared" si="34"/>
        <v>-435.27499467064627</v>
      </c>
      <c r="AJ160" s="323">
        <f t="shared" si="35"/>
        <v>2122.1487955659732</v>
      </c>
      <c r="AK160" s="323">
        <f t="shared" si="40"/>
        <v>0</v>
      </c>
      <c r="AL160" s="323">
        <f t="shared" si="36"/>
        <v>159.161159667448</v>
      </c>
      <c r="AM160" s="323">
        <f t="shared" si="41"/>
        <v>0</v>
      </c>
      <c r="AN160" s="323">
        <f t="shared" si="42"/>
        <v>159.161159667448</v>
      </c>
      <c r="AO160" s="323">
        <f t="shared" si="43"/>
        <v>1962.9876358985252</v>
      </c>
    </row>
    <row r="161" spans="1:42" x14ac:dyDescent="0.35">
      <c r="B161">
        <f t="shared" si="44"/>
        <v>141</v>
      </c>
      <c r="E161" s="475">
        <f t="shared" si="32"/>
        <v>1962.9876358985252</v>
      </c>
      <c r="F161" s="484">
        <f t="shared" si="37"/>
        <v>254657.85546791679</v>
      </c>
      <c r="G161" s="144"/>
      <c r="H161" s="485">
        <v>0</v>
      </c>
      <c r="I161" s="144">
        <f t="shared" si="45"/>
        <v>270518.01321679796</v>
      </c>
      <c r="J161" s="484">
        <f t="shared" si="38"/>
        <v>1918.5674696226843</v>
      </c>
      <c r="K161" s="144"/>
      <c r="L161" s="475">
        <f t="shared" si="33"/>
        <v>525175.86868471478</v>
      </c>
      <c r="M161" s="486">
        <f t="shared" si="39"/>
        <v>2407.0560648049423</v>
      </c>
      <c r="O161" s="487">
        <f t="shared" si="34"/>
        <v>-444.06842890641701</v>
      </c>
      <c r="AJ161" s="323">
        <f t="shared" si="35"/>
        <v>2122.1487955659732</v>
      </c>
      <c r="AK161" s="323">
        <f t="shared" si="40"/>
        <v>0</v>
      </c>
      <c r="AL161" s="323">
        <f t="shared" si="36"/>
        <v>159.161159667448</v>
      </c>
      <c r="AM161" s="323">
        <f t="shared" si="41"/>
        <v>0</v>
      </c>
      <c r="AN161" s="323">
        <f t="shared" si="42"/>
        <v>159.161159667448</v>
      </c>
      <c r="AO161" s="323">
        <f t="shared" si="43"/>
        <v>1962.9876358985252</v>
      </c>
    </row>
    <row r="162" spans="1:42" x14ac:dyDescent="0.35">
      <c r="B162">
        <f t="shared" si="44"/>
        <v>142</v>
      </c>
      <c r="E162" s="475">
        <f t="shared" si="32"/>
        <v>1962.9876358985252</v>
      </c>
      <c r="F162" s="484">
        <f t="shared" si="37"/>
        <v>254657.85546791679</v>
      </c>
      <c r="G162" s="144"/>
      <c r="H162" s="485">
        <v>0</v>
      </c>
      <c r="I162" s="144">
        <f t="shared" si="45"/>
        <v>272436.58068642067</v>
      </c>
      <c r="J162" s="484">
        <f t="shared" si="38"/>
        <v>1918.5674696226843</v>
      </c>
      <c r="K162" s="144"/>
      <c r="L162" s="475">
        <f t="shared" si="33"/>
        <v>527094.43615433748</v>
      </c>
      <c r="M162" s="486">
        <f t="shared" si="39"/>
        <v>2415.849499040713</v>
      </c>
      <c r="O162" s="487">
        <f t="shared" si="34"/>
        <v>-452.86186314218776</v>
      </c>
      <c r="AJ162" s="323">
        <f t="shared" si="35"/>
        <v>2122.1487955659732</v>
      </c>
      <c r="AK162" s="323">
        <f t="shared" si="40"/>
        <v>0</v>
      </c>
      <c r="AL162" s="323">
        <f t="shared" si="36"/>
        <v>159.161159667448</v>
      </c>
      <c r="AM162" s="323">
        <f t="shared" si="41"/>
        <v>0</v>
      </c>
      <c r="AN162" s="323">
        <f t="shared" si="42"/>
        <v>159.161159667448</v>
      </c>
      <c r="AO162" s="323">
        <f t="shared" si="43"/>
        <v>1962.9876358985252</v>
      </c>
    </row>
    <row r="163" spans="1:42" x14ac:dyDescent="0.35">
      <c r="B163">
        <f t="shared" si="44"/>
        <v>143</v>
      </c>
      <c r="E163" s="475">
        <f t="shared" si="32"/>
        <v>1962.9876358985252</v>
      </c>
      <c r="F163" s="484">
        <f t="shared" si="37"/>
        <v>254657.85546791679</v>
      </c>
      <c r="G163" s="144"/>
      <c r="H163" s="485">
        <v>0</v>
      </c>
      <c r="I163" s="144">
        <f t="shared" si="45"/>
        <v>274355.14815604337</v>
      </c>
      <c r="J163" s="484">
        <f t="shared" si="38"/>
        <v>1918.5674696226843</v>
      </c>
      <c r="K163" s="144"/>
      <c r="L163" s="475">
        <f t="shared" si="33"/>
        <v>529013.00362396019</v>
      </c>
      <c r="M163" s="486">
        <f t="shared" si="39"/>
        <v>2424.6429332764837</v>
      </c>
      <c r="O163" s="487">
        <f t="shared" si="34"/>
        <v>-461.6552973779585</v>
      </c>
      <c r="AJ163" s="323">
        <f t="shared" si="35"/>
        <v>2122.1487955659732</v>
      </c>
      <c r="AK163" s="323">
        <f t="shared" si="40"/>
        <v>0</v>
      </c>
      <c r="AL163" s="323">
        <f t="shared" si="36"/>
        <v>159.161159667448</v>
      </c>
      <c r="AM163" s="323">
        <f t="shared" si="41"/>
        <v>0</v>
      </c>
      <c r="AN163" s="323">
        <f t="shared" si="42"/>
        <v>159.161159667448</v>
      </c>
      <c r="AO163" s="323">
        <f t="shared" si="43"/>
        <v>1962.9876358985252</v>
      </c>
    </row>
    <row r="164" spans="1:42" x14ac:dyDescent="0.35">
      <c r="B164">
        <f t="shared" si="44"/>
        <v>144</v>
      </c>
      <c r="E164" s="475">
        <f t="shared" si="32"/>
        <v>1962.9876358985252</v>
      </c>
      <c r="F164" s="484">
        <f t="shared" si="37"/>
        <v>254657.85546791679</v>
      </c>
      <c r="G164" s="144"/>
      <c r="H164" s="485">
        <v>0</v>
      </c>
      <c r="I164" s="144">
        <f t="shared" si="45"/>
        <v>276273.71562566608</v>
      </c>
      <c r="J164" s="484">
        <f t="shared" si="38"/>
        <v>1918.5674696226843</v>
      </c>
      <c r="K164" s="144"/>
      <c r="L164" s="475">
        <f t="shared" si="33"/>
        <v>530931.5710935829</v>
      </c>
      <c r="M164" s="486">
        <f t="shared" si="39"/>
        <v>2433.4363675122545</v>
      </c>
      <c r="O164" s="487">
        <f t="shared" si="34"/>
        <v>-470.44873161372925</v>
      </c>
      <c r="AJ164" s="323">
        <f t="shared" si="35"/>
        <v>2122.1487955659732</v>
      </c>
      <c r="AK164" s="323">
        <f t="shared" si="40"/>
        <v>0</v>
      </c>
      <c r="AL164" s="323">
        <f t="shared" si="36"/>
        <v>159.161159667448</v>
      </c>
      <c r="AM164" s="323">
        <f t="shared" si="41"/>
        <v>0</v>
      </c>
      <c r="AN164" s="323">
        <f t="shared" si="42"/>
        <v>159.161159667448</v>
      </c>
      <c r="AO164" s="323">
        <f t="shared" si="43"/>
        <v>1962.9876358985252</v>
      </c>
      <c r="AP164" s="387">
        <f>SUM(AO153:AO164)-Y31</f>
        <v>0</v>
      </c>
    </row>
    <row r="165" spans="1:42" x14ac:dyDescent="0.35">
      <c r="A165">
        <f>A153+1</f>
        <v>13</v>
      </c>
      <c r="B165">
        <f t="shared" si="44"/>
        <v>145</v>
      </c>
      <c r="E165" s="475">
        <f t="shared" si="32"/>
        <v>1962.9876358985252</v>
      </c>
      <c r="F165" s="484">
        <f t="shared" si="37"/>
        <v>254657.85546791679</v>
      </c>
      <c r="G165" s="144"/>
      <c r="H165" s="485">
        <v>0</v>
      </c>
      <c r="I165" s="144">
        <f t="shared" si="45"/>
        <v>278192.28309528879</v>
      </c>
      <c r="J165" s="484">
        <f t="shared" si="38"/>
        <v>1918.5674696226843</v>
      </c>
      <c r="K165" s="144"/>
      <c r="L165" s="475">
        <f t="shared" si="33"/>
        <v>532850.1385632056</v>
      </c>
      <c r="M165" s="486">
        <f t="shared" si="39"/>
        <v>2442.2298017480252</v>
      </c>
      <c r="O165" s="487">
        <f t="shared" si="34"/>
        <v>-479.2421658495</v>
      </c>
      <c r="AJ165" s="323">
        <f t="shared" si="35"/>
        <v>2122.1487955659732</v>
      </c>
      <c r="AK165" s="323">
        <f t="shared" si="40"/>
        <v>0</v>
      </c>
      <c r="AL165" s="323">
        <f t="shared" si="36"/>
        <v>159.161159667448</v>
      </c>
      <c r="AM165" s="323">
        <f t="shared" si="41"/>
        <v>0</v>
      </c>
      <c r="AN165" s="323">
        <f t="shared" si="42"/>
        <v>159.161159667448</v>
      </c>
      <c r="AO165" s="323">
        <f t="shared" si="43"/>
        <v>1962.9876358985252</v>
      </c>
    </row>
    <row r="166" spans="1:42" x14ac:dyDescent="0.35">
      <c r="B166">
        <f t="shared" si="44"/>
        <v>146</v>
      </c>
      <c r="E166" s="475">
        <f t="shared" si="32"/>
        <v>1962.9876358985252</v>
      </c>
      <c r="F166" s="484">
        <f t="shared" si="37"/>
        <v>254657.85546791679</v>
      </c>
      <c r="G166" s="144"/>
      <c r="H166" s="485">
        <v>0</v>
      </c>
      <c r="I166" s="144">
        <f t="shared" si="45"/>
        <v>280110.8505649115</v>
      </c>
      <c r="J166" s="484">
        <f t="shared" si="38"/>
        <v>1918.5674696226843</v>
      </c>
      <c r="K166" s="144"/>
      <c r="L166" s="475">
        <f t="shared" si="33"/>
        <v>534768.70603282831</v>
      </c>
      <c r="M166" s="486">
        <f t="shared" si="39"/>
        <v>2451.023235983796</v>
      </c>
      <c r="O166" s="487">
        <f t="shared" si="34"/>
        <v>-488.03560008527074</v>
      </c>
      <c r="AJ166" s="323">
        <f t="shared" si="35"/>
        <v>2122.1487955659732</v>
      </c>
      <c r="AK166" s="323">
        <f t="shared" si="40"/>
        <v>0</v>
      </c>
      <c r="AL166" s="323">
        <f t="shared" si="36"/>
        <v>159.161159667448</v>
      </c>
      <c r="AM166" s="323">
        <f t="shared" si="41"/>
        <v>0</v>
      </c>
      <c r="AN166" s="323">
        <f t="shared" si="42"/>
        <v>159.161159667448</v>
      </c>
      <c r="AO166" s="323">
        <f t="shared" si="43"/>
        <v>1962.9876358985252</v>
      </c>
    </row>
    <row r="167" spans="1:42" x14ac:dyDescent="0.35">
      <c r="B167">
        <f t="shared" si="44"/>
        <v>147</v>
      </c>
      <c r="E167" s="475">
        <f t="shared" si="32"/>
        <v>1962.9876358985252</v>
      </c>
      <c r="F167" s="484">
        <f t="shared" si="37"/>
        <v>254657.85546791679</v>
      </c>
      <c r="G167" s="144"/>
      <c r="H167" s="485">
        <v>0</v>
      </c>
      <c r="I167" s="144">
        <f t="shared" si="45"/>
        <v>282029.4180345342</v>
      </c>
      <c r="J167" s="484">
        <f t="shared" si="38"/>
        <v>1918.5674696226843</v>
      </c>
      <c r="K167" s="144"/>
      <c r="L167" s="475">
        <f t="shared" si="33"/>
        <v>536687.27350245102</v>
      </c>
      <c r="M167" s="486">
        <f t="shared" si="39"/>
        <v>2459.8166702195667</v>
      </c>
      <c r="O167" s="487">
        <f t="shared" si="34"/>
        <v>-496.82903432104149</v>
      </c>
      <c r="AJ167" s="323">
        <f t="shared" si="35"/>
        <v>2122.1487955659732</v>
      </c>
      <c r="AK167" s="323">
        <f t="shared" si="40"/>
        <v>0</v>
      </c>
      <c r="AL167" s="323">
        <f t="shared" si="36"/>
        <v>159.161159667448</v>
      </c>
      <c r="AM167" s="323">
        <f t="shared" si="41"/>
        <v>0</v>
      </c>
      <c r="AN167" s="323">
        <f t="shared" si="42"/>
        <v>159.161159667448</v>
      </c>
      <c r="AO167" s="323">
        <f t="shared" si="43"/>
        <v>1962.9876358985252</v>
      </c>
    </row>
    <row r="168" spans="1:42" x14ac:dyDescent="0.35">
      <c r="B168">
        <f t="shared" si="44"/>
        <v>148</v>
      </c>
      <c r="E168" s="475">
        <f t="shared" si="32"/>
        <v>1962.9876358985252</v>
      </c>
      <c r="F168" s="484">
        <f t="shared" si="37"/>
        <v>254657.85546791679</v>
      </c>
      <c r="G168" s="144"/>
      <c r="H168" s="485">
        <v>0</v>
      </c>
      <c r="I168" s="144">
        <f t="shared" si="45"/>
        <v>283947.98550415691</v>
      </c>
      <c r="J168" s="484">
        <f t="shared" si="38"/>
        <v>1918.5674696226843</v>
      </c>
      <c r="K168" s="144"/>
      <c r="L168" s="475">
        <f t="shared" si="33"/>
        <v>538605.84097207373</v>
      </c>
      <c r="M168" s="486">
        <f t="shared" si="39"/>
        <v>2468.6101044553375</v>
      </c>
      <c r="O168" s="487">
        <f t="shared" si="34"/>
        <v>-505.62246855681224</v>
      </c>
      <c r="AJ168" s="323">
        <f t="shared" si="35"/>
        <v>2122.1487955659732</v>
      </c>
      <c r="AK168" s="323">
        <f t="shared" si="40"/>
        <v>0</v>
      </c>
      <c r="AL168" s="323">
        <f t="shared" si="36"/>
        <v>159.161159667448</v>
      </c>
      <c r="AM168" s="323">
        <f t="shared" si="41"/>
        <v>0</v>
      </c>
      <c r="AN168" s="323">
        <f t="shared" si="42"/>
        <v>159.161159667448</v>
      </c>
      <c r="AO168" s="323">
        <f t="shared" si="43"/>
        <v>1962.9876358985252</v>
      </c>
    </row>
    <row r="169" spans="1:42" x14ac:dyDescent="0.35">
      <c r="B169">
        <f t="shared" si="44"/>
        <v>149</v>
      </c>
      <c r="E169" s="475">
        <f t="shared" si="32"/>
        <v>1962.9876358985252</v>
      </c>
      <c r="F169" s="484">
        <f t="shared" si="37"/>
        <v>254657.85546791679</v>
      </c>
      <c r="G169" s="144"/>
      <c r="H169" s="485">
        <v>0</v>
      </c>
      <c r="I169" s="144">
        <f t="shared" si="45"/>
        <v>285866.55297377962</v>
      </c>
      <c r="J169" s="484">
        <f t="shared" si="38"/>
        <v>1918.5674696226843</v>
      </c>
      <c r="K169" s="144"/>
      <c r="L169" s="475">
        <f t="shared" si="33"/>
        <v>540524.40844169643</v>
      </c>
      <c r="M169" s="486">
        <f t="shared" si="39"/>
        <v>2477.4035386911082</v>
      </c>
      <c r="O169" s="487">
        <f t="shared" si="34"/>
        <v>-514.41590279258298</v>
      </c>
      <c r="AJ169" s="323">
        <f t="shared" si="35"/>
        <v>2122.1487955659732</v>
      </c>
      <c r="AK169" s="323">
        <f t="shared" si="40"/>
        <v>0</v>
      </c>
      <c r="AL169" s="323">
        <f t="shared" si="36"/>
        <v>159.161159667448</v>
      </c>
      <c r="AM169" s="323">
        <f t="shared" si="41"/>
        <v>0</v>
      </c>
      <c r="AN169" s="323">
        <f t="shared" si="42"/>
        <v>159.161159667448</v>
      </c>
      <c r="AO169" s="323">
        <f t="shared" si="43"/>
        <v>1962.9876358985252</v>
      </c>
    </row>
    <row r="170" spans="1:42" x14ac:dyDescent="0.35">
      <c r="B170">
        <f t="shared" si="44"/>
        <v>150</v>
      </c>
      <c r="E170" s="475">
        <f t="shared" si="32"/>
        <v>1962.9876358985252</v>
      </c>
      <c r="F170" s="484">
        <f t="shared" si="37"/>
        <v>254657.85546791679</v>
      </c>
      <c r="G170" s="144"/>
      <c r="H170" s="485">
        <v>0</v>
      </c>
      <c r="I170" s="144">
        <f t="shared" si="45"/>
        <v>287785.12044340232</v>
      </c>
      <c r="J170" s="484">
        <f t="shared" si="38"/>
        <v>1918.5674696226843</v>
      </c>
      <c r="K170" s="144"/>
      <c r="L170" s="475">
        <f t="shared" si="33"/>
        <v>542442.97591131914</v>
      </c>
      <c r="M170" s="486">
        <f t="shared" si="39"/>
        <v>2486.196972926879</v>
      </c>
      <c r="O170" s="487">
        <f t="shared" si="34"/>
        <v>-523.20933702835373</v>
      </c>
      <c r="AJ170" s="323">
        <f t="shared" si="35"/>
        <v>2122.1487955659732</v>
      </c>
      <c r="AK170" s="323">
        <f t="shared" si="40"/>
        <v>0</v>
      </c>
      <c r="AL170" s="323">
        <f t="shared" si="36"/>
        <v>159.161159667448</v>
      </c>
      <c r="AM170" s="323">
        <f t="shared" si="41"/>
        <v>0</v>
      </c>
      <c r="AN170" s="323">
        <f t="shared" si="42"/>
        <v>159.161159667448</v>
      </c>
      <c r="AO170" s="323">
        <f t="shared" si="43"/>
        <v>1962.9876358985252</v>
      </c>
    </row>
    <row r="171" spans="1:42" x14ac:dyDescent="0.35">
      <c r="B171">
        <f t="shared" si="44"/>
        <v>151</v>
      </c>
      <c r="E171" s="475">
        <f t="shared" si="32"/>
        <v>1962.9876358985252</v>
      </c>
      <c r="F171" s="484">
        <f t="shared" si="37"/>
        <v>254657.85546791679</v>
      </c>
      <c r="G171" s="144"/>
      <c r="H171" s="485">
        <v>0</v>
      </c>
      <c r="I171" s="144">
        <f t="shared" si="45"/>
        <v>289703.68791302503</v>
      </c>
      <c r="J171" s="484">
        <f t="shared" si="38"/>
        <v>1918.5674696226843</v>
      </c>
      <c r="K171" s="144"/>
      <c r="L171" s="475">
        <f t="shared" si="33"/>
        <v>544361.54338094185</v>
      </c>
      <c r="M171" s="486">
        <f t="shared" si="39"/>
        <v>2494.9904071626497</v>
      </c>
      <c r="O171" s="487">
        <f t="shared" si="34"/>
        <v>-532.00277126412448</v>
      </c>
      <c r="AJ171" s="323">
        <f t="shared" si="35"/>
        <v>2122.1487955659732</v>
      </c>
      <c r="AK171" s="323">
        <f t="shared" si="40"/>
        <v>0</v>
      </c>
      <c r="AL171" s="323">
        <f t="shared" si="36"/>
        <v>159.161159667448</v>
      </c>
      <c r="AM171" s="323">
        <f t="shared" si="41"/>
        <v>0</v>
      </c>
      <c r="AN171" s="323">
        <f t="shared" si="42"/>
        <v>159.161159667448</v>
      </c>
      <c r="AO171" s="323">
        <f t="shared" si="43"/>
        <v>1962.9876358985252</v>
      </c>
    </row>
    <row r="172" spans="1:42" x14ac:dyDescent="0.35">
      <c r="B172">
        <f t="shared" si="44"/>
        <v>152</v>
      </c>
      <c r="E172" s="475">
        <f t="shared" si="32"/>
        <v>1962.9876358985252</v>
      </c>
      <c r="F172" s="484">
        <f t="shared" si="37"/>
        <v>254657.85546791679</v>
      </c>
      <c r="G172" s="144"/>
      <c r="H172" s="485">
        <v>0</v>
      </c>
      <c r="I172" s="144">
        <f t="shared" si="45"/>
        <v>291622.25538264774</v>
      </c>
      <c r="J172" s="484">
        <f t="shared" si="38"/>
        <v>1918.5674696226843</v>
      </c>
      <c r="K172" s="144"/>
      <c r="L172" s="475">
        <f t="shared" si="33"/>
        <v>546280.11085056455</v>
      </c>
      <c r="M172" s="486">
        <f t="shared" si="39"/>
        <v>2503.7838413984205</v>
      </c>
      <c r="O172" s="487">
        <f t="shared" si="34"/>
        <v>-540.79620549989522</v>
      </c>
      <c r="AJ172" s="323">
        <f t="shared" si="35"/>
        <v>2122.1487955659732</v>
      </c>
      <c r="AK172" s="323">
        <f t="shared" si="40"/>
        <v>0</v>
      </c>
      <c r="AL172" s="323">
        <f t="shared" si="36"/>
        <v>159.161159667448</v>
      </c>
      <c r="AM172" s="323">
        <f t="shared" si="41"/>
        <v>0</v>
      </c>
      <c r="AN172" s="323">
        <f t="shared" si="42"/>
        <v>159.161159667448</v>
      </c>
      <c r="AO172" s="323">
        <f t="shared" si="43"/>
        <v>1962.9876358985252</v>
      </c>
    </row>
    <row r="173" spans="1:42" x14ac:dyDescent="0.35">
      <c r="B173">
        <f t="shared" si="44"/>
        <v>153</v>
      </c>
      <c r="E173" s="475">
        <f t="shared" si="32"/>
        <v>1962.9876358985252</v>
      </c>
      <c r="F173" s="484">
        <f t="shared" si="37"/>
        <v>254657.85546791679</v>
      </c>
      <c r="G173" s="144"/>
      <c r="H173" s="485">
        <v>0</v>
      </c>
      <c r="I173" s="144">
        <f t="shared" si="45"/>
        <v>293540.82285227044</v>
      </c>
      <c r="J173" s="484">
        <f t="shared" si="38"/>
        <v>1918.5674696226843</v>
      </c>
      <c r="K173" s="144"/>
      <c r="L173" s="475">
        <f t="shared" si="33"/>
        <v>548198.67832018726</v>
      </c>
      <c r="M173" s="486">
        <f t="shared" si="39"/>
        <v>2512.5772756341912</v>
      </c>
      <c r="O173" s="487">
        <f t="shared" si="34"/>
        <v>-549.58963973566597</v>
      </c>
      <c r="AJ173" s="323">
        <f t="shared" si="35"/>
        <v>2122.1487955659732</v>
      </c>
      <c r="AK173" s="323">
        <f t="shared" si="40"/>
        <v>0</v>
      </c>
      <c r="AL173" s="323">
        <f t="shared" si="36"/>
        <v>159.161159667448</v>
      </c>
      <c r="AM173" s="323">
        <f t="shared" si="41"/>
        <v>0</v>
      </c>
      <c r="AN173" s="323">
        <f t="shared" si="42"/>
        <v>159.161159667448</v>
      </c>
      <c r="AO173" s="323">
        <f t="shared" si="43"/>
        <v>1962.9876358985252</v>
      </c>
    </row>
    <row r="174" spans="1:42" x14ac:dyDescent="0.35">
      <c r="B174">
        <f t="shared" si="44"/>
        <v>154</v>
      </c>
      <c r="E174" s="475">
        <f t="shared" si="32"/>
        <v>1962.9876358985252</v>
      </c>
      <c r="F174" s="484">
        <f t="shared" si="37"/>
        <v>254657.85546791679</v>
      </c>
      <c r="G174" s="144"/>
      <c r="H174" s="485">
        <v>0</v>
      </c>
      <c r="I174" s="144">
        <f t="shared" si="45"/>
        <v>295459.39032189315</v>
      </c>
      <c r="J174" s="484">
        <f t="shared" si="38"/>
        <v>1918.5674696226843</v>
      </c>
      <c r="K174" s="144"/>
      <c r="L174" s="475">
        <f t="shared" si="33"/>
        <v>550117.24578980997</v>
      </c>
      <c r="M174" s="486">
        <f t="shared" si="39"/>
        <v>2521.370709869962</v>
      </c>
      <c r="O174" s="487">
        <f t="shared" si="34"/>
        <v>-558.38307397143672</v>
      </c>
      <c r="AJ174" s="323">
        <f t="shared" si="35"/>
        <v>2122.1487955659732</v>
      </c>
      <c r="AK174" s="323">
        <f t="shared" si="40"/>
        <v>0</v>
      </c>
      <c r="AL174" s="323">
        <f t="shared" si="36"/>
        <v>159.161159667448</v>
      </c>
      <c r="AM174" s="323">
        <f t="shared" si="41"/>
        <v>0</v>
      </c>
      <c r="AN174" s="323">
        <f t="shared" si="42"/>
        <v>159.161159667448</v>
      </c>
      <c r="AO174" s="323">
        <f t="shared" si="43"/>
        <v>1962.9876358985252</v>
      </c>
    </row>
    <row r="175" spans="1:42" x14ac:dyDescent="0.35">
      <c r="B175">
        <f t="shared" si="44"/>
        <v>155</v>
      </c>
      <c r="E175" s="475">
        <f t="shared" si="32"/>
        <v>1962.9876358985252</v>
      </c>
      <c r="F175" s="484">
        <f t="shared" si="37"/>
        <v>254657.85546791679</v>
      </c>
      <c r="G175" s="144"/>
      <c r="H175" s="485">
        <v>0</v>
      </c>
      <c r="I175" s="144">
        <f t="shared" si="45"/>
        <v>297377.95779151586</v>
      </c>
      <c r="J175" s="484">
        <f t="shared" si="38"/>
        <v>1918.5674696226843</v>
      </c>
      <c r="K175" s="144"/>
      <c r="L175" s="475">
        <f t="shared" si="33"/>
        <v>552035.81325943267</v>
      </c>
      <c r="M175" s="486">
        <f t="shared" si="39"/>
        <v>2530.1641441057327</v>
      </c>
      <c r="O175" s="487">
        <f t="shared" si="34"/>
        <v>-567.17650820720746</v>
      </c>
      <c r="AJ175" s="323">
        <f t="shared" si="35"/>
        <v>2122.1487955659732</v>
      </c>
      <c r="AK175" s="323">
        <f t="shared" si="40"/>
        <v>0</v>
      </c>
      <c r="AL175" s="323">
        <f t="shared" si="36"/>
        <v>159.161159667448</v>
      </c>
      <c r="AM175" s="323">
        <f t="shared" si="41"/>
        <v>0</v>
      </c>
      <c r="AN175" s="323">
        <f t="shared" si="42"/>
        <v>159.161159667448</v>
      </c>
      <c r="AO175" s="323">
        <f t="shared" si="43"/>
        <v>1962.9876358985252</v>
      </c>
    </row>
    <row r="176" spans="1:42" x14ac:dyDescent="0.35">
      <c r="B176">
        <f t="shared" si="44"/>
        <v>156</v>
      </c>
      <c r="E176" s="475">
        <f t="shared" si="32"/>
        <v>1962.9876358985252</v>
      </c>
      <c r="F176" s="484">
        <f t="shared" si="37"/>
        <v>254657.85546791679</v>
      </c>
      <c r="G176" s="144"/>
      <c r="H176" s="485">
        <v>0</v>
      </c>
      <c r="I176" s="144">
        <f t="shared" si="45"/>
        <v>299296.52526113857</v>
      </c>
      <c r="J176" s="484">
        <f t="shared" si="38"/>
        <v>1918.5674696226843</v>
      </c>
      <c r="K176" s="144"/>
      <c r="L176" s="475">
        <f t="shared" si="33"/>
        <v>553954.38072905538</v>
      </c>
      <c r="M176" s="486">
        <f t="shared" si="39"/>
        <v>2538.9575783415034</v>
      </c>
      <c r="O176" s="487">
        <f t="shared" si="34"/>
        <v>-575.96994244297821</v>
      </c>
      <c r="AJ176" s="323">
        <f t="shared" si="35"/>
        <v>2122.1487955659732</v>
      </c>
      <c r="AK176" s="323">
        <f t="shared" si="40"/>
        <v>0</v>
      </c>
      <c r="AL176" s="323">
        <f t="shared" si="36"/>
        <v>159.161159667448</v>
      </c>
      <c r="AM176" s="323">
        <f t="shared" si="41"/>
        <v>0</v>
      </c>
      <c r="AN176" s="323">
        <f t="shared" si="42"/>
        <v>159.161159667448</v>
      </c>
      <c r="AO176" s="323">
        <f t="shared" si="43"/>
        <v>1962.9876358985252</v>
      </c>
      <c r="AP176" s="387">
        <f>SUM(AO165:AO176)-Y32</f>
        <v>0</v>
      </c>
    </row>
    <row r="177" spans="1:42" x14ac:dyDescent="0.35">
      <c r="A177">
        <f>A165+1</f>
        <v>14</v>
      </c>
      <c r="B177">
        <f t="shared" si="44"/>
        <v>157</v>
      </c>
      <c r="E177" s="475">
        <f t="shared" si="32"/>
        <v>1962.9876358985252</v>
      </c>
      <c r="F177" s="484">
        <f t="shared" si="37"/>
        <v>254657.85546791679</v>
      </c>
      <c r="G177" s="144"/>
      <c r="H177" s="485">
        <v>0</v>
      </c>
      <c r="I177" s="144">
        <f t="shared" si="45"/>
        <v>301215.09273076127</v>
      </c>
      <c r="J177" s="484">
        <f t="shared" si="38"/>
        <v>1918.5674696226843</v>
      </c>
      <c r="K177" s="144"/>
      <c r="L177" s="475">
        <f t="shared" si="33"/>
        <v>555872.94819867809</v>
      </c>
      <c r="M177" s="486">
        <f t="shared" si="39"/>
        <v>2547.7510125772742</v>
      </c>
      <c r="O177" s="487">
        <f t="shared" si="34"/>
        <v>-584.76337667874895</v>
      </c>
      <c r="AJ177" s="323">
        <f t="shared" si="35"/>
        <v>2122.1487955659732</v>
      </c>
      <c r="AK177" s="323">
        <f t="shared" si="40"/>
        <v>0</v>
      </c>
      <c r="AL177" s="323">
        <f t="shared" si="36"/>
        <v>159.161159667448</v>
      </c>
      <c r="AM177" s="323">
        <f t="shared" si="41"/>
        <v>0</v>
      </c>
      <c r="AN177" s="323">
        <f t="shared" si="42"/>
        <v>159.161159667448</v>
      </c>
      <c r="AO177" s="323">
        <f t="shared" si="43"/>
        <v>1962.9876358985252</v>
      </c>
    </row>
    <row r="178" spans="1:42" ht="17.2" customHeight="1" thickBot="1" x14ac:dyDescent="0.4">
      <c r="B178">
        <f t="shared" si="44"/>
        <v>158</v>
      </c>
      <c r="E178" s="475">
        <f t="shared" si="32"/>
        <v>1962.9876358985252</v>
      </c>
      <c r="F178" s="484">
        <f t="shared" si="37"/>
        <v>254657.85546791679</v>
      </c>
      <c r="G178" s="144"/>
      <c r="H178" s="485">
        <v>0</v>
      </c>
      <c r="I178" s="144">
        <f t="shared" si="45"/>
        <v>303133.66020038398</v>
      </c>
      <c r="J178" s="484">
        <f t="shared" si="38"/>
        <v>1918.5674696226843</v>
      </c>
      <c r="K178" s="144"/>
      <c r="L178" s="475">
        <f t="shared" si="33"/>
        <v>557791.5156683008</v>
      </c>
      <c r="M178" s="486">
        <f t="shared" si="39"/>
        <v>2556.5444468130449</v>
      </c>
      <c r="O178" s="487">
        <f t="shared" si="34"/>
        <v>-593.5568109145197</v>
      </c>
      <c r="T178" s="402"/>
      <c r="AJ178" s="323">
        <f t="shared" si="35"/>
        <v>2122.1487955659732</v>
      </c>
      <c r="AK178" s="323">
        <f t="shared" si="40"/>
        <v>0</v>
      </c>
      <c r="AL178" s="323">
        <f t="shared" si="36"/>
        <v>159.161159667448</v>
      </c>
      <c r="AM178" s="323">
        <f t="shared" si="41"/>
        <v>0</v>
      </c>
      <c r="AN178" s="323">
        <f t="shared" si="42"/>
        <v>159.161159667448</v>
      </c>
      <c r="AO178" s="323">
        <f t="shared" si="43"/>
        <v>1962.9876358985252</v>
      </c>
    </row>
    <row r="179" spans="1:42" ht="15" customHeight="1" thickBot="1" x14ac:dyDescent="0.5">
      <c r="B179">
        <f t="shared" si="44"/>
        <v>159</v>
      </c>
      <c r="E179" s="475">
        <f t="shared" si="32"/>
        <v>1962.9876358985252</v>
      </c>
      <c r="F179" s="484">
        <f t="shared" si="37"/>
        <v>254657.85546791679</v>
      </c>
      <c r="G179" s="144"/>
      <c r="H179" s="485">
        <v>0</v>
      </c>
      <c r="I179" s="144">
        <f t="shared" si="45"/>
        <v>305052.22767000669</v>
      </c>
      <c r="J179" s="484">
        <f t="shared" si="38"/>
        <v>1918.5674696226843</v>
      </c>
      <c r="K179" s="144"/>
      <c r="L179" s="475">
        <f t="shared" si="33"/>
        <v>559710.0831379235</v>
      </c>
      <c r="M179" s="486">
        <f t="shared" si="39"/>
        <v>2565.3378810488157</v>
      </c>
      <c r="O179" s="487">
        <f t="shared" si="34"/>
        <v>-602.35024515029045</v>
      </c>
      <c r="Q179" s="841" t="s">
        <v>231</v>
      </c>
      <c r="R179" s="842"/>
      <c r="T179" s="402"/>
      <c r="AJ179" s="323">
        <f t="shared" si="35"/>
        <v>2122.1487955659732</v>
      </c>
      <c r="AK179" s="323">
        <f t="shared" si="40"/>
        <v>0</v>
      </c>
      <c r="AL179" s="323">
        <f t="shared" si="36"/>
        <v>159.161159667448</v>
      </c>
      <c r="AM179" s="323">
        <f t="shared" si="41"/>
        <v>0</v>
      </c>
      <c r="AN179" s="323">
        <f t="shared" si="42"/>
        <v>159.161159667448</v>
      </c>
      <c r="AO179" s="323">
        <f t="shared" si="43"/>
        <v>1962.9876358985252</v>
      </c>
    </row>
    <row r="180" spans="1:42" ht="14.25" x14ac:dyDescent="0.45">
      <c r="B180">
        <f t="shared" si="44"/>
        <v>160</v>
      </c>
      <c r="E180" s="475">
        <f t="shared" si="32"/>
        <v>1962.9876358985252</v>
      </c>
      <c r="F180" s="484">
        <f t="shared" si="37"/>
        <v>254657.85546791679</v>
      </c>
      <c r="G180" s="144"/>
      <c r="H180" s="485">
        <v>0</v>
      </c>
      <c r="I180" s="144">
        <f t="shared" si="45"/>
        <v>306970.79513962939</v>
      </c>
      <c r="J180" s="484">
        <f t="shared" si="38"/>
        <v>1918.5674696226843</v>
      </c>
      <c r="K180" s="144"/>
      <c r="L180" s="475">
        <f t="shared" si="33"/>
        <v>561628.65060754621</v>
      </c>
      <c r="M180" s="486">
        <f t="shared" si="39"/>
        <v>2574.1313152845864</v>
      </c>
      <c r="O180" s="487">
        <f t="shared" si="34"/>
        <v>-611.14367938606119</v>
      </c>
      <c r="Q180" s="504"/>
      <c r="R180" s="505"/>
      <c r="T180" s="402"/>
      <c r="AJ180" s="323">
        <f t="shared" si="35"/>
        <v>2122.1487955659732</v>
      </c>
      <c r="AK180" s="323">
        <f t="shared" si="40"/>
        <v>0</v>
      </c>
      <c r="AL180" s="323">
        <f t="shared" si="36"/>
        <v>159.161159667448</v>
      </c>
      <c r="AM180" s="323">
        <f t="shared" si="41"/>
        <v>0</v>
      </c>
      <c r="AN180" s="323">
        <f t="shared" si="42"/>
        <v>159.161159667448</v>
      </c>
      <c r="AO180" s="323">
        <f t="shared" si="43"/>
        <v>1962.9876358985252</v>
      </c>
    </row>
    <row r="181" spans="1:42" ht="15" customHeight="1" x14ac:dyDescent="0.45">
      <c r="B181">
        <f t="shared" si="44"/>
        <v>161</v>
      </c>
      <c r="E181" s="475">
        <f t="shared" si="32"/>
        <v>1962.9876358985252</v>
      </c>
      <c r="F181" s="484">
        <f t="shared" si="37"/>
        <v>254657.85546791679</v>
      </c>
      <c r="G181" s="144"/>
      <c r="H181" s="485">
        <v>0</v>
      </c>
      <c r="I181" s="144">
        <f t="shared" si="45"/>
        <v>308889.3626092521</v>
      </c>
      <c r="J181" s="484">
        <f t="shared" si="38"/>
        <v>1918.5674696226843</v>
      </c>
      <c r="K181" s="144"/>
      <c r="L181" s="475">
        <f t="shared" si="33"/>
        <v>563547.21807716892</v>
      </c>
      <c r="M181" s="486">
        <f t="shared" si="39"/>
        <v>2582.9247495203572</v>
      </c>
      <c r="O181" s="487">
        <f t="shared" si="34"/>
        <v>-619.93711362183194</v>
      </c>
      <c r="Q181" s="506" t="s">
        <v>232</v>
      </c>
      <c r="R181" s="507">
        <f>FV($C$8,14,,-$C$5)</f>
        <v>1298757.3357021033</v>
      </c>
      <c r="T181" s="402"/>
      <c r="AJ181" s="323">
        <f t="shared" si="35"/>
        <v>2122.1487955659732</v>
      </c>
      <c r="AK181" s="323">
        <f t="shared" si="40"/>
        <v>0</v>
      </c>
      <c r="AL181" s="323">
        <f t="shared" si="36"/>
        <v>159.161159667448</v>
      </c>
      <c r="AM181" s="323">
        <f t="shared" si="41"/>
        <v>0</v>
      </c>
      <c r="AN181" s="323">
        <f t="shared" si="42"/>
        <v>159.161159667448</v>
      </c>
      <c r="AO181" s="323">
        <f t="shared" si="43"/>
        <v>1962.9876358985252</v>
      </c>
    </row>
    <row r="182" spans="1:42" ht="14.25" x14ac:dyDescent="0.45">
      <c r="B182">
        <f t="shared" si="44"/>
        <v>162</v>
      </c>
      <c r="E182" s="475">
        <f t="shared" si="32"/>
        <v>1962.9876358985252</v>
      </c>
      <c r="F182" s="484">
        <f t="shared" si="37"/>
        <v>254657.85546791679</v>
      </c>
      <c r="G182" s="144"/>
      <c r="H182" s="485">
        <v>0</v>
      </c>
      <c r="I182" s="144">
        <f t="shared" si="45"/>
        <v>310807.93007887481</v>
      </c>
      <c r="J182" s="484">
        <f t="shared" si="38"/>
        <v>1918.5674696226843</v>
      </c>
      <c r="K182" s="144"/>
      <c r="L182" s="475">
        <f t="shared" si="33"/>
        <v>565465.78554679162</v>
      </c>
      <c r="M182" s="486">
        <f t="shared" si="39"/>
        <v>2591.7181837561279</v>
      </c>
      <c r="O182" s="487">
        <f t="shared" si="34"/>
        <v>-628.73054785760269</v>
      </c>
      <c r="Q182" s="506" t="s">
        <v>226</v>
      </c>
      <c r="R182" s="508">
        <f>-$C$7</f>
        <v>-600000</v>
      </c>
      <c r="T182" s="402"/>
      <c r="AJ182" s="323">
        <f t="shared" si="35"/>
        <v>2122.1487955659732</v>
      </c>
      <c r="AK182" s="323">
        <f t="shared" si="40"/>
        <v>0</v>
      </c>
      <c r="AL182" s="323">
        <f t="shared" si="36"/>
        <v>159.161159667448</v>
      </c>
      <c r="AM182" s="323">
        <f t="shared" si="41"/>
        <v>0</v>
      </c>
      <c r="AN182" s="323">
        <f t="shared" si="42"/>
        <v>159.161159667448</v>
      </c>
      <c r="AO182" s="323">
        <f t="shared" si="43"/>
        <v>1962.9876358985252</v>
      </c>
    </row>
    <row r="183" spans="1:42" ht="14.25" x14ac:dyDescent="0.45">
      <c r="B183">
        <f t="shared" si="44"/>
        <v>163</v>
      </c>
      <c r="E183" s="475">
        <f t="shared" si="32"/>
        <v>1962.9876358985252</v>
      </c>
      <c r="F183" s="484">
        <f t="shared" si="37"/>
        <v>254657.85546791679</v>
      </c>
      <c r="G183" s="144"/>
      <c r="H183" s="485">
        <v>0</v>
      </c>
      <c r="I183" s="144">
        <f t="shared" si="45"/>
        <v>312726.49754849751</v>
      </c>
      <c r="J183" s="484">
        <f t="shared" si="38"/>
        <v>1918.5674696226843</v>
      </c>
      <c r="K183" s="144"/>
      <c r="L183" s="475">
        <f t="shared" si="33"/>
        <v>567384.35301641433</v>
      </c>
      <c r="M183" s="486">
        <f t="shared" si="39"/>
        <v>2600.5116179918987</v>
      </c>
      <c r="O183" s="487">
        <f t="shared" si="34"/>
        <v>-637.52398209337343</v>
      </c>
      <c r="Q183" s="506" t="s">
        <v>227</v>
      </c>
      <c r="R183" s="507">
        <f>F188</f>
        <v>254657.85546791679</v>
      </c>
      <c r="T183" s="402"/>
      <c r="AJ183" s="323">
        <f t="shared" si="35"/>
        <v>2122.1487955659732</v>
      </c>
      <c r="AK183" s="323">
        <f t="shared" si="40"/>
        <v>0</v>
      </c>
      <c r="AL183" s="323">
        <f t="shared" si="36"/>
        <v>159.161159667448</v>
      </c>
      <c r="AM183" s="323">
        <f t="shared" si="41"/>
        <v>0</v>
      </c>
      <c r="AN183" s="323">
        <f t="shared" si="42"/>
        <v>159.161159667448</v>
      </c>
      <c r="AO183" s="323">
        <f t="shared" si="43"/>
        <v>1962.9876358985252</v>
      </c>
    </row>
    <row r="184" spans="1:42" ht="14.65" thickBot="1" x14ac:dyDescent="0.5">
      <c r="B184">
        <f t="shared" si="44"/>
        <v>164</v>
      </c>
      <c r="E184" s="475">
        <f t="shared" si="32"/>
        <v>1962.9876358985252</v>
      </c>
      <c r="F184" s="484">
        <f t="shared" si="37"/>
        <v>254657.85546791679</v>
      </c>
      <c r="G184" s="144"/>
      <c r="H184" s="485">
        <v>0</v>
      </c>
      <c r="I184" s="144">
        <f t="shared" si="45"/>
        <v>314645.06501812022</v>
      </c>
      <c r="J184" s="484">
        <f t="shared" si="38"/>
        <v>1918.5674696226843</v>
      </c>
      <c r="K184" s="144"/>
      <c r="L184" s="475">
        <f t="shared" si="33"/>
        <v>569302.92048603704</v>
      </c>
      <c r="M184" s="486">
        <f t="shared" si="39"/>
        <v>2609.3050522276694</v>
      </c>
      <c r="O184" s="487">
        <f t="shared" si="34"/>
        <v>-646.31741632914418</v>
      </c>
      <c r="Q184" s="506" t="s">
        <v>228</v>
      </c>
      <c r="R184" s="507">
        <f>$I$18-(SUM(J21:J188))</f>
        <v>23022.809635472484</v>
      </c>
      <c r="AJ184" s="323">
        <f t="shared" si="35"/>
        <v>2122.1487955659732</v>
      </c>
      <c r="AK184" s="323">
        <f t="shared" si="40"/>
        <v>0</v>
      </c>
      <c r="AL184" s="323">
        <f t="shared" si="36"/>
        <v>159.161159667448</v>
      </c>
      <c r="AM184" s="323">
        <f t="shared" si="41"/>
        <v>0</v>
      </c>
      <c r="AN184" s="323">
        <f t="shared" si="42"/>
        <v>159.161159667448</v>
      </c>
      <c r="AO184" s="323">
        <f t="shared" si="43"/>
        <v>1962.9876358985252</v>
      </c>
    </row>
    <row r="185" spans="1:42" ht="14.65" thickBot="1" x14ac:dyDescent="0.5">
      <c r="B185">
        <f t="shared" si="44"/>
        <v>165</v>
      </c>
      <c r="E185" s="475">
        <f t="shared" si="32"/>
        <v>1962.9876358985252</v>
      </c>
      <c r="F185" s="484">
        <f t="shared" si="37"/>
        <v>254657.85546791679</v>
      </c>
      <c r="G185" s="144"/>
      <c r="H185" s="485">
        <v>0</v>
      </c>
      <c r="I185" s="144">
        <f t="shared" si="45"/>
        <v>316563.63248774293</v>
      </c>
      <c r="J185" s="484">
        <f t="shared" si="38"/>
        <v>1918.5674696226843</v>
      </c>
      <c r="K185" s="144"/>
      <c r="L185" s="475">
        <f t="shared" si="33"/>
        <v>571221.48795565974</v>
      </c>
      <c r="M185" s="486">
        <f t="shared" si="39"/>
        <v>2618.0984864634402</v>
      </c>
      <c r="O185" s="487">
        <f t="shared" si="34"/>
        <v>-655.11085056491493</v>
      </c>
      <c r="Q185" s="506" t="s">
        <v>175</v>
      </c>
      <c r="R185" s="509">
        <f>SUM(R181:R184)</f>
        <v>976438.00080549263</v>
      </c>
      <c r="AJ185" s="323">
        <f t="shared" si="35"/>
        <v>2122.1487955659732</v>
      </c>
      <c r="AK185" s="323">
        <f t="shared" si="40"/>
        <v>0</v>
      </c>
      <c r="AL185" s="323">
        <f t="shared" si="36"/>
        <v>159.161159667448</v>
      </c>
      <c r="AM185" s="323">
        <f t="shared" si="41"/>
        <v>0</v>
      </c>
      <c r="AN185" s="323">
        <f t="shared" si="42"/>
        <v>159.161159667448</v>
      </c>
      <c r="AO185" s="323">
        <f t="shared" si="43"/>
        <v>1962.9876358985252</v>
      </c>
    </row>
    <row r="186" spans="1:42" ht="14.25" x14ac:dyDescent="0.45">
      <c r="B186">
        <f t="shared" si="44"/>
        <v>166</v>
      </c>
      <c r="E186" s="475">
        <f t="shared" si="32"/>
        <v>1962.9876358985252</v>
      </c>
      <c r="F186" s="484">
        <f t="shared" si="37"/>
        <v>254657.85546791679</v>
      </c>
      <c r="G186" s="144"/>
      <c r="H186" s="485">
        <v>0</v>
      </c>
      <c r="I186" s="144">
        <f t="shared" si="45"/>
        <v>318482.19995736564</v>
      </c>
      <c r="J186" s="484">
        <f t="shared" si="38"/>
        <v>1918.5674696226843</v>
      </c>
      <c r="K186" s="144"/>
      <c r="L186" s="475">
        <f t="shared" si="33"/>
        <v>573140.05542528245</v>
      </c>
      <c r="M186" s="486">
        <f t="shared" si="39"/>
        <v>2626.8919206992109</v>
      </c>
      <c r="O186" s="487">
        <f t="shared" si="34"/>
        <v>-663.90428480068567</v>
      </c>
      <c r="Q186" s="506"/>
      <c r="R186" s="510">
        <f>(R185-$C$5)/$C$5</f>
        <v>0.30191733440732349</v>
      </c>
      <c r="AJ186" s="323">
        <f t="shared" si="35"/>
        <v>2122.1487955659732</v>
      </c>
      <c r="AK186" s="323">
        <f t="shared" si="40"/>
        <v>0</v>
      </c>
      <c r="AL186" s="323">
        <f t="shared" si="36"/>
        <v>159.161159667448</v>
      </c>
      <c r="AM186" s="323">
        <f t="shared" si="41"/>
        <v>0</v>
      </c>
      <c r="AN186" s="323">
        <f t="shared" si="42"/>
        <v>159.161159667448</v>
      </c>
      <c r="AO186" s="323">
        <f t="shared" si="43"/>
        <v>1962.9876358985252</v>
      </c>
    </row>
    <row r="187" spans="1:42" ht="28.5" x14ac:dyDescent="0.45">
      <c r="B187">
        <f t="shared" si="44"/>
        <v>167</v>
      </c>
      <c r="E187" s="475">
        <f t="shared" si="32"/>
        <v>1962.9876358985252</v>
      </c>
      <c r="F187" s="484">
        <f t="shared" si="37"/>
        <v>254657.85546791679</v>
      </c>
      <c r="G187" s="144"/>
      <c r="H187" s="485">
        <v>0</v>
      </c>
      <c r="I187" s="144">
        <f t="shared" si="45"/>
        <v>320400.76742698834</v>
      </c>
      <c r="J187" s="484">
        <f t="shared" si="38"/>
        <v>1918.5674696226843</v>
      </c>
      <c r="K187" s="144"/>
      <c r="L187" s="475">
        <f t="shared" si="33"/>
        <v>575058.62289490516</v>
      </c>
      <c r="M187" s="486">
        <f t="shared" si="39"/>
        <v>2635.6853549349817</v>
      </c>
      <c r="O187" s="487">
        <f t="shared" si="34"/>
        <v>-672.69771903645642</v>
      </c>
      <c r="Q187" s="511" t="s">
        <v>178</v>
      </c>
      <c r="R187" s="507">
        <f>SUM(J21:J188)</f>
        <v>322319.33489661105</v>
      </c>
      <c r="AJ187" s="323">
        <f t="shared" si="35"/>
        <v>2122.1487955659732</v>
      </c>
      <c r="AK187" s="323">
        <f t="shared" si="40"/>
        <v>0</v>
      </c>
      <c r="AL187" s="323">
        <f t="shared" si="36"/>
        <v>159.161159667448</v>
      </c>
      <c r="AM187" s="323">
        <f t="shared" si="41"/>
        <v>0</v>
      </c>
      <c r="AN187" s="323">
        <f t="shared" si="42"/>
        <v>159.161159667448</v>
      </c>
      <c r="AO187" s="323">
        <f t="shared" si="43"/>
        <v>1962.9876358985252</v>
      </c>
    </row>
    <row r="188" spans="1:42" ht="14.65" thickBot="1" x14ac:dyDescent="0.5">
      <c r="B188" s="512">
        <f t="shared" si="44"/>
        <v>168</v>
      </c>
      <c r="C188" s="512"/>
      <c r="D188" s="512"/>
      <c r="E188" s="513">
        <f t="shared" si="32"/>
        <v>1962.9876358985252</v>
      </c>
      <c r="F188" s="514">
        <f t="shared" si="37"/>
        <v>254657.85546791679</v>
      </c>
      <c r="G188" s="515"/>
      <c r="H188" s="516">
        <v>0</v>
      </c>
      <c r="I188" s="515">
        <f t="shared" si="45"/>
        <v>322319.33489661105</v>
      </c>
      <c r="J188" s="514">
        <f t="shared" si="38"/>
        <v>1918.5674696226843</v>
      </c>
      <c r="K188" s="515"/>
      <c r="L188" s="513">
        <f t="shared" si="33"/>
        <v>576977.19036452787</v>
      </c>
      <c r="M188" s="517">
        <f t="shared" si="39"/>
        <v>2644.4787891707524</v>
      </c>
      <c r="N188" s="512"/>
      <c r="O188" s="518">
        <f t="shared" si="34"/>
        <v>-681.49115327222717</v>
      </c>
      <c r="Q188" s="519" t="s">
        <v>182</v>
      </c>
      <c r="R188" s="520">
        <f>SUM(O21:O188)</f>
        <v>8863.7817096565577</v>
      </c>
      <c r="AJ188" s="323">
        <f t="shared" si="35"/>
        <v>2122.1487955659732</v>
      </c>
      <c r="AK188" s="323">
        <f t="shared" si="40"/>
        <v>0</v>
      </c>
      <c r="AL188" s="323">
        <f t="shared" si="36"/>
        <v>159.161159667448</v>
      </c>
      <c r="AM188" s="323">
        <f t="shared" si="41"/>
        <v>0</v>
      </c>
      <c r="AN188" s="323">
        <f t="shared" si="42"/>
        <v>159.161159667448</v>
      </c>
      <c r="AO188" s="323">
        <f t="shared" si="43"/>
        <v>1962.9876358985252</v>
      </c>
      <c r="AP188" s="387">
        <f>SUM(AO177:AO188)-Y33</f>
        <v>0</v>
      </c>
    </row>
    <row r="189" spans="1:42" x14ac:dyDescent="0.35">
      <c r="A189">
        <f>A177+1</f>
        <v>15</v>
      </c>
      <c r="B189">
        <f t="shared" si="44"/>
        <v>169</v>
      </c>
      <c r="E189" s="475">
        <f t="shared" si="32"/>
        <v>1962.9876358985252</v>
      </c>
      <c r="F189" s="484">
        <f t="shared" si="37"/>
        <v>254657.85546791679</v>
      </c>
      <c r="G189" s="144"/>
      <c r="H189" s="485">
        <v>0</v>
      </c>
      <c r="I189" s="144">
        <f t="shared" si="45"/>
        <v>324237.90236623376</v>
      </c>
      <c r="J189" s="484">
        <f t="shared" si="38"/>
        <v>1918.5674696226843</v>
      </c>
      <c r="K189" s="144"/>
      <c r="L189" s="475">
        <f t="shared" si="33"/>
        <v>578895.75783415057</v>
      </c>
      <c r="M189" s="486">
        <f t="shared" si="39"/>
        <v>2653.2722234065232</v>
      </c>
      <c r="O189" s="487">
        <f t="shared" si="34"/>
        <v>-690.28458750799791</v>
      </c>
      <c r="AJ189" s="323">
        <f t="shared" si="35"/>
        <v>2122.1487955659732</v>
      </c>
      <c r="AK189" s="323">
        <f t="shared" si="40"/>
        <v>0</v>
      </c>
      <c r="AL189" s="323">
        <f t="shared" si="36"/>
        <v>159.161159667448</v>
      </c>
      <c r="AM189" s="323">
        <f t="shared" si="41"/>
        <v>0</v>
      </c>
      <c r="AN189" s="323">
        <f t="shared" si="42"/>
        <v>159.161159667448</v>
      </c>
      <c r="AO189" s="323">
        <f t="shared" si="43"/>
        <v>1962.9876358985252</v>
      </c>
    </row>
    <row r="190" spans="1:42" x14ac:dyDescent="0.35">
      <c r="B190">
        <f t="shared" si="44"/>
        <v>170</v>
      </c>
      <c r="E190" s="475">
        <f t="shared" si="32"/>
        <v>1962.9876358985252</v>
      </c>
      <c r="F190" s="484">
        <f t="shared" si="37"/>
        <v>254657.85546791679</v>
      </c>
      <c r="G190" s="144"/>
      <c r="H190" s="485">
        <v>0</v>
      </c>
      <c r="I190" s="144">
        <f t="shared" si="45"/>
        <v>326156.46983585646</v>
      </c>
      <c r="J190" s="484">
        <f t="shared" si="38"/>
        <v>1918.5674696226843</v>
      </c>
      <c r="K190" s="144"/>
      <c r="L190" s="475">
        <f t="shared" si="33"/>
        <v>580814.32530377328</v>
      </c>
      <c r="M190" s="486">
        <f t="shared" si="39"/>
        <v>2662.0656576422939</v>
      </c>
      <c r="O190" s="487">
        <f t="shared" si="34"/>
        <v>-699.07802174376866</v>
      </c>
      <c r="AJ190" s="323">
        <f t="shared" si="35"/>
        <v>2122.1487955659732</v>
      </c>
      <c r="AK190" s="323">
        <f t="shared" si="40"/>
        <v>0</v>
      </c>
      <c r="AL190" s="323">
        <f t="shared" si="36"/>
        <v>159.161159667448</v>
      </c>
      <c r="AM190" s="323">
        <f t="shared" si="41"/>
        <v>0</v>
      </c>
      <c r="AN190" s="323">
        <f t="shared" si="42"/>
        <v>159.161159667448</v>
      </c>
      <c r="AO190" s="323">
        <f t="shared" si="43"/>
        <v>1962.9876358985252</v>
      </c>
    </row>
    <row r="191" spans="1:42" x14ac:dyDescent="0.35">
      <c r="B191">
        <f t="shared" si="44"/>
        <v>171</v>
      </c>
      <c r="E191" s="475">
        <f t="shared" si="32"/>
        <v>1962.9876358985252</v>
      </c>
      <c r="F191" s="484">
        <f t="shared" si="37"/>
        <v>254657.85546791679</v>
      </c>
      <c r="G191" s="144"/>
      <c r="H191" s="485">
        <v>0</v>
      </c>
      <c r="I191" s="144">
        <f t="shared" si="45"/>
        <v>328075.03730547917</v>
      </c>
      <c r="J191" s="484">
        <f t="shared" si="38"/>
        <v>1918.5674696226843</v>
      </c>
      <c r="K191" s="144"/>
      <c r="L191" s="475">
        <f t="shared" si="33"/>
        <v>582732.89277339599</v>
      </c>
      <c r="M191" s="486">
        <f t="shared" si="39"/>
        <v>2670.8590918780646</v>
      </c>
      <c r="O191" s="487">
        <f t="shared" si="34"/>
        <v>-707.87145597953941</v>
      </c>
      <c r="AJ191" s="323">
        <f t="shared" si="35"/>
        <v>2122.1487955659732</v>
      </c>
      <c r="AK191" s="323">
        <f t="shared" si="40"/>
        <v>0</v>
      </c>
      <c r="AL191" s="323">
        <f t="shared" si="36"/>
        <v>159.161159667448</v>
      </c>
      <c r="AM191" s="323">
        <f t="shared" si="41"/>
        <v>0</v>
      </c>
      <c r="AN191" s="323">
        <f t="shared" si="42"/>
        <v>159.161159667448</v>
      </c>
      <c r="AO191" s="323">
        <f t="shared" si="43"/>
        <v>1962.9876358985252</v>
      </c>
    </row>
    <row r="192" spans="1:42" x14ac:dyDescent="0.35">
      <c r="B192">
        <f t="shared" si="44"/>
        <v>172</v>
      </c>
      <c r="E192" s="475">
        <f t="shared" si="32"/>
        <v>1962.9876358985252</v>
      </c>
      <c r="F192" s="484">
        <f t="shared" si="37"/>
        <v>254657.85546791679</v>
      </c>
      <c r="G192" s="144"/>
      <c r="H192" s="485">
        <v>0</v>
      </c>
      <c r="I192" s="144">
        <f t="shared" si="45"/>
        <v>329993.60477510188</v>
      </c>
      <c r="J192" s="484">
        <f t="shared" si="38"/>
        <v>1918.5674696226843</v>
      </c>
      <c r="K192" s="144"/>
      <c r="L192" s="475">
        <f t="shared" si="33"/>
        <v>584651.46024301869</v>
      </c>
      <c r="M192" s="486">
        <f t="shared" si="39"/>
        <v>2679.6525261138354</v>
      </c>
      <c r="O192" s="487">
        <f t="shared" si="34"/>
        <v>-716.66489021531015</v>
      </c>
      <c r="AJ192" s="323">
        <f t="shared" si="35"/>
        <v>2122.1487955659732</v>
      </c>
      <c r="AK192" s="323">
        <f t="shared" si="40"/>
        <v>0</v>
      </c>
      <c r="AL192" s="323">
        <f t="shared" si="36"/>
        <v>159.161159667448</v>
      </c>
      <c r="AM192" s="323">
        <f t="shared" si="41"/>
        <v>0</v>
      </c>
      <c r="AN192" s="323">
        <f t="shared" si="42"/>
        <v>159.161159667448</v>
      </c>
      <c r="AO192" s="323">
        <f t="shared" si="43"/>
        <v>1962.9876358985252</v>
      </c>
    </row>
    <row r="193" spans="2:42" x14ac:dyDescent="0.35">
      <c r="B193">
        <f t="shared" si="44"/>
        <v>173</v>
      </c>
      <c r="E193" s="475">
        <f t="shared" si="32"/>
        <v>1962.9876358985252</v>
      </c>
      <c r="F193" s="484">
        <f t="shared" si="37"/>
        <v>254657.85546791679</v>
      </c>
      <c r="G193" s="144"/>
      <c r="H193" s="485">
        <v>0</v>
      </c>
      <c r="I193" s="144">
        <f t="shared" si="45"/>
        <v>331912.17224472458</v>
      </c>
      <c r="J193" s="484">
        <f t="shared" si="38"/>
        <v>1918.5674696226843</v>
      </c>
      <c r="K193" s="144"/>
      <c r="L193" s="475">
        <f t="shared" si="33"/>
        <v>586570.0277126414</v>
      </c>
      <c r="M193" s="486">
        <f t="shared" si="39"/>
        <v>2688.4459603496061</v>
      </c>
      <c r="O193" s="487">
        <f t="shared" si="34"/>
        <v>-725.4583244510809</v>
      </c>
      <c r="AJ193" s="323">
        <f t="shared" si="35"/>
        <v>2122.1487955659732</v>
      </c>
      <c r="AK193" s="323">
        <f t="shared" si="40"/>
        <v>0</v>
      </c>
      <c r="AL193" s="323">
        <f t="shared" si="36"/>
        <v>159.161159667448</v>
      </c>
      <c r="AM193" s="323">
        <f t="shared" si="41"/>
        <v>0</v>
      </c>
      <c r="AN193" s="323">
        <f t="shared" si="42"/>
        <v>159.161159667448</v>
      </c>
      <c r="AO193" s="323">
        <f t="shared" si="43"/>
        <v>1962.9876358985252</v>
      </c>
    </row>
    <row r="194" spans="2:42" x14ac:dyDescent="0.35">
      <c r="B194">
        <f t="shared" si="44"/>
        <v>174</v>
      </c>
      <c r="E194" s="475">
        <f t="shared" si="32"/>
        <v>1962.9876358985252</v>
      </c>
      <c r="F194" s="484">
        <f t="shared" si="37"/>
        <v>254657.85546791679</v>
      </c>
      <c r="G194" s="144"/>
      <c r="H194" s="485">
        <v>0</v>
      </c>
      <c r="I194" s="144">
        <f t="shared" si="45"/>
        <v>333830.73971434729</v>
      </c>
      <c r="J194" s="484">
        <f t="shared" si="38"/>
        <v>1918.5674696226843</v>
      </c>
      <c r="K194" s="144"/>
      <c r="L194" s="475">
        <f t="shared" si="33"/>
        <v>588488.59518226411</v>
      </c>
      <c r="M194" s="486">
        <f t="shared" si="39"/>
        <v>2697.2393945853769</v>
      </c>
      <c r="O194" s="487">
        <f t="shared" si="34"/>
        <v>-734.25175868685164</v>
      </c>
      <c r="AJ194" s="323">
        <f t="shared" si="35"/>
        <v>2122.1487955659732</v>
      </c>
      <c r="AK194" s="323">
        <f t="shared" si="40"/>
        <v>0</v>
      </c>
      <c r="AL194" s="323">
        <f t="shared" si="36"/>
        <v>159.161159667448</v>
      </c>
      <c r="AM194" s="323">
        <f t="shared" si="41"/>
        <v>0</v>
      </c>
      <c r="AN194" s="323">
        <f t="shared" si="42"/>
        <v>159.161159667448</v>
      </c>
      <c r="AO194" s="323">
        <f t="shared" si="43"/>
        <v>1962.9876358985252</v>
      </c>
    </row>
    <row r="195" spans="2:42" x14ac:dyDescent="0.35">
      <c r="B195">
        <f t="shared" si="44"/>
        <v>175</v>
      </c>
      <c r="E195" s="475">
        <f t="shared" si="32"/>
        <v>1962.9876358985252</v>
      </c>
      <c r="F195" s="484">
        <f t="shared" si="37"/>
        <v>254657.85546791679</v>
      </c>
      <c r="G195" s="144"/>
      <c r="H195" s="485">
        <v>0</v>
      </c>
      <c r="I195" s="144">
        <f t="shared" si="45"/>
        <v>335749.30718397</v>
      </c>
      <c r="J195" s="484">
        <f t="shared" si="38"/>
        <v>1918.5674696226843</v>
      </c>
      <c r="K195" s="144"/>
      <c r="L195" s="475">
        <f t="shared" si="33"/>
        <v>590407.16265188681</v>
      </c>
      <c r="M195" s="486">
        <f t="shared" si="39"/>
        <v>2706.0328288211472</v>
      </c>
      <c r="O195" s="487">
        <f t="shared" si="34"/>
        <v>-743.04519292262194</v>
      </c>
      <c r="AJ195" s="323">
        <f t="shared" si="35"/>
        <v>2122.1487955659732</v>
      </c>
      <c r="AK195" s="323">
        <f t="shared" si="40"/>
        <v>0</v>
      </c>
      <c r="AL195" s="323">
        <f t="shared" si="36"/>
        <v>159.161159667448</v>
      </c>
      <c r="AM195" s="323">
        <f t="shared" si="41"/>
        <v>0</v>
      </c>
      <c r="AN195" s="323">
        <f t="shared" si="42"/>
        <v>159.161159667448</v>
      </c>
      <c r="AO195" s="323">
        <f t="shared" si="43"/>
        <v>1962.9876358985252</v>
      </c>
    </row>
    <row r="196" spans="2:42" x14ac:dyDescent="0.35">
      <c r="B196">
        <f t="shared" si="44"/>
        <v>176</v>
      </c>
      <c r="E196" s="475">
        <f t="shared" si="32"/>
        <v>1962.9876358985252</v>
      </c>
      <c r="F196" s="484">
        <f t="shared" si="37"/>
        <v>254657.85546791679</v>
      </c>
      <c r="G196" s="144"/>
      <c r="H196" s="485">
        <v>0</v>
      </c>
      <c r="I196" s="144">
        <f t="shared" si="45"/>
        <v>337667.87465359271</v>
      </c>
      <c r="J196" s="484">
        <f t="shared" si="38"/>
        <v>1918.5674696226843</v>
      </c>
      <c r="K196" s="144"/>
      <c r="L196" s="475">
        <f t="shared" si="33"/>
        <v>592325.73012150952</v>
      </c>
      <c r="M196" s="486">
        <f t="shared" si="39"/>
        <v>2714.8262630569179</v>
      </c>
      <c r="O196" s="487">
        <f t="shared" si="34"/>
        <v>-751.83862715839268</v>
      </c>
      <c r="AJ196" s="323">
        <f t="shared" si="35"/>
        <v>2122.1487955659732</v>
      </c>
      <c r="AK196" s="323">
        <f t="shared" si="40"/>
        <v>0</v>
      </c>
      <c r="AL196" s="323">
        <f t="shared" si="36"/>
        <v>159.161159667448</v>
      </c>
      <c r="AM196" s="323">
        <f t="shared" si="41"/>
        <v>0</v>
      </c>
      <c r="AN196" s="323">
        <f t="shared" si="42"/>
        <v>159.161159667448</v>
      </c>
      <c r="AO196" s="323">
        <f t="shared" si="43"/>
        <v>1962.9876358985252</v>
      </c>
    </row>
    <row r="197" spans="2:42" x14ac:dyDescent="0.35">
      <c r="B197">
        <f t="shared" si="44"/>
        <v>177</v>
      </c>
      <c r="E197" s="475">
        <f t="shared" si="32"/>
        <v>1962.9876358985252</v>
      </c>
      <c r="F197" s="484">
        <f t="shared" si="37"/>
        <v>254657.85546791679</v>
      </c>
      <c r="G197" s="144"/>
      <c r="H197" s="485">
        <v>0</v>
      </c>
      <c r="I197" s="144">
        <f t="shared" si="45"/>
        <v>339586.44212321541</v>
      </c>
      <c r="J197" s="484">
        <f t="shared" si="38"/>
        <v>1918.5674696226843</v>
      </c>
      <c r="K197" s="144"/>
      <c r="L197" s="475">
        <f t="shared" si="33"/>
        <v>594244.29759113223</v>
      </c>
      <c r="M197" s="486">
        <f t="shared" si="39"/>
        <v>2723.6196972926887</v>
      </c>
      <c r="O197" s="487">
        <f t="shared" si="34"/>
        <v>-760.63206139416343</v>
      </c>
      <c r="AJ197" s="323">
        <f t="shared" si="35"/>
        <v>2122.1487955659732</v>
      </c>
      <c r="AK197" s="323">
        <f t="shared" si="40"/>
        <v>0</v>
      </c>
      <c r="AL197" s="323">
        <f t="shared" si="36"/>
        <v>159.161159667448</v>
      </c>
      <c r="AM197" s="323">
        <f t="shared" si="41"/>
        <v>0</v>
      </c>
      <c r="AN197" s="323">
        <f t="shared" si="42"/>
        <v>159.161159667448</v>
      </c>
      <c r="AO197" s="323">
        <f t="shared" si="43"/>
        <v>1962.9876358985252</v>
      </c>
    </row>
    <row r="198" spans="2:42" x14ac:dyDescent="0.35">
      <c r="B198">
        <f t="shared" si="44"/>
        <v>178</v>
      </c>
      <c r="E198" s="475">
        <f t="shared" si="32"/>
        <v>1962.9876358985252</v>
      </c>
      <c r="F198" s="484">
        <f t="shared" si="37"/>
        <v>254657.85546791679</v>
      </c>
      <c r="G198" s="144"/>
      <c r="H198" s="485">
        <v>0</v>
      </c>
      <c r="I198" s="144">
        <f t="shared" si="45"/>
        <v>341505.00959283812</v>
      </c>
      <c r="J198" s="484">
        <f t="shared" si="38"/>
        <v>1918.5674696226843</v>
      </c>
      <c r="K198" s="144"/>
      <c r="L198" s="475">
        <f t="shared" si="33"/>
        <v>596162.86506075494</v>
      </c>
      <c r="M198" s="486">
        <f t="shared" si="39"/>
        <v>2732.4131315284594</v>
      </c>
      <c r="O198" s="487">
        <f t="shared" si="34"/>
        <v>-769.42549562993418</v>
      </c>
      <c r="AJ198" s="323">
        <f t="shared" si="35"/>
        <v>2122.1487955659732</v>
      </c>
      <c r="AK198" s="323">
        <f t="shared" si="40"/>
        <v>0</v>
      </c>
      <c r="AL198" s="323">
        <f t="shared" si="36"/>
        <v>159.161159667448</v>
      </c>
      <c r="AM198" s="323">
        <f t="shared" si="41"/>
        <v>0</v>
      </c>
      <c r="AN198" s="323">
        <f t="shared" si="42"/>
        <v>159.161159667448</v>
      </c>
      <c r="AO198" s="323">
        <f t="shared" si="43"/>
        <v>1962.9876358985252</v>
      </c>
    </row>
    <row r="199" spans="2:42" x14ac:dyDescent="0.35">
      <c r="B199">
        <f t="shared" si="44"/>
        <v>179</v>
      </c>
      <c r="E199" s="475">
        <f t="shared" si="32"/>
        <v>1962.9876358985252</v>
      </c>
      <c r="F199" s="484">
        <f t="shared" si="37"/>
        <v>254657.85546791679</v>
      </c>
      <c r="G199" s="144"/>
      <c r="H199" s="485">
        <v>0</v>
      </c>
      <c r="I199" s="144">
        <f t="shared" si="45"/>
        <v>343423.57706246083</v>
      </c>
      <c r="J199" s="484">
        <f t="shared" si="38"/>
        <v>1918.5674696226843</v>
      </c>
      <c r="K199" s="144"/>
      <c r="L199" s="475">
        <f t="shared" si="33"/>
        <v>598081.43253037764</v>
      </c>
      <c r="M199" s="486">
        <f t="shared" si="39"/>
        <v>2741.2065657642302</v>
      </c>
      <c r="O199" s="487">
        <f t="shared" si="34"/>
        <v>-778.21892986570492</v>
      </c>
      <c r="AJ199" s="323">
        <f t="shared" si="35"/>
        <v>2122.1487955659732</v>
      </c>
      <c r="AK199" s="323">
        <f t="shared" si="40"/>
        <v>0</v>
      </c>
      <c r="AL199" s="323">
        <f t="shared" si="36"/>
        <v>159.161159667448</v>
      </c>
      <c r="AM199" s="323">
        <f t="shared" si="41"/>
        <v>0</v>
      </c>
      <c r="AN199" s="323">
        <f t="shared" si="42"/>
        <v>159.161159667448</v>
      </c>
      <c r="AO199" s="323">
        <f t="shared" si="43"/>
        <v>1962.9876358985252</v>
      </c>
    </row>
    <row r="200" spans="2:42" x14ac:dyDescent="0.35">
      <c r="B200">
        <f t="shared" si="44"/>
        <v>180</v>
      </c>
      <c r="E200" s="521">
        <f t="shared" si="32"/>
        <v>1962.9876358985252</v>
      </c>
      <c r="F200" s="522">
        <f t="shared" si="37"/>
        <v>254657.85546791679</v>
      </c>
      <c r="G200" s="144"/>
      <c r="H200" s="523">
        <v>0</v>
      </c>
      <c r="I200" s="524">
        <f t="shared" si="45"/>
        <v>345342.14453208353</v>
      </c>
      <c r="J200" s="522">
        <f t="shared" si="38"/>
        <v>1918.5674696226843</v>
      </c>
      <c r="K200" s="144"/>
      <c r="L200" s="521">
        <f t="shared" si="33"/>
        <v>600000.00000000035</v>
      </c>
      <c r="M200" s="525">
        <f t="shared" si="39"/>
        <v>2750.0000000000009</v>
      </c>
      <c r="O200" s="526">
        <f t="shared" si="34"/>
        <v>-787.01236410147567</v>
      </c>
      <c r="AJ200" s="323">
        <f t="shared" si="35"/>
        <v>2122.1487955659732</v>
      </c>
      <c r="AK200" s="323">
        <f t="shared" si="40"/>
        <v>0</v>
      </c>
      <c r="AL200" s="323">
        <f t="shared" si="36"/>
        <v>159.161159667448</v>
      </c>
      <c r="AM200" s="323">
        <f t="shared" si="41"/>
        <v>0</v>
      </c>
      <c r="AN200" s="323">
        <f t="shared" si="42"/>
        <v>159.161159667448</v>
      </c>
      <c r="AO200" s="323">
        <f t="shared" si="43"/>
        <v>1962.9876358985252</v>
      </c>
      <c r="AP200" s="387">
        <f>SUM(AO189:AO200)-Y34</f>
        <v>0</v>
      </c>
    </row>
    <row r="201" spans="2:42" x14ac:dyDescent="0.35">
      <c r="O201" s="323"/>
      <c r="AJ201" s="323"/>
      <c r="AK201" s="323"/>
      <c r="AL201" s="323"/>
      <c r="AM201" s="323"/>
      <c r="AN201" s="323"/>
    </row>
    <row r="202" spans="2:42" x14ac:dyDescent="0.35">
      <c r="AJ202" s="323"/>
      <c r="AK202" s="323"/>
      <c r="AL202" s="323"/>
      <c r="AM202" s="323"/>
      <c r="AN202" s="323"/>
    </row>
    <row r="203" spans="2:42" x14ac:dyDescent="0.35">
      <c r="AJ203" s="323"/>
      <c r="AK203" s="323"/>
      <c r="AL203" s="323"/>
      <c r="AM203" s="323"/>
      <c r="AN203" s="323"/>
    </row>
    <row r="204" spans="2:42" x14ac:dyDescent="0.35">
      <c r="AJ204" s="323"/>
      <c r="AK204" s="323"/>
      <c r="AL204" s="323"/>
      <c r="AM204" s="323"/>
      <c r="AN204" s="323"/>
    </row>
    <row r="205" spans="2:42" x14ac:dyDescent="0.35">
      <c r="AJ205" s="323"/>
      <c r="AK205" s="323"/>
      <c r="AL205" s="323"/>
      <c r="AM205" s="323"/>
      <c r="AN205" s="323"/>
    </row>
    <row r="206" spans="2:42" x14ac:dyDescent="0.35">
      <c r="AJ206" s="323"/>
      <c r="AK206" s="323"/>
      <c r="AL206" s="323"/>
      <c r="AM206" s="323"/>
      <c r="AN206" s="323"/>
    </row>
    <row r="207" spans="2:42" x14ac:dyDescent="0.35">
      <c r="AJ207" s="323"/>
      <c r="AK207" s="323"/>
      <c r="AL207" s="323"/>
      <c r="AM207" s="323"/>
      <c r="AN207" s="323"/>
    </row>
    <row r="208" spans="2:42" x14ac:dyDescent="0.35">
      <c r="AJ208" s="323"/>
      <c r="AK208" s="323"/>
      <c r="AL208" s="323"/>
      <c r="AM208" s="323"/>
      <c r="AN208" s="323"/>
    </row>
    <row r="209" spans="36:40" x14ac:dyDescent="0.35">
      <c r="AJ209" s="323"/>
      <c r="AK209" s="323"/>
      <c r="AL209" s="323"/>
      <c r="AM209" s="323"/>
      <c r="AN209" s="323"/>
    </row>
    <row r="210" spans="36:40" x14ac:dyDescent="0.35">
      <c r="AJ210" s="323"/>
      <c r="AK210" s="323"/>
      <c r="AL210" s="323"/>
      <c r="AM210" s="323"/>
      <c r="AN210" s="323"/>
    </row>
    <row r="211" spans="36:40" x14ac:dyDescent="0.35">
      <c r="AJ211" s="323"/>
      <c r="AK211" s="323"/>
      <c r="AL211" s="323"/>
      <c r="AM211" s="323"/>
      <c r="AN211" s="323"/>
    </row>
    <row r="212" spans="36:40" x14ac:dyDescent="0.35">
      <c r="AJ212" s="323"/>
      <c r="AK212" s="323"/>
      <c r="AL212" s="323"/>
      <c r="AM212" s="323"/>
      <c r="AN212" s="323"/>
    </row>
    <row r="213" spans="36:40" x14ac:dyDescent="0.35">
      <c r="AJ213" s="323"/>
      <c r="AK213" s="323"/>
      <c r="AL213" s="323"/>
      <c r="AM213" s="323"/>
      <c r="AN213" s="323"/>
    </row>
    <row r="214" spans="36:40" x14ac:dyDescent="0.35">
      <c r="AJ214" s="323"/>
      <c r="AK214" s="323"/>
      <c r="AL214" s="323"/>
      <c r="AM214" s="323"/>
      <c r="AN214" s="323"/>
    </row>
    <row r="215" spans="36:40" x14ac:dyDescent="0.35">
      <c r="AJ215" s="323"/>
      <c r="AK215" s="323"/>
      <c r="AL215" s="323"/>
      <c r="AM215" s="323"/>
      <c r="AN215" s="323"/>
    </row>
    <row r="216" spans="36:40" x14ac:dyDescent="0.35">
      <c r="AJ216" s="323"/>
      <c r="AK216" s="323"/>
      <c r="AL216" s="323"/>
      <c r="AM216" s="323"/>
      <c r="AN216" s="323"/>
    </row>
    <row r="217" spans="36:40" x14ac:dyDescent="0.35">
      <c r="AJ217" s="323"/>
      <c r="AK217" s="323"/>
      <c r="AL217" s="323"/>
      <c r="AM217" s="323"/>
      <c r="AN217" s="323"/>
    </row>
    <row r="218" spans="36:40" x14ac:dyDescent="0.35">
      <c r="AJ218" s="323"/>
      <c r="AK218" s="323"/>
      <c r="AL218" s="323"/>
      <c r="AM218" s="323"/>
      <c r="AN218" s="323"/>
    </row>
    <row r="219" spans="36:40" x14ac:dyDescent="0.35">
      <c r="AJ219" s="323"/>
      <c r="AK219" s="323"/>
      <c r="AL219" s="323"/>
      <c r="AM219" s="323"/>
      <c r="AN219" s="323"/>
    </row>
    <row r="220" spans="36:40" x14ac:dyDescent="0.35">
      <c r="AJ220" s="323"/>
      <c r="AK220" s="323"/>
      <c r="AL220" s="323"/>
      <c r="AM220" s="323"/>
      <c r="AN220" s="323"/>
    </row>
    <row r="221" spans="36:40" x14ac:dyDescent="0.35">
      <c r="AJ221" s="323"/>
      <c r="AK221" s="323"/>
      <c r="AL221" s="323"/>
      <c r="AM221" s="323"/>
      <c r="AN221" s="323"/>
    </row>
    <row r="222" spans="36:40" x14ac:dyDescent="0.35">
      <c r="AJ222" s="323"/>
      <c r="AK222" s="323"/>
      <c r="AL222" s="323"/>
      <c r="AM222" s="323"/>
      <c r="AN222" s="323"/>
    </row>
    <row r="223" spans="36:40" x14ac:dyDescent="0.35">
      <c r="AJ223" s="323"/>
      <c r="AK223" s="323"/>
      <c r="AL223" s="323"/>
      <c r="AM223" s="323"/>
      <c r="AN223" s="323"/>
    </row>
    <row r="224" spans="36:40" x14ac:dyDescent="0.35">
      <c r="AJ224" s="323"/>
      <c r="AK224" s="323"/>
      <c r="AL224" s="323"/>
      <c r="AM224" s="323"/>
      <c r="AN224" s="323"/>
    </row>
    <row r="225" spans="36:40" x14ac:dyDescent="0.35">
      <c r="AJ225" s="323"/>
      <c r="AK225" s="323"/>
      <c r="AL225" s="323"/>
      <c r="AM225" s="323"/>
      <c r="AN225" s="323"/>
    </row>
    <row r="226" spans="36:40" x14ac:dyDescent="0.35">
      <c r="AJ226" s="323"/>
      <c r="AK226" s="323"/>
      <c r="AL226" s="323"/>
      <c r="AM226" s="323"/>
      <c r="AN226" s="323"/>
    </row>
    <row r="227" spans="36:40" x14ac:dyDescent="0.35">
      <c r="AJ227" s="323"/>
      <c r="AK227" s="323"/>
      <c r="AL227" s="323"/>
      <c r="AM227" s="323"/>
      <c r="AN227" s="323"/>
    </row>
    <row r="228" spans="36:40" x14ac:dyDescent="0.35">
      <c r="AJ228" s="323"/>
      <c r="AK228" s="323"/>
      <c r="AL228" s="323"/>
      <c r="AM228" s="323"/>
      <c r="AN228" s="323"/>
    </row>
    <row r="229" spans="36:40" x14ac:dyDescent="0.35">
      <c r="AJ229" s="323"/>
      <c r="AK229" s="323"/>
      <c r="AL229" s="323"/>
      <c r="AM229" s="323"/>
      <c r="AN229" s="323"/>
    </row>
    <row r="230" spans="36:40" x14ac:dyDescent="0.35">
      <c r="AJ230" s="323"/>
      <c r="AK230" s="323"/>
      <c r="AL230" s="323"/>
      <c r="AM230" s="323"/>
      <c r="AN230" s="323"/>
    </row>
    <row r="231" spans="36:40" x14ac:dyDescent="0.35">
      <c r="AJ231" s="323"/>
      <c r="AK231" s="323"/>
      <c r="AL231" s="323"/>
      <c r="AM231" s="323"/>
      <c r="AN231" s="323"/>
    </row>
    <row r="232" spans="36:40" x14ac:dyDescent="0.35">
      <c r="AJ232" s="323"/>
      <c r="AK232" s="323"/>
      <c r="AL232" s="323"/>
      <c r="AM232" s="323"/>
      <c r="AN232" s="323"/>
    </row>
    <row r="233" spans="36:40" x14ac:dyDescent="0.35">
      <c r="AJ233" s="323"/>
      <c r="AK233" s="323"/>
      <c r="AL233" s="323"/>
      <c r="AM233" s="323"/>
      <c r="AN233" s="323"/>
    </row>
    <row r="234" spans="36:40" x14ac:dyDescent="0.35">
      <c r="AJ234" s="323"/>
      <c r="AK234" s="323"/>
      <c r="AL234" s="323"/>
      <c r="AM234" s="323"/>
      <c r="AN234" s="323"/>
    </row>
    <row r="235" spans="36:40" x14ac:dyDescent="0.35">
      <c r="AJ235" s="323"/>
      <c r="AK235" s="323"/>
      <c r="AL235" s="323"/>
      <c r="AM235" s="323"/>
      <c r="AN235" s="323"/>
    </row>
    <row r="236" spans="36:40" x14ac:dyDescent="0.35">
      <c r="AJ236" s="323"/>
      <c r="AK236" s="323"/>
      <c r="AL236" s="323"/>
      <c r="AM236" s="323"/>
      <c r="AN236" s="323"/>
    </row>
    <row r="237" spans="36:40" x14ac:dyDescent="0.35">
      <c r="AJ237" s="323"/>
      <c r="AK237" s="323"/>
      <c r="AL237" s="323"/>
      <c r="AM237" s="323"/>
      <c r="AN237" s="323"/>
    </row>
    <row r="238" spans="36:40" x14ac:dyDescent="0.35">
      <c r="AJ238" s="323"/>
      <c r="AK238" s="323"/>
      <c r="AL238" s="323"/>
      <c r="AM238" s="323"/>
      <c r="AN238" s="323"/>
    </row>
    <row r="239" spans="36:40" x14ac:dyDescent="0.35">
      <c r="AJ239" s="323"/>
      <c r="AK239" s="323"/>
      <c r="AL239" s="323"/>
      <c r="AM239" s="323"/>
      <c r="AN239" s="323"/>
    </row>
    <row r="240" spans="36:40" x14ac:dyDescent="0.35">
      <c r="AJ240" s="323"/>
      <c r="AK240" s="323"/>
      <c r="AL240" s="323"/>
      <c r="AM240" s="323"/>
      <c r="AN240" s="323"/>
    </row>
    <row r="241" spans="36:40" x14ac:dyDescent="0.35">
      <c r="AJ241" s="323"/>
      <c r="AK241" s="323"/>
      <c r="AL241" s="323"/>
      <c r="AM241" s="323"/>
      <c r="AN241" s="323"/>
    </row>
    <row r="242" spans="36:40" x14ac:dyDescent="0.35">
      <c r="AJ242" s="323"/>
      <c r="AK242" s="323"/>
      <c r="AL242" s="323"/>
      <c r="AM242" s="323"/>
      <c r="AN242" s="323"/>
    </row>
    <row r="243" spans="36:40" x14ac:dyDescent="0.35">
      <c r="AJ243" s="323"/>
      <c r="AK243" s="323"/>
      <c r="AL243" s="323"/>
      <c r="AM243" s="323"/>
      <c r="AN243" s="323"/>
    </row>
    <row r="244" spans="36:40" x14ac:dyDescent="0.35">
      <c r="AJ244" s="323"/>
      <c r="AK244" s="323"/>
      <c r="AL244" s="323"/>
      <c r="AM244" s="323"/>
      <c r="AN244" s="323"/>
    </row>
    <row r="245" spans="36:40" x14ac:dyDescent="0.35">
      <c r="AJ245" s="323"/>
      <c r="AK245" s="323"/>
      <c r="AL245" s="323"/>
      <c r="AM245" s="323"/>
      <c r="AN245" s="323"/>
    </row>
    <row r="246" spans="36:40" x14ac:dyDescent="0.35">
      <c r="AJ246" s="323"/>
      <c r="AK246" s="323"/>
      <c r="AL246" s="323"/>
      <c r="AM246" s="323"/>
      <c r="AN246" s="323"/>
    </row>
    <row r="247" spans="36:40" x14ac:dyDescent="0.35">
      <c r="AJ247" s="323"/>
      <c r="AK247" s="323"/>
      <c r="AL247" s="323"/>
      <c r="AM247" s="323"/>
      <c r="AN247" s="323"/>
    </row>
    <row r="248" spans="36:40" x14ac:dyDescent="0.35">
      <c r="AJ248" s="323"/>
      <c r="AK248" s="323"/>
      <c r="AL248" s="323"/>
      <c r="AM248" s="323"/>
      <c r="AN248" s="323"/>
    </row>
    <row r="249" spans="36:40" x14ac:dyDescent="0.35">
      <c r="AJ249" s="323"/>
      <c r="AK249" s="323"/>
      <c r="AL249" s="323"/>
      <c r="AM249" s="323"/>
      <c r="AN249" s="323"/>
    </row>
    <row r="250" spans="36:40" x14ac:dyDescent="0.35">
      <c r="AJ250" s="323"/>
      <c r="AK250" s="323"/>
      <c r="AL250" s="323"/>
      <c r="AM250" s="323"/>
      <c r="AN250" s="323"/>
    </row>
    <row r="251" spans="36:40" x14ac:dyDescent="0.35">
      <c r="AJ251" s="323"/>
      <c r="AK251" s="323"/>
      <c r="AL251" s="323"/>
      <c r="AM251" s="323"/>
      <c r="AN251" s="323"/>
    </row>
    <row r="252" spans="36:40" x14ac:dyDescent="0.35">
      <c r="AJ252" s="323"/>
      <c r="AK252" s="323"/>
      <c r="AL252" s="323"/>
      <c r="AM252" s="323"/>
      <c r="AN252" s="323"/>
    </row>
    <row r="253" spans="36:40" x14ac:dyDescent="0.35">
      <c r="AJ253" s="323"/>
      <c r="AK253" s="323"/>
      <c r="AL253" s="323"/>
      <c r="AM253" s="323"/>
      <c r="AN253" s="323"/>
    </row>
    <row r="254" spans="36:40" x14ac:dyDescent="0.35">
      <c r="AJ254" s="323"/>
      <c r="AK254" s="323"/>
      <c r="AL254" s="323"/>
      <c r="AM254" s="323"/>
      <c r="AN254" s="323"/>
    </row>
    <row r="255" spans="36:40" x14ac:dyDescent="0.35">
      <c r="AJ255" s="323"/>
      <c r="AK255" s="323"/>
      <c r="AL255" s="323"/>
      <c r="AM255" s="323"/>
      <c r="AN255" s="323"/>
    </row>
    <row r="256" spans="36:40" x14ac:dyDescent="0.35">
      <c r="AJ256" s="323"/>
      <c r="AK256" s="323"/>
      <c r="AL256" s="323"/>
      <c r="AM256" s="323"/>
      <c r="AN256" s="323"/>
    </row>
    <row r="257" spans="36:40" x14ac:dyDescent="0.35">
      <c r="AJ257" s="323"/>
      <c r="AK257" s="323"/>
      <c r="AL257" s="323"/>
      <c r="AM257" s="323"/>
      <c r="AN257" s="323"/>
    </row>
    <row r="258" spans="36:40" x14ac:dyDescent="0.35">
      <c r="AJ258" s="323"/>
      <c r="AK258" s="323"/>
      <c r="AL258" s="323"/>
      <c r="AM258" s="323"/>
      <c r="AN258" s="323"/>
    </row>
    <row r="259" spans="36:40" x14ac:dyDescent="0.35">
      <c r="AJ259" s="323"/>
      <c r="AK259" s="323"/>
      <c r="AL259" s="323"/>
      <c r="AM259" s="323"/>
      <c r="AN259" s="323"/>
    </row>
    <row r="260" spans="36:40" x14ac:dyDescent="0.35">
      <c r="AJ260" s="323"/>
      <c r="AK260" s="323"/>
      <c r="AL260" s="323"/>
      <c r="AM260" s="323"/>
      <c r="AN260" s="323"/>
    </row>
    <row r="261" spans="36:40" x14ac:dyDescent="0.35">
      <c r="AJ261" s="323"/>
      <c r="AK261" s="323"/>
      <c r="AL261" s="323"/>
      <c r="AM261" s="323"/>
      <c r="AN261" s="323"/>
    </row>
    <row r="262" spans="36:40" x14ac:dyDescent="0.35">
      <c r="AJ262" s="323"/>
      <c r="AK262" s="323"/>
      <c r="AL262" s="323"/>
      <c r="AM262" s="323"/>
      <c r="AN262" s="323"/>
    </row>
    <row r="263" spans="36:40" x14ac:dyDescent="0.35">
      <c r="AJ263" s="323"/>
      <c r="AK263" s="323"/>
      <c r="AL263" s="323"/>
      <c r="AM263" s="323"/>
      <c r="AN263" s="323"/>
    </row>
    <row r="264" spans="36:40" x14ac:dyDescent="0.35">
      <c r="AJ264" s="323"/>
      <c r="AK264" s="323"/>
      <c r="AL264" s="323"/>
      <c r="AM264" s="323"/>
      <c r="AN264" s="323"/>
    </row>
    <row r="265" spans="36:40" x14ac:dyDescent="0.35">
      <c r="AJ265" s="323"/>
      <c r="AK265" s="323"/>
      <c r="AL265" s="323"/>
      <c r="AM265" s="323"/>
      <c r="AN265" s="323"/>
    </row>
    <row r="266" spans="36:40" x14ac:dyDescent="0.35">
      <c r="AJ266" s="323"/>
      <c r="AK266" s="323"/>
      <c r="AL266" s="323"/>
      <c r="AM266" s="323"/>
      <c r="AN266" s="323"/>
    </row>
    <row r="267" spans="36:40" x14ac:dyDescent="0.35">
      <c r="AJ267" s="323"/>
      <c r="AK267" s="323"/>
      <c r="AL267" s="323"/>
      <c r="AM267" s="323"/>
      <c r="AN267" s="323"/>
    </row>
    <row r="268" spans="36:40" x14ac:dyDescent="0.35">
      <c r="AJ268" s="323"/>
      <c r="AK268" s="323"/>
      <c r="AL268" s="323"/>
      <c r="AM268" s="323"/>
      <c r="AN268" s="323"/>
    </row>
    <row r="269" spans="36:40" x14ac:dyDescent="0.35">
      <c r="AJ269" s="323"/>
      <c r="AK269" s="323"/>
      <c r="AL269" s="323"/>
      <c r="AM269" s="323"/>
      <c r="AN269" s="323"/>
    </row>
    <row r="270" spans="36:40" x14ac:dyDescent="0.35">
      <c r="AJ270" s="323"/>
      <c r="AK270" s="323"/>
      <c r="AL270" s="323"/>
      <c r="AM270" s="323"/>
      <c r="AN270" s="323"/>
    </row>
    <row r="271" spans="36:40" x14ac:dyDescent="0.35">
      <c r="AJ271" s="323"/>
      <c r="AK271" s="323"/>
      <c r="AL271" s="323"/>
      <c r="AM271" s="323"/>
      <c r="AN271" s="323"/>
    </row>
    <row r="272" spans="36:40" x14ac:dyDescent="0.35">
      <c r="AJ272" s="323"/>
      <c r="AK272" s="323"/>
      <c r="AL272" s="323"/>
      <c r="AM272" s="323"/>
      <c r="AN272" s="323"/>
    </row>
    <row r="273" spans="36:40" x14ac:dyDescent="0.35">
      <c r="AJ273" s="323"/>
      <c r="AK273" s="323"/>
      <c r="AL273" s="323"/>
      <c r="AM273" s="323"/>
      <c r="AN273" s="323"/>
    </row>
    <row r="274" spans="36:40" x14ac:dyDescent="0.35">
      <c r="AJ274" s="323"/>
      <c r="AK274" s="323"/>
      <c r="AL274" s="323"/>
      <c r="AM274" s="323"/>
      <c r="AN274" s="323"/>
    </row>
    <row r="275" spans="36:40" x14ac:dyDescent="0.35">
      <c r="AJ275" s="323"/>
      <c r="AK275" s="323"/>
      <c r="AL275" s="323"/>
      <c r="AM275" s="323"/>
      <c r="AN275" s="323"/>
    </row>
    <row r="276" spans="36:40" x14ac:dyDescent="0.35">
      <c r="AJ276" s="323"/>
      <c r="AK276" s="323"/>
      <c r="AL276" s="323"/>
      <c r="AM276" s="323"/>
      <c r="AN276" s="323"/>
    </row>
    <row r="277" spans="36:40" x14ac:dyDescent="0.35">
      <c r="AJ277" s="323"/>
      <c r="AK277" s="323"/>
      <c r="AL277" s="323"/>
      <c r="AM277" s="323"/>
      <c r="AN277" s="323"/>
    </row>
    <row r="278" spans="36:40" x14ac:dyDescent="0.35">
      <c r="AJ278" s="323"/>
      <c r="AK278" s="323"/>
      <c r="AL278" s="323"/>
      <c r="AM278" s="323"/>
      <c r="AN278" s="323"/>
    </row>
    <row r="279" spans="36:40" x14ac:dyDescent="0.35">
      <c r="AJ279" s="323"/>
      <c r="AK279" s="323"/>
      <c r="AL279" s="323"/>
      <c r="AM279" s="323"/>
      <c r="AN279" s="323"/>
    </row>
    <row r="280" spans="36:40" x14ac:dyDescent="0.35">
      <c r="AJ280" s="323"/>
      <c r="AK280" s="323"/>
      <c r="AL280" s="323"/>
      <c r="AM280" s="323"/>
      <c r="AN280" s="323"/>
    </row>
    <row r="281" spans="36:40" x14ac:dyDescent="0.35">
      <c r="AJ281" s="323"/>
      <c r="AK281" s="323"/>
      <c r="AL281" s="323"/>
      <c r="AM281" s="323"/>
      <c r="AN281" s="323"/>
    </row>
    <row r="282" spans="36:40" x14ac:dyDescent="0.35">
      <c r="AJ282" s="323"/>
      <c r="AK282" s="323"/>
      <c r="AL282" s="323"/>
      <c r="AM282" s="323"/>
      <c r="AN282" s="323"/>
    </row>
    <row r="283" spans="36:40" x14ac:dyDescent="0.35">
      <c r="AJ283" s="323"/>
      <c r="AK283" s="323"/>
      <c r="AL283" s="323"/>
      <c r="AM283" s="323"/>
      <c r="AN283" s="323"/>
    </row>
    <row r="284" spans="36:40" x14ac:dyDescent="0.35">
      <c r="AJ284" s="323"/>
      <c r="AK284" s="323"/>
      <c r="AL284" s="323"/>
      <c r="AM284" s="323"/>
      <c r="AN284" s="323"/>
    </row>
    <row r="285" spans="36:40" x14ac:dyDescent="0.35">
      <c r="AJ285" s="323"/>
      <c r="AK285" s="323"/>
      <c r="AL285" s="323"/>
      <c r="AM285" s="323"/>
      <c r="AN285" s="323"/>
    </row>
    <row r="286" spans="36:40" x14ac:dyDescent="0.35">
      <c r="AJ286" s="323"/>
      <c r="AK286" s="323"/>
      <c r="AL286" s="323"/>
      <c r="AM286" s="323"/>
      <c r="AN286" s="323"/>
    </row>
    <row r="287" spans="36:40" x14ac:dyDescent="0.35">
      <c r="AJ287" s="323"/>
      <c r="AK287" s="323"/>
      <c r="AL287" s="323"/>
      <c r="AM287" s="323"/>
      <c r="AN287" s="323"/>
    </row>
    <row r="288" spans="36:40" x14ac:dyDescent="0.35">
      <c r="AJ288" s="323"/>
      <c r="AK288" s="323"/>
      <c r="AL288" s="323"/>
      <c r="AM288" s="323"/>
      <c r="AN288" s="323"/>
    </row>
    <row r="289" spans="36:40" x14ac:dyDescent="0.35">
      <c r="AJ289" s="323"/>
      <c r="AK289" s="323"/>
      <c r="AL289" s="323"/>
      <c r="AM289" s="323"/>
      <c r="AN289" s="323"/>
    </row>
    <row r="290" spans="36:40" x14ac:dyDescent="0.35">
      <c r="AJ290" s="323"/>
      <c r="AK290" s="323"/>
      <c r="AL290" s="323"/>
      <c r="AM290" s="323"/>
      <c r="AN290" s="323"/>
    </row>
    <row r="291" spans="36:40" x14ac:dyDescent="0.35">
      <c r="AJ291" s="323"/>
      <c r="AK291" s="323"/>
      <c r="AL291" s="323"/>
      <c r="AM291" s="323"/>
      <c r="AN291" s="323"/>
    </row>
  </sheetData>
  <protectedRanges>
    <protectedRange sqref="E5 E9:E11" name="Input for Interest Only"/>
    <protectedRange sqref="H10:H11" name="Input for Interest Only_1"/>
    <protectedRange sqref="M5:M11" name="Input for Interest Only_2"/>
  </protectedRanges>
  <scenarios current="0">
    <scenario name="EMP US" count="1" user="61411" comment="Created by 61411 on 3/21/2023">
      <inputCells r="AK11" val="0.0676527680179739" numFmtId="10"/>
    </scenario>
  </scenarios>
  <mergeCells count="26">
    <mergeCell ref="C3:C4"/>
    <mergeCell ref="E3:F4"/>
    <mergeCell ref="H3:J4"/>
    <mergeCell ref="L3:M4"/>
    <mergeCell ref="O3:O5"/>
    <mergeCell ref="I12:J12"/>
    <mergeCell ref="I13:J13"/>
    <mergeCell ref="I14:J14"/>
    <mergeCell ref="E15:J15"/>
    <mergeCell ref="L15:M15"/>
    <mergeCell ref="Q3:R3"/>
    <mergeCell ref="Q71:R71"/>
    <mergeCell ref="Q131:R131"/>
    <mergeCell ref="Q179:R179"/>
    <mergeCell ref="T16:AG16"/>
    <mergeCell ref="T17:T19"/>
    <mergeCell ref="U17:U19"/>
    <mergeCell ref="V17:V18"/>
    <mergeCell ref="W17:Y17"/>
    <mergeCell ref="Z17:Z19"/>
    <mergeCell ref="AA17:AC17"/>
    <mergeCell ref="AG17:AG19"/>
    <mergeCell ref="Y18:Y19"/>
    <mergeCell ref="AD18:AD19"/>
    <mergeCell ref="Q11:Q12"/>
    <mergeCell ref="AE18:AE1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128C6-D4F5-4958-A621-62A64C5EBACE}">
  <sheetPr codeName="Sheet3"/>
  <dimension ref="B1:L80"/>
  <sheetViews>
    <sheetView topLeftCell="A3" zoomScaleNormal="154" workbookViewId="0">
      <selection activeCell="G5" sqref="G5"/>
    </sheetView>
  </sheetViews>
  <sheetFormatPr defaultRowHeight="12.75" outlineLevelRow="1" x14ac:dyDescent="0.35"/>
  <cols>
    <col min="1" max="1" width="2.53125" customWidth="1"/>
    <col min="2" max="2" width="20.19921875" style="14" customWidth="1"/>
    <col min="3" max="3" width="15.53125" style="14" customWidth="1"/>
    <col min="4" max="4" width="21.1328125" customWidth="1"/>
    <col min="5" max="5" width="8.59765625" customWidth="1"/>
    <col min="6" max="6" width="8.46484375" customWidth="1"/>
    <col min="7" max="8" width="12.46484375" bestFit="1" customWidth="1"/>
    <col min="9" max="9" width="12.6640625" bestFit="1" customWidth="1"/>
    <col min="10" max="10" width="13.19921875" bestFit="1" customWidth="1"/>
    <col min="11" max="11" width="13.6640625" bestFit="1" customWidth="1"/>
    <col min="12" max="12" width="7.6640625" customWidth="1"/>
  </cols>
  <sheetData>
    <row r="1" spans="2:12" ht="13.15" thickBot="1" x14ac:dyDescent="0.4"/>
    <row r="2" spans="2:12" ht="13.5" thickTop="1" x14ac:dyDescent="0.4">
      <c r="B2" s="193"/>
      <c r="C2" s="191"/>
      <c r="D2" s="192"/>
      <c r="E2" s="192"/>
      <c r="F2" s="192"/>
      <c r="G2" s="194" t="s">
        <v>246</v>
      </c>
      <c r="H2" s="194"/>
      <c r="I2" s="194"/>
      <c r="J2" s="194"/>
      <c r="K2" s="194"/>
    </row>
    <row r="3" spans="2:12" x14ac:dyDescent="0.35">
      <c r="B3" s="195"/>
      <c r="G3" s="109" t="s">
        <v>42</v>
      </c>
      <c r="H3" s="109" t="s">
        <v>42</v>
      </c>
      <c r="I3" s="104" t="s">
        <v>42</v>
      </c>
      <c r="J3" s="109" t="s">
        <v>42</v>
      </c>
      <c r="K3" s="104" t="s">
        <v>42</v>
      </c>
    </row>
    <row r="4" spans="2:12" x14ac:dyDescent="0.35">
      <c r="B4" s="195"/>
      <c r="G4" s="110">
        <v>1</v>
      </c>
      <c r="H4" s="110">
        <v>2</v>
      </c>
      <c r="I4" s="105">
        <v>3</v>
      </c>
      <c r="J4" s="110">
        <v>4</v>
      </c>
      <c r="K4" s="105">
        <v>5</v>
      </c>
    </row>
    <row r="5" spans="2:12" x14ac:dyDescent="0.35">
      <c r="B5" s="195"/>
      <c r="G5" s="539">
        <f>'EPM UK_APAC'!$AB20</f>
        <v>2137.0283521637139</v>
      </c>
      <c r="H5" s="539">
        <f>'EPM UK_APAC'!$AB21</f>
        <v>2321.2108292474918</v>
      </c>
      <c r="I5" s="539">
        <f>'EPM UK_APAC'!$AB22</f>
        <v>2505.3933063312693</v>
      </c>
      <c r="J5" s="539">
        <f>'EPM UK_APAC'!$AB23</f>
        <v>2689.5757834150468</v>
      </c>
      <c r="K5" s="539">
        <f>'EPM UK_APAC'!$AB24</f>
        <v>2873.7582604988247</v>
      </c>
      <c r="L5" s="88" t="b">
        <f>SUM(G5:K5)=SUM('EPM UK_APAC'!AB20,'EPM UK_APAC'!AB21,'EPM UK_APAC'!AB22,'EPM UK_APAC'!AB23,'EPM UK_APAC'!AB24)</f>
        <v>1</v>
      </c>
    </row>
    <row r="6" spans="2:12" x14ac:dyDescent="0.35">
      <c r="B6" s="195"/>
      <c r="G6" s="106"/>
      <c r="H6" s="106"/>
      <c r="J6" s="107"/>
    </row>
    <row r="7" spans="2:12" ht="13.15" x14ac:dyDescent="0.4">
      <c r="B7" s="196" t="s">
        <v>42</v>
      </c>
      <c r="C7" s="115">
        <v>1</v>
      </c>
      <c r="D7" s="116" t="s">
        <v>46</v>
      </c>
      <c r="E7" s="116"/>
      <c r="F7" s="188"/>
      <c r="G7" s="199">
        <f>SUM(G8:G8)</f>
        <v>3500</v>
      </c>
      <c r="H7" s="200">
        <f t="shared" ref="H7:K7" si="0">G7*(1-termination_rate)</f>
        <v>3325</v>
      </c>
      <c r="I7" s="200">
        <f t="shared" si="0"/>
        <v>3158.75</v>
      </c>
      <c r="J7" s="200">
        <f t="shared" si="0"/>
        <v>3000.8125</v>
      </c>
      <c r="K7" s="200">
        <f t="shared" si="0"/>
        <v>2850.7718749999999</v>
      </c>
    </row>
    <row r="8" spans="2:12" outlineLevel="1" x14ac:dyDescent="0.35">
      <c r="B8" s="195"/>
      <c r="D8" t="s">
        <v>78</v>
      </c>
      <c r="F8" s="114"/>
      <c r="G8" s="186">
        <f>G54</f>
        <v>3500</v>
      </c>
      <c r="H8" s="186"/>
      <c r="I8" s="108"/>
      <c r="J8" s="108"/>
      <c r="K8" s="108"/>
    </row>
    <row r="9" spans="2:12" ht="13.15" x14ac:dyDescent="0.4">
      <c r="B9" s="195" t="s">
        <v>42</v>
      </c>
      <c r="C9" s="14">
        <v>2</v>
      </c>
      <c r="D9" t="s">
        <v>46</v>
      </c>
      <c r="F9" s="114"/>
      <c r="G9" s="108"/>
      <c r="H9" s="201">
        <f>SUM(H10:H10)</f>
        <v>3850</v>
      </c>
      <c r="I9" s="202">
        <f>H9*(1-termination_rate)</f>
        <v>3657.5</v>
      </c>
      <c r="J9" s="202">
        <f>I9*(1-termination_rate)</f>
        <v>3474.625</v>
      </c>
      <c r="K9" s="202">
        <f>J9*(1-termination_rate)</f>
        <v>3300.8937499999997</v>
      </c>
    </row>
    <row r="10" spans="2:12" outlineLevel="1" x14ac:dyDescent="0.35">
      <c r="B10" s="195"/>
      <c r="D10" t="s">
        <v>78</v>
      </c>
      <c r="F10" s="114"/>
      <c r="G10" s="108"/>
      <c r="H10" s="108">
        <f>H54</f>
        <v>3850</v>
      </c>
      <c r="J10" s="108"/>
      <c r="K10" s="108"/>
    </row>
    <row r="11" spans="2:12" ht="13.15" x14ac:dyDescent="0.4">
      <c r="B11" s="195" t="s">
        <v>42</v>
      </c>
      <c r="C11" s="14">
        <v>3</v>
      </c>
      <c r="D11" t="s">
        <v>46</v>
      </c>
      <c r="F11" s="114"/>
      <c r="G11" s="108"/>
      <c r="H11" s="108"/>
      <c r="I11" s="201">
        <f>SUM(I12:I12)</f>
        <v>4235</v>
      </c>
      <c r="J11" s="202">
        <f>I11*(1-termination_rate)</f>
        <v>4023.25</v>
      </c>
      <c r="K11" s="202">
        <f>J11*(1-termination_rate)</f>
        <v>3822.0874999999996</v>
      </c>
    </row>
    <row r="12" spans="2:12" outlineLevel="1" x14ac:dyDescent="0.35">
      <c r="B12" s="195"/>
      <c r="D12" t="s">
        <v>78</v>
      </c>
      <c r="F12" s="114"/>
      <c r="G12" s="108"/>
      <c r="H12" s="108"/>
      <c r="I12" s="108">
        <f>I54</f>
        <v>4235</v>
      </c>
      <c r="J12" s="108"/>
      <c r="K12" s="108"/>
    </row>
    <row r="13" spans="2:12" ht="13.15" x14ac:dyDescent="0.4">
      <c r="B13" s="195" t="s">
        <v>42</v>
      </c>
      <c r="C13" s="14">
        <v>4</v>
      </c>
      <c r="D13" t="s">
        <v>46</v>
      </c>
      <c r="F13" s="114"/>
      <c r="G13" s="108"/>
      <c r="H13" s="108"/>
      <c r="I13" s="108"/>
      <c r="J13" s="201">
        <f>SUM(J14:J14)</f>
        <v>4658.5</v>
      </c>
      <c r="K13" s="202">
        <f>J13*(1-termination_rate)</f>
        <v>4425.5749999999998</v>
      </c>
    </row>
    <row r="14" spans="2:12" outlineLevel="1" x14ac:dyDescent="0.35">
      <c r="B14" s="195"/>
      <c r="D14" t="s">
        <v>78</v>
      </c>
      <c r="F14" s="114"/>
      <c r="G14" s="108"/>
      <c r="H14" s="108"/>
      <c r="I14" s="108"/>
      <c r="J14" s="108">
        <f>J54</f>
        <v>4658.5</v>
      </c>
      <c r="K14" s="108"/>
    </row>
    <row r="15" spans="2:12" ht="13.15" x14ac:dyDescent="0.4">
      <c r="B15" s="195" t="s">
        <v>42</v>
      </c>
      <c r="C15" s="14">
        <v>5</v>
      </c>
      <c r="D15" t="s">
        <v>46</v>
      </c>
      <c r="F15" s="114"/>
      <c r="G15" s="108"/>
      <c r="H15" s="108"/>
      <c r="I15" s="108"/>
      <c r="J15" s="108"/>
      <c r="K15" s="201">
        <f>SUM(K16:K16)</f>
        <v>5124.3500000000004</v>
      </c>
    </row>
    <row r="16" spans="2:12" outlineLevel="1" x14ac:dyDescent="0.35">
      <c r="B16" s="195"/>
      <c r="D16" t="s">
        <v>78</v>
      </c>
      <c r="F16" s="114"/>
      <c r="G16" s="108"/>
      <c r="H16" s="108"/>
      <c r="I16" s="108"/>
      <c r="J16" s="108"/>
      <c r="K16" s="108">
        <f>K54</f>
        <v>5124.3500000000004</v>
      </c>
    </row>
    <row r="17" spans="2:11" x14ac:dyDescent="0.35">
      <c r="B17" s="195" t="s">
        <v>42</v>
      </c>
      <c r="C17" s="14">
        <v>6</v>
      </c>
      <c r="D17" t="s">
        <v>46</v>
      </c>
      <c r="F17" s="114"/>
      <c r="G17" s="108"/>
      <c r="H17" s="108"/>
      <c r="I17" s="108"/>
      <c r="J17" s="108"/>
      <c r="K17" s="108"/>
    </row>
    <row r="18" spans="2:11" outlineLevel="1" x14ac:dyDescent="0.35">
      <c r="B18" s="195"/>
      <c r="D18" t="s">
        <v>78</v>
      </c>
      <c r="F18" s="114"/>
      <c r="G18" s="108"/>
      <c r="H18" s="108"/>
      <c r="I18" s="108"/>
      <c r="J18" s="108"/>
      <c r="K18" s="108"/>
    </row>
    <row r="19" spans="2:11" outlineLevel="1" x14ac:dyDescent="0.35">
      <c r="B19" s="195"/>
      <c r="C19" s="14">
        <v>7</v>
      </c>
      <c r="D19" t="s">
        <v>46</v>
      </c>
      <c r="G19" s="108"/>
      <c r="H19" s="108"/>
      <c r="I19" s="108"/>
      <c r="J19" s="108"/>
      <c r="K19" s="108"/>
    </row>
    <row r="20" spans="2:11" outlineLevel="1" x14ac:dyDescent="0.35">
      <c r="B20" s="195"/>
      <c r="D20" t="s">
        <v>78</v>
      </c>
      <c r="G20" s="108"/>
      <c r="H20" s="108"/>
      <c r="I20" s="108"/>
      <c r="J20" s="108"/>
      <c r="K20" s="108"/>
    </row>
    <row r="21" spans="2:11" s="2" customFormat="1" ht="13.5" thickBot="1" x14ac:dyDescent="0.45">
      <c r="B21" s="197"/>
      <c r="C21" s="189"/>
      <c r="D21" s="190" t="s">
        <v>48</v>
      </c>
      <c r="E21" s="189"/>
      <c r="F21" s="189"/>
      <c r="G21" s="113">
        <f>G7</f>
        <v>3500</v>
      </c>
      <c r="H21" s="113">
        <f>H7+H9</f>
        <v>7175</v>
      </c>
      <c r="I21" s="113">
        <f>I7+I9+I11</f>
        <v>11051.25</v>
      </c>
      <c r="J21" s="113">
        <f>J7+J9+J11+J13</f>
        <v>15157.1875</v>
      </c>
      <c r="K21" s="113">
        <f>K7+K9+K11+K13+K15</f>
        <v>19523.678124999999</v>
      </c>
    </row>
    <row r="22" spans="2:11" ht="13.15" thickTop="1" x14ac:dyDescent="0.35">
      <c r="B22" s="193"/>
      <c r="C22" s="191"/>
      <c r="D22" s="192"/>
      <c r="E22" s="192"/>
      <c r="F22" s="192"/>
      <c r="G22" s="831" t="s">
        <v>80</v>
      </c>
      <c r="H22" s="832"/>
      <c r="I22" s="832"/>
      <c r="J22" s="832"/>
      <c r="K22" s="832"/>
    </row>
    <row r="23" spans="2:11" x14ac:dyDescent="0.35">
      <c r="B23" s="195" t="s">
        <v>42</v>
      </c>
      <c r="C23" s="14">
        <v>1</v>
      </c>
      <c r="D23" t="s">
        <v>152</v>
      </c>
      <c r="G23" s="108">
        <f t="shared" ref="G23:K23" si="1">G5*G7</f>
        <v>7479599.2325729989</v>
      </c>
      <c r="H23" s="108">
        <f t="shared" si="1"/>
        <v>7718026.0072479099</v>
      </c>
      <c r="I23" s="108">
        <f t="shared" si="1"/>
        <v>7913911.1063738968</v>
      </c>
      <c r="J23" s="108">
        <f t="shared" si="1"/>
        <v>8070912.6305691646</v>
      </c>
      <c r="K23" s="108">
        <f t="shared" si="1"/>
        <v>8192429.2245789729</v>
      </c>
    </row>
    <row r="24" spans="2:11" x14ac:dyDescent="0.35">
      <c r="B24" s="195" t="s">
        <v>42</v>
      </c>
      <c r="C24" s="14">
        <v>2</v>
      </c>
      <c r="D24" t="s">
        <v>152</v>
      </c>
      <c r="G24" s="107"/>
      <c r="H24" s="538">
        <f t="shared" ref="H24:K24" si="2">H9*G$5</f>
        <v>8227559.1558302986</v>
      </c>
      <c r="I24" s="538">
        <f t="shared" si="2"/>
        <v>8489828.607972702</v>
      </c>
      <c r="J24" s="538">
        <f t="shared" si="2"/>
        <v>8705302.2170112859</v>
      </c>
      <c r="K24" s="538">
        <f t="shared" si="2"/>
        <v>8878003.8936260808</v>
      </c>
    </row>
    <row r="25" spans="2:11" x14ac:dyDescent="0.35">
      <c r="B25" s="195" t="s">
        <v>42</v>
      </c>
      <c r="C25" s="14">
        <v>3</v>
      </c>
      <c r="D25" t="s">
        <v>152</v>
      </c>
      <c r="G25" s="107"/>
      <c r="H25" s="107"/>
      <c r="I25" s="538">
        <f>I11*G$5</f>
        <v>9050315.0714133289</v>
      </c>
      <c r="J25" s="538">
        <f>J11*H$5</f>
        <v>9338811.4687699713</v>
      </c>
      <c r="K25" s="538">
        <f>K11*I$5</f>
        <v>9575832.4387124144</v>
      </c>
    </row>
    <row r="26" spans="2:11" x14ac:dyDescent="0.35">
      <c r="B26" s="195" t="s">
        <v>42</v>
      </c>
      <c r="C26" s="14">
        <v>4</v>
      </c>
      <c r="D26" t="s">
        <v>152</v>
      </c>
      <c r="G26" s="107"/>
      <c r="H26" s="107"/>
      <c r="I26" s="107"/>
      <c r="J26" s="538">
        <f>J13*G$5</f>
        <v>9955346.5785546619</v>
      </c>
      <c r="K26" s="538">
        <f>K13*H$5</f>
        <v>10272692.615646968</v>
      </c>
    </row>
    <row r="27" spans="2:11" x14ac:dyDescent="0.35">
      <c r="B27" s="195" t="s">
        <v>42</v>
      </c>
      <c r="C27" s="14">
        <v>5</v>
      </c>
      <c r="D27" t="s">
        <v>152</v>
      </c>
      <c r="G27" s="107"/>
      <c r="H27" s="107"/>
      <c r="I27" s="107"/>
      <c r="J27" s="538"/>
      <c r="K27" s="538">
        <f>K15*G$5</f>
        <v>10950881.236410128</v>
      </c>
    </row>
    <row r="28" spans="2:11" x14ac:dyDescent="0.35">
      <c r="B28" s="195" t="s">
        <v>42</v>
      </c>
      <c r="C28" s="14">
        <v>6</v>
      </c>
      <c r="D28" t="s">
        <v>152</v>
      </c>
      <c r="G28" s="107"/>
      <c r="H28" s="107"/>
      <c r="I28" s="107"/>
      <c r="J28" s="538"/>
      <c r="K28" s="538"/>
    </row>
    <row r="29" spans="2:11" x14ac:dyDescent="0.35">
      <c r="B29" s="195"/>
      <c r="C29" s="14">
        <v>7</v>
      </c>
      <c r="D29" t="s">
        <v>152</v>
      </c>
      <c r="G29" s="107"/>
      <c r="H29" s="107"/>
      <c r="I29" s="107"/>
      <c r="J29" s="538"/>
      <c r="K29" s="538"/>
    </row>
    <row r="30" spans="2:11" s="2" customFormat="1" ht="13.5" thickBot="1" x14ac:dyDescent="0.45">
      <c r="B30" s="198"/>
      <c r="C30" s="111"/>
      <c r="D30" s="112" t="s">
        <v>47</v>
      </c>
      <c r="E30" s="111"/>
      <c r="F30" s="111"/>
      <c r="G30" s="113">
        <f>SUM(G23:G29)</f>
        <v>7479599.2325729989</v>
      </c>
      <c r="H30" s="113">
        <f t="shared" ref="H30:K30" si="3">SUM(H23:H29)</f>
        <v>15945585.163078208</v>
      </c>
      <c r="I30" s="113">
        <f t="shared" si="3"/>
        <v>25454054.785759926</v>
      </c>
      <c r="J30" s="113">
        <f t="shared" si="3"/>
        <v>36070372.894905083</v>
      </c>
      <c r="K30" s="113">
        <f t="shared" si="3"/>
        <v>47869839.408974566</v>
      </c>
    </row>
    <row r="31" spans="2:11" ht="13.5" thickTop="1" thickBot="1" x14ac:dyDescent="0.4">
      <c r="G31" s="320"/>
      <c r="H31" s="320"/>
      <c r="I31" s="320"/>
      <c r="J31" s="321"/>
      <c r="K31" s="320"/>
    </row>
    <row r="32" spans="2:11" ht="13.15" thickTop="1" x14ac:dyDescent="0.35">
      <c r="B32" s="219" t="s">
        <v>98</v>
      </c>
      <c r="C32" s="191"/>
      <c r="D32" s="192"/>
      <c r="E32" s="192"/>
      <c r="F32" s="192"/>
      <c r="G32" s="833" t="s">
        <v>234</v>
      </c>
      <c r="H32" s="832"/>
      <c r="I32" s="832"/>
      <c r="J32" s="832"/>
      <c r="K32" s="832"/>
    </row>
    <row r="33" spans="2:11" x14ac:dyDescent="0.35">
      <c r="B33" s="195" t="s">
        <v>42</v>
      </c>
      <c r="C33" s="14">
        <v>1</v>
      </c>
      <c r="D33" t="s">
        <v>152</v>
      </c>
      <c r="G33" s="108">
        <f>G23*$E$47</f>
        <v>4487759.5395437991</v>
      </c>
      <c r="H33" s="108">
        <f>G23*$E$49+H23*$E$47</f>
        <v>7622655.2973779459</v>
      </c>
      <c r="I33" s="108">
        <f>G23*(1-$E$47-$E$49)+H23*$E$49+I23*$E$47</f>
        <v>7835557.0667235013</v>
      </c>
      <c r="J33" s="108">
        <f>H23*(1-$E$47-$E$49)+I23*$E$49+J23*$E$47</f>
        <v>8008112.0208910573</v>
      </c>
      <c r="K33" s="108">
        <f>I23*(1-$E$47-$E$49)+J23*$E$49+K23*$E$47</f>
        <v>8143822.5869750492</v>
      </c>
    </row>
    <row r="34" spans="2:11" x14ac:dyDescent="0.35">
      <c r="B34" s="195" t="s">
        <v>42</v>
      </c>
      <c r="C34" s="14">
        <v>2</v>
      </c>
      <c r="D34" t="s">
        <v>152</v>
      </c>
      <c r="G34" s="107"/>
      <c r="H34" s="108">
        <f>H24*$E$47</f>
        <v>4936535.4934981791</v>
      </c>
      <c r="I34" s="108">
        <f>H24*$E$49+I24*$E$47</f>
        <v>8384920.8271157406</v>
      </c>
      <c r="J34" s="108">
        <f>H24*(1-$E$47-$E$49)+I24*$E$49+J24*$E$47</f>
        <v>8619112.7733958513</v>
      </c>
      <c r="K34" s="108">
        <f>I24*(1-$E$47-$E$49)+J24*$E$49+K24*$E$47</f>
        <v>8808923.222980164</v>
      </c>
    </row>
    <row r="35" spans="2:11" x14ac:dyDescent="0.35">
      <c r="B35" s="195" t="s">
        <v>42</v>
      </c>
      <c r="C35" s="14">
        <v>3</v>
      </c>
      <c r="D35" t="s">
        <v>152</v>
      </c>
      <c r="G35" s="107"/>
      <c r="H35" s="107"/>
      <c r="I35" s="108">
        <f>I25*$E$47</f>
        <v>5430189.0428479975</v>
      </c>
      <c r="J35" s="108">
        <f>I25*$E$49+J25*$E$47</f>
        <v>9223412.9098273143</v>
      </c>
      <c r="K35" s="108">
        <f>I25*(1-$E$47-$E$49)+J25*$E$49+K25*$E$47</f>
        <v>9481024.0507354364</v>
      </c>
    </row>
    <row r="36" spans="2:11" x14ac:dyDescent="0.35">
      <c r="B36" s="195" t="s">
        <v>42</v>
      </c>
      <c r="C36" s="14">
        <v>4</v>
      </c>
      <c r="D36" t="s">
        <v>152</v>
      </c>
      <c r="G36" s="107"/>
      <c r="H36" s="107"/>
      <c r="I36" s="107"/>
      <c r="J36" s="108">
        <f>J26*$E$47</f>
        <v>5973207.947132797</v>
      </c>
      <c r="K36" s="108">
        <f>J26*$E$49+K26*$E$47</f>
        <v>10145754.200810045</v>
      </c>
    </row>
    <row r="37" spans="2:11" x14ac:dyDescent="0.35">
      <c r="B37" s="195" t="s">
        <v>42</v>
      </c>
      <c r="C37" s="14">
        <v>5</v>
      </c>
      <c r="D37" t="s">
        <v>152</v>
      </c>
      <c r="G37" s="107"/>
      <c r="H37" s="107"/>
      <c r="I37" s="107"/>
      <c r="J37" s="108"/>
      <c r="K37" s="108">
        <f>K27*$E$47</f>
        <v>6570528.7418460762</v>
      </c>
    </row>
    <row r="38" spans="2:11" x14ac:dyDescent="0.35">
      <c r="B38" s="195" t="s">
        <v>42</v>
      </c>
      <c r="C38" s="14">
        <v>6</v>
      </c>
      <c r="D38" t="s">
        <v>152</v>
      </c>
      <c r="G38" s="107"/>
      <c r="H38" s="107"/>
      <c r="I38" s="107"/>
      <c r="J38" s="108"/>
      <c r="K38" s="108"/>
    </row>
    <row r="39" spans="2:11" x14ac:dyDescent="0.35">
      <c r="B39" s="195"/>
      <c r="C39" s="14">
        <v>7</v>
      </c>
      <c r="D39" t="s">
        <v>152</v>
      </c>
      <c r="G39" s="107"/>
      <c r="H39" s="107"/>
      <c r="I39" s="107"/>
      <c r="J39" s="108"/>
      <c r="K39" s="108"/>
    </row>
    <row r="40" spans="2:11" ht="13.5" thickBot="1" x14ac:dyDescent="0.45">
      <c r="B40" s="198"/>
      <c r="C40" s="111"/>
      <c r="D40" s="112" t="s">
        <v>47</v>
      </c>
      <c r="E40" s="111"/>
      <c r="F40" s="111"/>
      <c r="G40" s="113">
        <f>SUM(G33:G39)</f>
        <v>4487759.5395437991</v>
      </c>
      <c r="H40" s="113">
        <f t="shared" ref="H40:K40" si="4">SUM(H33:H39)</f>
        <v>12559190.790876124</v>
      </c>
      <c r="I40" s="113">
        <f t="shared" si="4"/>
        <v>21650666.936687239</v>
      </c>
      <c r="J40" s="113">
        <f t="shared" si="4"/>
        <v>31823845.651247017</v>
      </c>
      <c r="K40" s="113">
        <f t="shared" si="4"/>
        <v>43150052.803346775</v>
      </c>
    </row>
    <row r="41" spans="2:11" ht="13.9" thickTop="1" thickBot="1" x14ac:dyDescent="0.45">
      <c r="B41" s="217"/>
      <c r="C41" s="217"/>
      <c r="D41" s="218"/>
      <c r="E41" s="217"/>
      <c r="F41" s="217"/>
      <c r="G41" s="322"/>
      <c r="H41" s="322"/>
      <c r="I41" s="322"/>
      <c r="J41" s="322"/>
      <c r="K41" s="322"/>
    </row>
    <row r="42" spans="2:11" ht="13.15" thickTop="1" x14ac:dyDescent="0.35">
      <c r="B42" s="193"/>
      <c r="C42" s="191"/>
      <c r="D42" s="192"/>
      <c r="E42" s="192"/>
      <c r="F42" s="192"/>
      <c r="G42" s="834" t="s">
        <v>82</v>
      </c>
      <c r="H42" s="835"/>
      <c r="I42" s="835"/>
      <c r="J42" s="835"/>
      <c r="K42" s="835"/>
    </row>
    <row r="43" spans="2:11" ht="13.15" x14ac:dyDescent="0.4">
      <c r="B43" s="220" t="s">
        <v>69</v>
      </c>
      <c r="C43" s="221"/>
      <c r="D43" s="221" t="s">
        <v>81</v>
      </c>
      <c r="E43" s="221"/>
      <c r="G43" s="221" t="s">
        <v>41</v>
      </c>
      <c r="H43" s="221" t="s">
        <v>127</v>
      </c>
      <c r="I43" s="221" t="s">
        <v>128</v>
      </c>
      <c r="J43" s="221" t="s">
        <v>129</v>
      </c>
      <c r="K43" s="221" t="s">
        <v>130</v>
      </c>
    </row>
    <row r="44" spans="2:11" x14ac:dyDescent="0.35">
      <c r="B44" s="527" t="s">
        <v>233</v>
      </c>
      <c r="C44" s="222"/>
      <c r="D44" s="204">
        <v>1</v>
      </c>
      <c r="E44" s="204"/>
      <c r="G44" s="205">
        <f>G$40*$D44</f>
        <v>4487759.5395437991</v>
      </c>
      <c r="H44" s="205">
        <f t="shared" ref="H44:K44" si="5">H$40*$D44</f>
        <v>12559190.790876124</v>
      </c>
      <c r="I44" s="205">
        <f t="shared" si="5"/>
        <v>21650666.936687239</v>
      </c>
      <c r="J44" s="205">
        <f t="shared" si="5"/>
        <v>31823845.651247017</v>
      </c>
      <c r="K44" s="205">
        <f t="shared" si="5"/>
        <v>43150052.803346775</v>
      </c>
    </row>
    <row r="45" spans="2:11" ht="13.15" thickBot="1" x14ac:dyDescent="0.4">
      <c r="B45" s="206"/>
      <c r="C45" s="223"/>
      <c r="D45" s="207"/>
      <c r="E45" s="207"/>
      <c r="F45" s="208"/>
      <c r="G45" s="209"/>
      <c r="H45" s="209"/>
      <c r="I45" s="209"/>
      <c r="J45" s="209"/>
      <c r="K45" s="209"/>
    </row>
    <row r="46" spans="2:11" ht="13.5" thickTop="1" thickBot="1" x14ac:dyDescent="0.4"/>
    <row r="47" spans="2:11" ht="13.5" thickBot="1" x14ac:dyDescent="0.45">
      <c r="B47" s="5" t="s">
        <v>95</v>
      </c>
      <c r="E47" s="203">
        <v>0.6</v>
      </c>
    </row>
    <row r="48" spans="2:11" ht="13.5" thickBot="1" x14ac:dyDescent="0.45">
      <c r="B48" s="5" t="s">
        <v>97</v>
      </c>
      <c r="E48" s="203"/>
    </row>
    <row r="49" spans="2:12" ht="13.5" thickBot="1" x14ac:dyDescent="0.45">
      <c r="B49" s="5" t="s">
        <v>96</v>
      </c>
      <c r="E49" s="203">
        <v>0.4</v>
      </c>
    </row>
    <row r="50" spans="2:12" ht="13.15" thickBot="1" x14ac:dyDescent="0.4"/>
    <row r="51" spans="2:12" ht="13.5" thickTop="1" x14ac:dyDescent="0.4">
      <c r="B51" s="547" t="s">
        <v>88</v>
      </c>
      <c r="C51" s="548"/>
      <c r="D51" s="192"/>
      <c r="E51" s="192"/>
      <c r="F51" s="192"/>
      <c r="G51" s="192"/>
      <c r="H51" s="192"/>
      <c r="I51" s="192"/>
      <c r="J51" s="192"/>
      <c r="K51" s="192"/>
    </row>
    <row r="52" spans="2:12" ht="13.15" x14ac:dyDescent="0.4">
      <c r="B52" s="549"/>
      <c r="C52" s="218"/>
    </row>
    <row r="53" spans="2:12" ht="13.5" thickBot="1" x14ac:dyDescent="0.45">
      <c r="B53" s="550"/>
      <c r="C53"/>
      <c r="D53" s="230"/>
      <c r="E53" s="229"/>
      <c r="G53" s="221" t="s">
        <v>41</v>
      </c>
      <c r="H53" s="221" t="s">
        <v>127</v>
      </c>
      <c r="I53" s="221" t="s">
        <v>128</v>
      </c>
      <c r="J53" s="221" t="s">
        <v>129</v>
      </c>
      <c r="K53" s="221" t="s">
        <v>130</v>
      </c>
      <c r="L53" s="221"/>
    </row>
    <row r="54" spans="2:12" ht="13.5" thickBot="1" x14ac:dyDescent="0.45">
      <c r="B54" s="550" t="s">
        <v>236</v>
      </c>
      <c r="C54"/>
      <c r="G54" s="537">
        <f>Assumptions!$E$11</f>
        <v>3500</v>
      </c>
      <c r="H54" s="537">
        <f>Assumptions!$F$11</f>
        <v>3850</v>
      </c>
      <c r="I54" s="537">
        <f>Assumptions!$G$11</f>
        <v>4235</v>
      </c>
      <c r="J54" s="537">
        <f>Assumptions!$H$11</f>
        <v>4658.5</v>
      </c>
      <c r="K54" s="537">
        <f>Assumptions!$I$11</f>
        <v>5124.3500000000004</v>
      </c>
      <c r="L54" s="368"/>
    </row>
    <row r="55" spans="2:12" ht="13.15" thickBot="1" x14ac:dyDescent="0.4">
      <c r="B55" s="550" t="s">
        <v>79</v>
      </c>
      <c r="C55"/>
      <c r="G55" s="628" t="str">
        <f>Assumptions!$E$12</f>
        <v>n/a</v>
      </c>
      <c r="H55" s="540">
        <f>Assumptions!$F$12</f>
        <v>0.1</v>
      </c>
      <c r="I55" s="540">
        <f>Assumptions!$G$12</f>
        <v>0.1</v>
      </c>
      <c r="J55" s="540">
        <f>Assumptions!$H$12</f>
        <v>0.1</v>
      </c>
      <c r="K55" s="540">
        <f>Assumptions!$I$12</f>
        <v>0.1</v>
      </c>
    </row>
    <row r="56" spans="2:12" x14ac:dyDescent="0.35">
      <c r="B56" s="195"/>
    </row>
    <row r="57" spans="2:12" ht="13.15" x14ac:dyDescent="0.4">
      <c r="B57" s="551" t="s">
        <v>156</v>
      </c>
      <c r="D57" s="187">
        <v>0.05</v>
      </c>
    </row>
    <row r="58" spans="2:12" x14ac:dyDescent="0.35">
      <c r="B58" s="195"/>
    </row>
    <row r="59" spans="2:12" ht="13.15" thickBot="1" x14ac:dyDescent="0.4">
      <c r="B59" s="206"/>
      <c r="C59" s="552"/>
      <c r="D59" s="208"/>
      <c r="E59" s="208"/>
      <c r="F59" s="208"/>
      <c r="G59" s="208"/>
      <c r="H59" s="208"/>
      <c r="I59" s="208"/>
      <c r="J59" s="208"/>
      <c r="K59" s="208"/>
    </row>
    <row r="60" spans="2:12" ht="13.5" thickTop="1" thickBot="1" x14ac:dyDescent="0.4"/>
    <row r="61" spans="2:12" ht="13.5" thickTop="1" thickBot="1" x14ac:dyDescent="0.4">
      <c r="B61" s="561" t="s">
        <v>239</v>
      </c>
      <c r="C61" s="191"/>
      <c r="D61" s="192"/>
      <c r="E61" s="192"/>
      <c r="F61" s="192"/>
      <c r="G61" s="836" t="s">
        <v>240</v>
      </c>
      <c r="H61" s="837"/>
      <c r="I61" s="837"/>
      <c r="J61" s="837"/>
      <c r="K61" s="837"/>
    </row>
    <row r="62" spans="2:12" x14ac:dyDescent="0.35">
      <c r="B62" s="195" t="s">
        <v>42</v>
      </c>
      <c r="C62" s="14">
        <v>1</v>
      </c>
      <c r="D62" s="226" t="s">
        <v>237</v>
      </c>
      <c r="G62" s="108">
        <f t="shared" ref="G62:K62" si="6">G7</f>
        <v>3500</v>
      </c>
      <c r="H62" s="108">
        <f t="shared" si="6"/>
        <v>3325</v>
      </c>
      <c r="I62" s="108">
        <f t="shared" si="6"/>
        <v>3158.75</v>
      </c>
      <c r="J62" s="108">
        <f t="shared" si="6"/>
        <v>3000.8125</v>
      </c>
      <c r="K62" s="108">
        <f t="shared" si="6"/>
        <v>2850.7718749999999</v>
      </c>
    </row>
    <row r="63" spans="2:12" x14ac:dyDescent="0.35">
      <c r="B63" s="195" t="s">
        <v>42</v>
      </c>
      <c r="C63" s="14">
        <v>2</v>
      </c>
      <c r="D63" s="226" t="s">
        <v>237</v>
      </c>
      <c r="G63" s="107"/>
      <c r="H63" s="538">
        <f t="shared" ref="H63:K63" si="7">H9</f>
        <v>3850</v>
      </c>
      <c r="I63" s="538">
        <f t="shared" si="7"/>
        <v>3657.5</v>
      </c>
      <c r="J63" s="538">
        <f t="shared" si="7"/>
        <v>3474.625</v>
      </c>
      <c r="K63" s="538">
        <f t="shared" si="7"/>
        <v>3300.8937499999997</v>
      </c>
    </row>
    <row r="64" spans="2:12" x14ac:dyDescent="0.35">
      <c r="B64" s="195" t="s">
        <v>42</v>
      </c>
      <c r="C64" s="14">
        <v>3</v>
      </c>
      <c r="D64" s="226" t="s">
        <v>237</v>
      </c>
      <c r="G64" s="107"/>
      <c r="H64" s="107"/>
      <c r="I64" s="538">
        <f>I11</f>
        <v>4235</v>
      </c>
      <c r="J64" s="538">
        <f>J11</f>
        <v>4023.25</v>
      </c>
      <c r="K64" s="538">
        <f>K11</f>
        <v>3822.0874999999996</v>
      </c>
    </row>
    <row r="65" spans="2:11" x14ac:dyDescent="0.35">
      <c r="B65" s="195" t="s">
        <v>42</v>
      </c>
      <c r="C65" s="14">
        <v>4</v>
      </c>
      <c r="D65" s="226" t="s">
        <v>237</v>
      </c>
      <c r="G65" s="107"/>
      <c r="H65" s="107"/>
      <c r="I65" s="107"/>
      <c r="J65" s="538">
        <f>J13</f>
        <v>4658.5</v>
      </c>
      <c r="K65" s="538">
        <f>K13</f>
        <v>4425.5749999999998</v>
      </c>
    </row>
    <row r="66" spans="2:11" x14ac:dyDescent="0.35">
      <c r="B66" s="195" t="s">
        <v>42</v>
      </c>
      <c r="C66" s="14">
        <v>5</v>
      </c>
      <c r="D66" s="226" t="s">
        <v>237</v>
      </c>
      <c r="G66" s="107"/>
      <c r="H66" s="107"/>
      <c r="I66" s="107"/>
      <c r="J66" s="538"/>
      <c r="K66" s="538">
        <f>K15</f>
        <v>5124.3500000000004</v>
      </c>
    </row>
    <row r="67" spans="2:11" x14ac:dyDescent="0.35">
      <c r="B67" s="195" t="s">
        <v>42</v>
      </c>
      <c r="C67" s="14">
        <v>6</v>
      </c>
      <c r="D67" s="226" t="s">
        <v>237</v>
      </c>
      <c r="G67" s="107"/>
      <c r="H67" s="107"/>
      <c r="I67" s="107"/>
      <c r="J67" s="538"/>
      <c r="K67" s="538"/>
    </row>
    <row r="68" spans="2:11" x14ac:dyDescent="0.35">
      <c r="B68" s="556"/>
      <c r="C68" s="554">
        <v>7</v>
      </c>
      <c r="D68" s="557" t="s">
        <v>237</v>
      </c>
      <c r="E68" s="558"/>
      <c r="F68" s="558"/>
      <c r="G68" s="559"/>
      <c r="H68" s="559"/>
      <c r="I68" s="559"/>
      <c r="J68" s="560"/>
      <c r="K68" s="560"/>
    </row>
    <row r="69" spans="2:11" s="2" customFormat="1" ht="13.5" thickBot="1" x14ac:dyDescent="0.45">
      <c r="B69" s="198"/>
      <c r="C69" s="111"/>
      <c r="D69" s="112" t="s">
        <v>238</v>
      </c>
      <c r="E69" s="111"/>
      <c r="F69" s="111"/>
      <c r="G69" s="113">
        <f>SUM(G62:G68)</f>
        <v>3500</v>
      </c>
      <c r="H69" s="113">
        <f t="shared" ref="H69:K69" si="8">SUM(H62:H68)</f>
        <v>7175</v>
      </c>
      <c r="I69" s="113">
        <f t="shared" si="8"/>
        <v>11051.25</v>
      </c>
      <c r="J69" s="113">
        <f t="shared" si="8"/>
        <v>15157.1875</v>
      </c>
      <c r="K69" s="113">
        <f t="shared" si="8"/>
        <v>19523.678124999999</v>
      </c>
    </row>
    <row r="70" spans="2:11" ht="13.5" thickTop="1" thickBot="1" x14ac:dyDescent="0.4">
      <c r="G70" s="320"/>
      <c r="H70" s="320"/>
      <c r="I70" s="320"/>
      <c r="J70" s="321"/>
      <c r="K70" s="320"/>
    </row>
    <row r="71" spans="2:11" ht="13.15" thickTop="1" x14ac:dyDescent="0.35">
      <c r="B71" s="219" t="s">
        <v>98</v>
      </c>
      <c r="C71" s="191"/>
      <c r="D71" s="192"/>
      <c r="E71" s="192"/>
      <c r="F71" s="192"/>
      <c r="G71" s="838" t="s">
        <v>234</v>
      </c>
      <c r="H71" s="835"/>
      <c r="I71" s="835"/>
      <c r="J71" s="835"/>
      <c r="K71" s="835"/>
    </row>
    <row r="72" spans="2:11" x14ac:dyDescent="0.35">
      <c r="B72" s="195" t="s">
        <v>42</v>
      </c>
      <c r="C72" s="14">
        <v>1</v>
      </c>
      <c r="D72" s="226" t="s">
        <v>237</v>
      </c>
      <c r="G72" s="108">
        <f>G62*$E$47</f>
        <v>2100</v>
      </c>
      <c r="H72" s="108">
        <f>G62*$E$49+H62*$E$47</f>
        <v>3395</v>
      </c>
      <c r="I72" s="108">
        <f>G62*(1-$E$47-$E$49)+H62*$E$49+I62*$E$47</f>
        <v>3225.25</v>
      </c>
      <c r="J72" s="108">
        <f>H62*(1-$E$47-$E$49)+I62*$E$49+J62*$E$47</f>
        <v>3063.9875000000002</v>
      </c>
      <c r="K72" s="108">
        <f>I62*(1-$E$47-$E$49)+J62*$E$49+K62*$E$47</f>
        <v>2910.788125</v>
      </c>
    </row>
    <row r="73" spans="2:11" x14ac:dyDescent="0.35">
      <c r="B73" s="195" t="s">
        <v>42</v>
      </c>
      <c r="C73" s="14">
        <v>2</v>
      </c>
      <c r="D73" s="226" t="s">
        <v>237</v>
      </c>
      <c r="G73" s="107"/>
      <c r="H73" s="108">
        <f>H63*$E$47</f>
        <v>2310</v>
      </c>
      <c r="I73" s="108">
        <f>H63*$E$49+I63*$E$47</f>
        <v>3734.5</v>
      </c>
      <c r="J73" s="108">
        <f>H63*(1-$E$47-$E$49)+I63*$E$49+J63*$E$47</f>
        <v>3547.7750000000001</v>
      </c>
      <c r="K73" s="108">
        <f>I63*(1-$E$47-$E$49)+J63*$E$49+K63*$E$47</f>
        <v>3370.3862499999996</v>
      </c>
    </row>
    <row r="74" spans="2:11" x14ac:dyDescent="0.35">
      <c r="B74" s="195" t="s">
        <v>42</v>
      </c>
      <c r="C74" s="14">
        <v>3</v>
      </c>
      <c r="D74" s="226" t="s">
        <v>237</v>
      </c>
      <c r="G74" s="107"/>
      <c r="H74" s="107"/>
      <c r="I74" s="108">
        <f>I64*$E$47</f>
        <v>2541</v>
      </c>
      <c r="J74" s="108">
        <f>I64*$E$49+J64*$E$47</f>
        <v>4107.95</v>
      </c>
      <c r="K74" s="108">
        <f>I64*(1-$E$47-$E$49)+J64*$E$49+K64*$E$47</f>
        <v>3902.5524999999998</v>
      </c>
    </row>
    <row r="75" spans="2:11" x14ac:dyDescent="0.35">
      <c r="B75" s="195" t="s">
        <v>42</v>
      </c>
      <c r="C75" s="14">
        <v>4</v>
      </c>
      <c r="D75" s="226" t="s">
        <v>237</v>
      </c>
      <c r="G75" s="107"/>
      <c r="H75" s="107"/>
      <c r="I75" s="107"/>
      <c r="J75" s="108">
        <f>J65*$E$47</f>
        <v>2795.1</v>
      </c>
      <c r="K75" s="108">
        <f>J65*$E$49+K65*$E$47</f>
        <v>4518.7449999999999</v>
      </c>
    </row>
    <row r="76" spans="2:11" x14ac:dyDescent="0.35">
      <c r="B76" s="195" t="s">
        <v>42</v>
      </c>
      <c r="C76" s="14">
        <v>5</v>
      </c>
      <c r="D76" s="226" t="s">
        <v>237</v>
      </c>
      <c r="G76" s="107"/>
      <c r="H76" s="107"/>
      <c r="I76" s="107"/>
      <c r="J76" s="108"/>
      <c r="K76" s="108">
        <f>K66*$E$47</f>
        <v>3074.61</v>
      </c>
    </row>
    <row r="77" spans="2:11" x14ac:dyDescent="0.35">
      <c r="B77" s="195" t="s">
        <v>42</v>
      </c>
      <c r="C77" s="14">
        <v>6</v>
      </c>
      <c r="D77" s="226" t="s">
        <v>237</v>
      </c>
      <c r="G77" s="107"/>
      <c r="H77" s="107"/>
      <c r="I77" s="107"/>
      <c r="J77" s="108"/>
      <c r="K77" s="108"/>
    </row>
    <row r="78" spans="2:11" x14ac:dyDescent="0.35">
      <c r="B78" s="195"/>
      <c r="C78" s="14">
        <v>7</v>
      </c>
      <c r="D78" s="226" t="s">
        <v>237</v>
      </c>
      <c r="G78" s="107"/>
      <c r="H78" s="107"/>
      <c r="I78" s="107"/>
      <c r="J78" s="108"/>
      <c r="K78" s="108"/>
    </row>
    <row r="79" spans="2:11" ht="13.5" thickBot="1" x14ac:dyDescent="0.45">
      <c r="B79" s="198"/>
      <c r="C79" s="111"/>
      <c r="D79" s="112" t="s">
        <v>238</v>
      </c>
      <c r="E79" s="111"/>
      <c r="F79" s="111"/>
      <c r="G79" s="113">
        <f>SUM(G72:G78)</f>
        <v>2100</v>
      </c>
      <c r="H79" s="113">
        <f t="shared" ref="H79:K79" si="9">SUM(H72:H78)</f>
        <v>5705</v>
      </c>
      <c r="I79" s="113">
        <f t="shared" si="9"/>
        <v>9500.75</v>
      </c>
      <c r="J79" s="113">
        <f t="shared" si="9"/>
        <v>13514.812500000002</v>
      </c>
      <c r="K79" s="113">
        <f t="shared" si="9"/>
        <v>17777.081875</v>
      </c>
    </row>
    <row r="80" spans="2:11" ht="13.15" thickTop="1" x14ac:dyDescent="0.35"/>
  </sheetData>
  <mergeCells count="5">
    <mergeCell ref="G22:K22"/>
    <mergeCell ref="G32:K32"/>
    <mergeCell ref="G42:K42"/>
    <mergeCell ref="G61:K61"/>
    <mergeCell ref="G71:K71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44496-738B-4976-AC7B-D9E017296790}">
  <sheetPr codeName="Sheet4"/>
  <dimension ref="A1:AP291"/>
  <sheetViews>
    <sheetView topLeftCell="G2" workbookViewId="0">
      <selection activeCell="R39" sqref="R39"/>
    </sheetView>
  </sheetViews>
  <sheetFormatPr defaultRowHeight="12.75" x14ac:dyDescent="0.35"/>
  <cols>
    <col min="1" max="1" width="7.86328125" customWidth="1"/>
    <col min="2" max="2" width="17.06640625" customWidth="1"/>
    <col min="3" max="3" width="11.6640625" customWidth="1"/>
    <col min="4" max="4" width="2.19921875" customWidth="1"/>
    <col min="5" max="5" width="14.6640625" bestFit="1" customWidth="1"/>
    <col min="6" max="6" width="25.19921875" customWidth="1"/>
    <col min="7" max="7" width="0.86328125" customWidth="1"/>
    <col min="8" max="8" width="14" bestFit="1" customWidth="1"/>
    <col min="9" max="9" width="14.86328125" customWidth="1"/>
    <col min="10" max="10" width="12.6640625" customWidth="1"/>
    <col min="11" max="11" width="0.53125" customWidth="1"/>
    <col min="12" max="12" width="15.06640625" customWidth="1"/>
    <col min="13" max="13" width="14.6640625" customWidth="1"/>
    <col min="14" max="14" width="0.6640625" customWidth="1"/>
    <col min="15" max="15" width="15.86328125" customWidth="1"/>
    <col min="16" max="16" width="0.6640625" customWidth="1"/>
    <col min="17" max="17" width="36.59765625" customWidth="1"/>
    <col min="18" max="18" width="12.46484375" customWidth="1"/>
    <col min="19" max="19" width="2.06640625" customWidth="1"/>
    <col min="20" max="20" width="10.06640625" bestFit="1" customWidth="1"/>
    <col min="21" max="22" width="12.53125" customWidth="1"/>
    <col min="23" max="23" width="16.53125" customWidth="1"/>
    <col min="24" max="24" width="12.3984375" customWidth="1"/>
    <col min="25" max="25" width="13.9296875" customWidth="1"/>
    <col min="26" max="26" width="13.46484375" customWidth="1"/>
    <col min="27" max="28" width="12.3984375" customWidth="1"/>
    <col min="29" max="29" width="12.6640625" customWidth="1"/>
    <col min="31" max="31" width="15.53125" customWidth="1"/>
    <col min="32" max="32" width="2.06640625" customWidth="1"/>
    <col min="33" max="33" width="13.3984375" customWidth="1"/>
    <col min="34" max="34" width="2.46484375" customWidth="1"/>
    <col min="36" max="36" width="11.1328125" customWidth="1"/>
    <col min="37" max="37" width="13.86328125" customWidth="1"/>
    <col min="38" max="38" width="11.6640625" customWidth="1"/>
    <col min="39" max="39" width="11.86328125" customWidth="1"/>
    <col min="40" max="40" width="12.9296875" customWidth="1"/>
    <col min="41" max="41" width="12.86328125" customWidth="1"/>
    <col min="42" max="42" width="11.3984375" style="387" customWidth="1"/>
  </cols>
  <sheetData>
    <row r="1" spans="1:42" s="384" customFormat="1" ht="18" x14ac:dyDescent="0.55000000000000004">
      <c r="A1" s="384" t="s">
        <v>157</v>
      </c>
      <c r="AP1" s="385"/>
    </row>
    <row r="2" spans="1:42" ht="14.65" thickBot="1" x14ac:dyDescent="0.5">
      <c r="A2" s="386"/>
    </row>
    <row r="3" spans="1:42" s="388" customFormat="1" ht="14.75" customHeight="1" thickBot="1" x14ac:dyDescent="0.5">
      <c r="C3" s="873" t="s">
        <v>158</v>
      </c>
      <c r="E3" s="874" t="s">
        <v>159</v>
      </c>
      <c r="F3" s="875"/>
      <c r="H3" s="878" t="s">
        <v>160</v>
      </c>
      <c r="I3" s="879"/>
      <c r="J3" s="880"/>
      <c r="L3" s="874" t="s">
        <v>161</v>
      </c>
      <c r="M3" s="875"/>
      <c r="O3" s="883" t="s">
        <v>162</v>
      </c>
      <c r="Q3" s="839" t="s">
        <v>163</v>
      </c>
      <c r="R3" s="840"/>
      <c r="AP3" s="389"/>
    </row>
    <row r="4" spans="1:42" s="388" customFormat="1" ht="14.75" customHeight="1" x14ac:dyDescent="0.45">
      <c r="C4" s="873"/>
      <c r="E4" s="876"/>
      <c r="F4" s="877"/>
      <c r="H4" s="881"/>
      <c r="I4" s="873"/>
      <c r="J4" s="882"/>
      <c r="L4" s="876"/>
      <c r="M4" s="877"/>
      <c r="O4" s="884"/>
      <c r="Q4" s="390"/>
      <c r="R4" s="391"/>
      <c r="AP4" s="389"/>
    </row>
    <row r="5" spans="1:42" s="393" customFormat="1" ht="14.25" x14ac:dyDescent="0.45">
      <c r="A5" s="392" t="s">
        <v>164</v>
      </c>
      <c r="C5" s="600">
        <f>Assumptions!E17</f>
        <v>1200000</v>
      </c>
      <c r="D5" s="394"/>
      <c r="E5" s="396">
        <v>0.42442975911319464</v>
      </c>
      <c r="F5" s="395" t="s">
        <v>244</v>
      </c>
      <c r="H5" s="396">
        <f>100%-E5</f>
        <v>0.57557024088680531</v>
      </c>
      <c r="J5" s="395"/>
      <c r="L5" s="397" t="s">
        <v>158</v>
      </c>
      <c r="M5" s="398"/>
      <c r="O5" s="884"/>
      <c r="Q5" s="399" t="s">
        <v>165</v>
      </c>
      <c r="R5" s="400">
        <f>O7</f>
        <v>2161132.2066083001</v>
      </c>
      <c r="AP5" s="401"/>
    </row>
    <row r="6" spans="1:42" s="402" customFormat="1" ht="17.2" customHeight="1" thickBot="1" x14ac:dyDescent="0.5">
      <c r="A6" s="392" t="s">
        <v>166</v>
      </c>
      <c r="C6" s="403">
        <v>0.8</v>
      </c>
      <c r="D6" s="403"/>
      <c r="E6" s="404">
        <f>C7*E5</f>
        <v>407452.56874866685</v>
      </c>
      <c r="F6" s="405"/>
      <c r="H6" s="404">
        <f>C7*H5</f>
        <v>552547.4312513331</v>
      </c>
      <c r="I6" s="406"/>
      <c r="J6" s="405"/>
      <c r="L6" s="407" t="s">
        <v>167</v>
      </c>
      <c r="M6" s="398">
        <f>E9</f>
        <v>2.2499999999999999E-2</v>
      </c>
      <c r="O6" s="408"/>
      <c r="Q6" s="399" t="s">
        <v>158</v>
      </c>
      <c r="R6" s="409">
        <f>-L18</f>
        <v>-959999.99999999953</v>
      </c>
      <c r="AP6" s="410"/>
    </row>
    <row r="7" spans="1:42" s="402" customFormat="1" ht="15" customHeight="1" thickBot="1" x14ac:dyDescent="0.5">
      <c r="A7" s="392" t="s">
        <v>168</v>
      </c>
      <c r="C7" s="402">
        <f>C5*C6</f>
        <v>960000</v>
      </c>
      <c r="E7" s="404"/>
      <c r="F7" s="405"/>
      <c r="H7" s="404"/>
      <c r="I7" s="406"/>
      <c r="J7" s="405"/>
      <c r="L7" s="407" t="s">
        <v>169</v>
      </c>
      <c r="M7" s="545">
        <v>0.01</v>
      </c>
      <c r="O7" s="411">
        <f>FV($C$8,15,,-C5)</f>
        <v>2161132.2066083001</v>
      </c>
      <c r="Q7" s="399" t="s">
        <v>170</v>
      </c>
      <c r="R7" s="400">
        <f>F18</f>
        <v>407452.56874866685</v>
      </c>
      <c r="AP7" s="410"/>
    </row>
    <row r="8" spans="1:42" s="402" customFormat="1" ht="14.65" thickBot="1" x14ac:dyDescent="0.5">
      <c r="A8" s="392" t="s">
        <v>171</v>
      </c>
      <c r="C8" s="542">
        <v>0.04</v>
      </c>
      <c r="E8" s="404"/>
      <c r="F8" s="405"/>
      <c r="H8" s="404"/>
      <c r="I8" s="406"/>
      <c r="J8" s="405"/>
      <c r="L8" s="407" t="s">
        <v>172</v>
      </c>
      <c r="M8" s="545">
        <v>1.2500000000000001E-2</v>
      </c>
      <c r="O8" s="408"/>
      <c r="Q8" s="399" t="s">
        <v>173</v>
      </c>
      <c r="R8" s="409">
        <v>0</v>
      </c>
      <c r="AP8" s="410"/>
    </row>
    <row r="9" spans="1:42" ht="14.65" thickBot="1" x14ac:dyDescent="0.5">
      <c r="A9" s="392" t="s">
        <v>174</v>
      </c>
      <c r="E9" s="543">
        <v>2.2499999999999999E-2</v>
      </c>
      <c r="F9" s="114"/>
      <c r="H9" s="412">
        <f>E9</f>
        <v>2.2499999999999999E-2</v>
      </c>
      <c r="J9" s="114"/>
      <c r="L9" s="397"/>
      <c r="M9" s="413">
        <f>SUM(M6:M8)</f>
        <v>4.4999999999999998E-2</v>
      </c>
      <c r="O9" s="107"/>
      <c r="Q9" s="399" t="s">
        <v>175</v>
      </c>
      <c r="R9" s="414">
        <f>SUM(R4:R8)</f>
        <v>1608584.7753569675</v>
      </c>
    </row>
    <row r="10" spans="1:42" ht="14.25" x14ac:dyDescent="0.45">
      <c r="A10" s="392" t="s">
        <v>176</v>
      </c>
      <c r="E10" s="543">
        <v>7.7499999999999999E-2</v>
      </c>
      <c r="F10" s="114"/>
      <c r="H10" s="543">
        <f>3.65%</f>
        <v>3.6499999999999998E-2</v>
      </c>
      <c r="J10" s="114"/>
      <c r="L10" s="397" t="s">
        <v>24</v>
      </c>
      <c r="M10" s="545">
        <v>5.0000000000000001E-3</v>
      </c>
      <c r="O10" s="415"/>
      <c r="Q10" s="399"/>
      <c r="R10" s="416">
        <f>(R9-C5)/C5</f>
        <v>0.34048731279747291</v>
      </c>
      <c r="AK10" s="748">
        <f>E9</f>
        <v>2.2499999999999999E-2</v>
      </c>
    </row>
    <row r="11" spans="1:42" ht="14.65" thickBot="1" x14ac:dyDescent="0.5">
      <c r="A11" s="386" t="s">
        <v>177</v>
      </c>
      <c r="E11" s="544">
        <v>-7.4999999999999997E-3</v>
      </c>
      <c r="F11" s="114"/>
      <c r="H11" s="544">
        <v>-7.4999999999999997E-3</v>
      </c>
      <c r="J11" s="114"/>
      <c r="L11" s="417" t="s">
        <v>8</v>
      </c>
      <c r="M11" s="545">
        <v>5.0000000000000001E-3</v>
      </c>
      <c r="O11" s="107"/>
      <c r="Q11" s="861" t="s">
        <v>178</v>
      </c>
      <c r="R11" s="400"/>
      <c r="AK11" s="749">
        <v>6.7652768017973861E-2</v>
      </c>
    </row>
    <row r="12" spans="1:42" ht="14.65" thickBot="1" x14ac:dyDescent="0.5">
      <c r="A12" s="386" t="s">
        <v>179</v>
      </c>
      <c r="E12" s="418">
        <f>SUM(E9:E11)</f>
        <v>9.2499999999999999E-2</v>
      </c>
      <c r="F12" s="419" t="s">
        <v>180</v>
      </c>
      <c r="H12" s="418">
        <f>SUM(H9:H11)</f>
        <v>5.1499999999999997E-2</v>
      </c>
      <c r="I12" s="862" t="s">
        <v>180</v>
      </c>
      <c r="J12" s="863"/>
      <c r="L12" s="367"/>
      <c r="M12" s="420"/>
      <c r="O12" s="421"/>
      <c r="Q12" s="861"/>
      <c r="R12" s="400">
        <f>J19</f>
        <v>552547.43125133275</v>
      </c>
      <c r="AK12" s="750">
        <v>-7.4999999999999997E-3</v>
      </c>
    </row>
    <row r="13" spans="1:42" ht="14.65" thickBot="1" x14ac:dyDescent="0.5">
      <c r="A13" s="386"/>
      <c r="E13" s="422"/>
      <c r="F13" s="423" t="s">
        <v>245</v>
      </c>
      <c r="H13" s="367"/>
      <c r="I13" s="864" t="s">
        <v>181</v>
      </c>
      <c r="J13" s="865"/>
      <c r="L13" s="404"/>
      <c r="M13" s="114"/>
      <c r="O13" s="424"/>
      <c r="Q13" s="425" t="s">
        <v>182</v>
      </c>
      <c r="R13" s="426">
        <f>O19</f>
        <v>-7.084963726811111E-10</v>
      </c>
    </row>
    <row r="14" spans="1:42" ht="14.65" thickBot="1" x14ac:dyDescent="0.5">
      <c r="A14" s="386"/>
      <c r="E14" s="422"/>
      <c r="F14" s="423" t="s">
        <v>183</v>
      </c>
      <c r="H14" s="367"/>
      <c r="I14" s="866" t="s">
        <v>183</v>
      </c>
      <c r="J14" s="867"/>
      <c r="L14" s="367" t="s">
        <v>184</v>
      </c>
      <c r="M14" s="546">
        <v>0</v>
      </c>
      <c r="O14" s="424"/>
      <c r="Q14" s="386"/>
      <c r="R14" s="427"/>
    </row>
    <row r="15" spans="1:42" s="429" customFormat="1" ht="14.65" thickBot="1" x14ac:dyDescent="0.5">
      <c r="A15" s="386"/>
      <c r="B15"/>
      <c r="C15"/>
      <c r="D15"/>
      <c r="E15" s="868" t="s">
        <v>185</v>
      </c>
      <c r="F15" s="869"/>
      <c r="G15" s="869"/>
      <c r="H15" s="869"/>
      <c r="I15" s="869"/>
      <c r="J15" s="870"/>
      <c r="K15"/>
      <c r="L15" s="871" t="s">
        <v>186</v>
      </c>
      <c r="M15" s="872"/>
      <c r="N15" s="386"/>
      <c r="O15" s="428" t="s">
        <v>187</v>
      </c>
      <c r="U15" s="430"/>
      <c r="V15" s="430"/>
      <c r="Y15" s="430"/>
      <c r="Z15" s="430"/>
      <c r="AD15" s="430"/>
      <c r="AJ15" s="430"/>
      <c r="AK15" s="430"/>
      <c r="AL15" s="430"/>
      <c r="AM15" s="430"/>
      <c r="AN15" s="430"/>
      <c r="AO15" s="430"/>
      <c r="AP15" s="431"/>
    </row>
    <row r="16" spans="1:42" s="386" customFormat="1" ht="100.15" thickBot="1" x14ac:dyDescent="0.5">
      <c r="A16" s="432" t="s">
        <v>188</v>
      </c>
      <c r="B16" s="432" t="s">
        <v>189</v>
      </c>
      <c r="C16" s="429"/>
      <c r="D16" s="429"/>
      <c r="E16" s="433" t="s">
        <v>190</v>
      </c>
      <c r="F16" s="434" t="s">
        <v>191</v>
      </c>
      <c r="G16" s="429"/>
      <c r="H16" s="435" t="s">
        <v>192</v>
      </c>
      <c r="I16" s="436" t="s">
        <v>193</v>
      </c>
      <c r="J16" s="437" t="s">
        <v>194</v>
      </c>
      <c r="K16" s="429"/>
      <c r="L16" s="438" t="s">
        <v>195</v>
      </c>
      <c r="M16" s="439" t="s">
        <v>196</v>
      </c>
      <c r="N16" s="429"/>
      <c r="O16" s="440" t="s">
        <v>197</v>
      </c>
      <c r="T16" s="843" t="s">
        <v>198</v>
      </c>
      <c r="U16" s="844"/>
      <c r="V16" s="844"/>
      <c r="W16" s="844"/>
      <c r="X16" s="844"/>
      <c r="Y16" s="844"/>
      <c r="Z16" s="844"/>
      <c r="AA16" s="844"/>
      <c r="AB16" s="844"/>
      <c r="AC16" s="844"/>
      <c r="AD16" s="844"/>
      <c r="AE16" s="844"/>
      <c r="AF16" s="844"/>
      <c r="AG16" s="845"/>
      <c r="AJ16" s="441" t="s">
        <v>199</v>
      </c>
      <c r="AK16" s="441" t="s">
        <v>200</v>
      </c>
      <c r="AL16" s="441" t="s">
        <v>201</v>
      </c>
      <c r="AM16" s="441" t="s">
        <v>202</v>
      </c>
      <c r="AN16" s="441" t="s">
        <v>203</v>
      </c>
      <c r="AO16" s="441" t="s">
        <v>204</v>
      </c>
      <c r="AP16" s="442" t="s">
        <v>133</v>
      </c>
    </row>
    <row r="17" spans="1:42" s="386" customFormat="1" ht="15" customHeight="1" thickBot="1" x14ac:dyDescent="0.5">
      <c r="B17" s="386" t="s">
        <v>205</v>
      </c>
      <c r="E17" s="443"/>
      <c r="F17" s="444">
        <f>E6</f>
        <v>407452.56874866685</v>
      </c>
      <c r="G17" s="445"/>
      <c r="H17" s="443"/>
      <c r="I17" s="446">
        <v>0</v>
      </c>
      <c r="J17" s="447"/>
      <c r="K17" s="445"/>
      <c r="L17" s="448">
        <f>F17+I17</f>
        <v>407452.56874866685</v>
      </c>
      <c r="M17" s="449"/>
      <c r="O17" s="450"/>
      <c r="T17" s="846" t="s">
        <v>42</v>
      </c>
      <c r="U17" s="849" t="s">
        <v>206</v>
      </c>
      <c r="V17" s="849" t="s">
        <v>207</v>
      </c>
      <c r="W17" s="852" t="s">
        <v>208</v>
      </c>
      <c r="X17" s="853"/>
      <c r="Y17" s="854"/>
      <c r="Z17" s="849" t="s">
        <v>209</v>
      </c>
      <c r="AA17" s="855" t="s">
        <v>210</v>
      </c>
      <c r="AB17" s="856"/>
      <c r="AC17" s="857"/>
      <c r="AD17" s="451"/>
      <c r="AE17" s="452" t="s">
        <v>211</v>
      </c>
      <c r="AF17" s="453"/>
      <c r="AG17" s="858" t="s">
        <v>212</v>
      </c>
      <c r="AJ17" s="454"/>
      <c r="AP17" s="455"/>
    </row>
    <row r="18" spans="1:42" s="386" customFormat="1" ht="14.75" customHeight="1" x14ac:dyDescent="0.45">
      <c r="B18" s="386" t="s">
        <v>213</v>
      </c>
      <c r="E18" s="456"/>
      <c r="F18" s="457">
        <f>F200</f>
        <v>407452.56874866685</v>
      </c>
      <c r="G18" s="445"/>
      <c r="H18" s="458"/>
      <c r="I18" s="459">
        <f>I200</f>
        <v>552547.43125133275</v>
      </c>
      <c r="J18" s="460"/>
      <c r="K18" s="445"/>
      <c r="L18" s="461">
        <f>L200</f>
        <v>959999.99999999953</v>
      </c>
      <c r="M18" s="460"/>
      <c r="O18" s="462"/>
      <c r="T18" s="847"/>
      <c r="U18" s="850"/>
      <c r="V18" s="850"/>
      <c r="W18" s="463" t="s">
        <v>214</v>
      </c>
      <c r="X18" s="464" t="s">
        <v>215</v>
      </c>
      <c r="Y18" s="850" t="s">
        <v>216</v>
      </c>
      <c r="Z18" s="850"/>
      <c r="AA18" s="465" t="s">
        <v>217</v>
      </c>
      <c r="AB18" s="466" t="s">
        <v>218</v>
      </c>
      <c r="AC18" s="467" t="s">
        <v>219</v>
      </c>
      <c r="AD18" s="859" t="s">
        <v>220</v>
      </c>
      <c r="AE18" s="850" t="s">
        <v>221</v>
      </c>
      <c r="AF18" s="453"/>
      <c r="AG18" s="859"/>
      <c r="AP18" s="455"/>
    </row>
    <row r="19" spans="1:42" ht="14.65" thickBot="1" x14ac:dyDescent="0.5">
      <c r="A19" s="386"/>
      <c r="B19" s="386" t="s">
        <v>222</v>
      </c>
      <c r="C19" s="386"/>
      <c r="D19" s="386"/>
      <c r="E19" s="456">
        <f>SUM(E21:E200)</f>
        <v>565340.43913877616</v>
      </c>
      <c r="F19" s="457"/>
      <c r="G19" s="445"/>
      <c r="H19" s="458">
        <f>SUM(H21:H200)</f>
        <v>0</v>
      </c>
      <c r="I19" s="459"/>
      <c r="J19" s="460">
        <f>SUM(J21:J200)</f>
        <v>552547.43125133275</v>
      </c>
      <c r="K19" s="445"/>
      <c r="L19" s="461"/>
      <c r="M19" s="460">
        <f>SUM(M21:M200)</f>
        <v>565340.43913877569</v>
      </c>
      <c r="N19" s="386"/>
      <c r="O19" s="462">
        <f>SUM(O21:O200)</f>
        <v>-7.084963726811111E-10</v>
      </c>
      <c r="Q19" s="468">
        <f>E19+H19-M19-O19</f>
        <v>1.1741576599888504E-9</v>
      </c>
      <c r="T19" s="848"/>
      <c r="U19" s="851"/>
      <c r="V19" s="469">
        <f>E11</f>
        <v>-7.4999999999999997E-3</v>
      </c>
      <c r="W19" s="470">
        <f>E12</f>
        <v>9.2499999999999999E-2</v>
      </c>
      <c r="X19" s="471">
        <f>H12</f>
        <v>5.1499999999999997E-2</v>
      </c>
      <c r="Y19" s="851"/>
      <c r="Z19" s="851"/>
      <c r="AA19" s="472">
        <f>M9</f>
        <v>4.4999999999999998E-2</v>
      </c>
      <c r="AB19" s="473">
        <f>M10</f>
        <v>5.0000000000000001E-3</v>
      </c>
      <c r="AC19" s="474">
        <f>M11</f>
        <v>5.0000000000000001E-3</v>
      </c>
      <c r="AD19" s="860"/>
      <c r="AE19" s="851"/>
      <c r="AF19" s="453"/>
      <c r="AG19" s="860"/>
      <c r="AH19" s="386"/>
      <c r="AJ19" s="323">
        <f t="shared" ref="AJ19:AO19" si="0">SUM(AJ21:AJ200)</f>
        <v>611178.85312300152</v>
      </c>
      <c r="AK19" s="323">
        <f t="shared" si="0"/>
        <v>0</v>
      </c>
      <c r="AL19" s="323">
        <f t="shared" si="0"/>
        <v>45838.413984224979</v>
      </c>
      <c r="AM19" s="323">
        <f t="shared" si="0"/>
        <v>0</v>
      </c>
      <c r="AN19" s="323">
        <f t="shared" si="0"/>
        <v>45838.413984224979</v>
      </c>
      <c r="AO19" s="323">
        <f t="shared" si="0"/>
        <v>565340.43913877616</v>
      </c>
      <c r="AP19" s="455"/>
    </row>
    <row r="20" spans="1:42" ht="14.25" x14ac:dyDescent="0.45">
      <c r="E20" s="456"/>
      <c r="F20" s="114"/>
      <c r="G20" s="144"/>
      <c r="H20" s="461"/>
      <c r="J20" s="460"/>
      <c r="K20" s="144"/>
      <c r="L20" s="475"/>
      <c r="M20" s="460"/>
      <c r="O20" s="462"/>
      <c r="Q20" t="s">
        <v>133</v>
      </c>
      <c r="R20" s="144"/>
      <c r="T20" s="476">
        <v>1</v>
      </c>
      <c r="U20" s="477">
        <f>F32+$I$17</f>
        <v>407452.56874866685</v>
      </c>
      <c r="V20" s="477">
        <f>SUM(AL21:AM32)</f>
        <v>3055.8942656150016</v>
      </c>
      <c r="W20" s="477">
        <f>SUM(E21:E32)</f>
        <v>37689.362609251686</v>
      </c>
      <c r="X20" s="478">
        <f>SUM(H21:H32)</f>
        <v>0</v>
      </c>
      <c r="Y20" s="479">
        <f>SUM(W20:X20)</f>
        <v>37689.362609251686</v>
      </c>
      <c r="Z20" s="479">
        <f>L32</f>
        <v>444289.0641654224</v>
      </c>
      <c r="AA20" s="477">
        <f>SUM(M21:M32)*($M$9/SUM($M$9:$M$11))</f>
        <v>19233.255169473425</v>
      </c>
      <c r="AB20" s="478">
        <f>SUM(M21:M32)*($M$10/SUM($M$9:$M$11))</f>
        <v>2137.0283521637139</v>
      </c>
      <c r="AC20" s="480">
        <f>SUM(M21:M32)*($M$11/SUM($M$9:$M$11))</f>
        <v>2137.0283521637139</v>
      </c>
      <c r="AD20" s="480">
        <f>SUM(AA20:AC20)</f>
        <v>23507.311873800852</v>
      </c>
      <c r="AE20" s="481">
        <f>SUM(O21:O32)</f>
        <v>14182.050735450835</v>
      </c>
      <c r="AF20" s="482"/>
      <c r="AG20" s="483">
        <f>SUM(J21:J32)</f>
        <v>36836.495416755548</v>
      </c>
    </row>
    <row r="21" spans="1:42" x14ac:dyDescent="0.35">
      <c r="A21">
        <v>1</v>
      </c>
      <c r="B21">
        <v>1</v>
      </c>
      <c r="E21" s="475">
        <f t="shared" ref="E21:E84" si="1">(F21*($E$12/12))</f>
        <v>3140.7802174376402</v>
      </c>
      <c r="F21" s="484">
        <f>$E$6</f>
        <v>407452.56874866685</v>
      </c>
      <c r="G21" s="144"/>
      <c r="H21" s="485">
        <v>0</v>
      </c>
      <c r="I21" s="144">
        <f>J21</f>
        <v>3069.7079513962949</v>
      </c>
      <c r="J21" s="484">
        <f>$H$6/180</f>
        <v>3069.7079513962949</v>
      </c>
      <c r="K21" s="144"/>
      <c r="L21" s="475">
        <f t="shared" ref="L21:L84" si="2">$F$17+I21</f>
        <v>410522.27670006314</v>
      </c>
      <c r="M21" s="486">
        <f>(L21*(($M$9+$M$10+$M$11)/12))+($M$14)/12</f>
        <v>1881.560434875289</v>
      </c>
      <c r="O21" s="487">
        <f t="shared" ref="O21:O84" si="3">E21+H21-M21</f>
        <v>1259.2197825623512</v>
      </c>
      <c r="R21" s="144"/>
      <c r="T21" s="476">
        <v>2</v>
      </c>
      <c r="U21" s="477">
        <f>F44++$I$17</f>
        <v>407452.56874866685</v>
      </c>
      <c r="V21" s="477">
        <f>SUM(AL33:AM44)</f>
        <v>3055.8942656150016</v>
      </c>
      <c r="W21" s="477">
        <f>SUM(E33:E44)</f>
        <v>37689.362609251686</v>
      </c>
      <c r="X21" s="478">
        <f>SUM(H33:H44)</f>
        <v>0</v>
      </c>
      <c r="Y21" s="483">
        <f t="shared" ref="Y21:Y34" si="4">SUM(W21:X21)</f>
        <v>37689.362609251686</v>
      </c>
      <c r="Z21" s="483">
        <f>L44</f>
        <v>481125.55958217796</v>
      </c>
      <c r="AA21" s="477">
        <f>SUM(M33:M44)*($M$9/SUM($M$9:$M$11))</f>
        <v>20890.897463227422</v>
      </c>
      <c r="AB21" s="478">
        <f>SUM(M33:M44)*($M$10/SUM($M$9:$M$11))</f>
        <v>2321.2108292474918</v>
      </c>
      <c r="AC21" s="480">
        <f>SUM(M33:M44)*($M$11/SUM($M$9:$M$11))</f>
        <v>2321.2108292474918</v>
      </c>
      <c r="AD21" s="480">
        <f t="shared" ref="AD21:AD34" si="5">SUM(AA21:AC21)</f>
        <v>25533.319121722405</v>
      </c>
      <c r="AE21" s="481">
        <f>SUM(O33:O44)</f>
        <v>12156.043487529278</v>
      </c>
      <c r="AF21" s="482"/>
      <c r="AG21" s="483">
        <f>SUM(J33:J44)</f>
        <v>36836.495416755548</v>
      </c>
      <c r="AJ21" s="323">
        <f t="shared" ref="AJ21:AJ84" si="6">F21*(($E$9+$E$10)/12)</f>
        <v>3395.438072905557</v>
      </c>
      <c r="AK21" s="323">
        <f>$I$17*(($H$9+$H$10)/12)</f>
        <v>0</v>
      </c>
      <c r="AL21" s="323">
        <f t="shared" ref="AL21:AL84" si="7">F21*(-$E$11/12)</f>
        <v>254.65785546791679</v>
      </c>
      <c r="AM21" s="323">
        <f>$I$17*(-$H$11/12)</f>
        <v>0</v>
      </c>
      <c r="AN21" s="323">
        <f>AL21+AM21</f>
        <v>254.65785546791679</v>
      </c>
      <c r="AO21" s="323">
        <f>AJ21+AK21-AN21</f>
        <v>3140.7802174376402</v>
      </c>
    </row>
    <row r="22" spans="1:42" x14ac:dyDescent="0.35">
      <c r="B22">
        <f>B21+1</f>
        <v>2</v>
      </c>
      <c r="E22" s="475">
        <f t="shared" si="1"/>
        <v>3140.7802174376402</v>
      </c>
      <c r="F22" s="484">
        <f t="shared" ref="F22:F85" si="8">$E$6</f>
        <v>407452.56874866685</v>
      </c>
      <c r="G22" s="144"/>
      <c r="H22" s="485">
        <v>0</v>
      </c>
      <c r="I22" s="144">
        <f>I21+J22</f>
        <v>6139.4159027925898</v>
      </c>
      <c r="J22" s="484">
        <f t="shared" ref="J22:J85" si="9">$H$6/180</f>
        <v>3069.7079513962949</v>
      </c>
      <c r="K22" s="144"/>
      <c r="L22" s="475">
        <f t="shared" si="2"/>
        <v>413591.98465145944</v>
      </c>
      <c r="M22" s="486">
        <f t="shared" ref="M22:M85" si="10">(L22*(($M$9+$M$10+$M$11)/12))+($M$14)/12</f>
        <v>1895.6299296525222</v>
      </c>
      <c r="O22" s="487">
        <f t="shared" si="3"/>
        <v>1245.1502877851181</v>
      </c>
      <c r="R22" s="144"/>
      <c r="T22" s="476">
        <v>3</v>
      </c>
      <c r="U22" s="477">
        <f>F56++$I$17</f>
        <v>407452.56874866685</v>
      </c>
      <c r="V22" s="477">
        <f>SUM(AL45:AM56)</f>
        <v>3055.8942656150016</v>
      </c>
      <c r="W22" s="477">
        <f>SUM(E45:E56)</f>
        <v>37689.362609251686</v>
      </c>
      <c r="X22" s="478">
        <f>SUM(H45:H56)</f>
        <v>0</v>
      </c>
      <c r="Y22" s="483">
        <f t="shared" si="4"/>
        <v>37689.362609251686</v>
      </c>
      <c r="Z22" s="483">
        <f>L56</f>
        <v>517962.05499893351</v>
      </c>
      <c r="AA22" s="477">
        <f>SUM(M45:M56)*($M$9/SUM($M$9:$M$11))</f>
        <v>22548.539756981419</v>
      </c>
      <c r="AB22" s="478">
        <f>SUM(M45:M56)*($M$10/SUM($M$9:$M$11))</f>
        <v>2505.3933063312693</v>
      </c>
      <c r="AC22" s="480">
        <f>SUM(M45:M56)*($M$11/SUM($M$9:$M$11))</f>
        <v>2505.3933063312693</v>
      </c>
      <c r="AD22" s="480">
        <f t="shared" si="5"/>
        <v>27559.326369643957</v>
      </c>
      <c r="AE22" s="481">
        <f>SUM(O45:O56)</f>
        <v>10130.036239607723</v>
      </c>
      <c r="AF22" s="482"/>
      <c r="AG22" s="483">
        <f>SUM(J45:J56)</f>
        <v>36836.495416755548</v>
      </c>
      <c r="AJ22" s="323">
        <f t="shared" si="6"/>
        <v>3395.438072905557</v>
      </c>
      <c r="AK22" s="323">
        <f t="shared" ref="AK22:AK85" si="11">$I$17*(($H$9+$H$10)/12)</f>
        <v>0</v>
      </c>
      <c r="AL22" s="323">
        <f t="shared" si="7"/>
        <v>254.65785546791679</v>
      </c>
      <c r="AM22" s="323">
        <f t="shared" ref="AM22:AM85" si="12">$I$17*(-$H$11/12)</f>
        <v>0</v>
      </c>
      <c r="AN22" s="323">
        <f t="shared" ref="AN22:AN85" si="13">AL22+AM22</f>
        <v>254.65785546791679</v>
      </c>
      <c r="AO22" s="323">
        <f t="shared" ref="AO22:AO85" si="14">AJ22+AK22-AN22</f>
        <v>3140.7802174376402</v>
      </c>
    </row>
    <row r="23" spans="1:42" x14ac:dyDescent="0.35">
      <c r="B23">
        <f t="shared" ref="B23:B86" si="15">B22+1</f>
        <v>3</v>
      </c>
      <c r="E23" s="475">
        <f t="shared" si="1"/>
        <v>3140.7802174376402</v>
      </c>
      <c r="F23" s="484">
        <f t="shared" si="8"/>
        <v>407452.56874866685</v>
      </c>
      <c r="G23" s="144"/>
      <c r="H23" s="485">
        <v>0</v>
      </c>
      <c r="I23" s="144">
        <f>I22+J23</f>
        <v>9209.1238541888852</v>
      </c>
      <c r="J23" s="484">
        <f t="shared" si="9"/>
        <v>3069.7079513962949</v>
      </c>
      <c r="K23" s="144"/>
      <c r="L23" s="475">
        <f t="shared" si="2"/>
        <v>416661.69260285574</v>
      </c>
      <c r="M23" s="486">
        <f t="shared" si="10"/>
        <v>1909.699424429755</v>
      </c>
      <c r="O23" s="487">
        <f t="shared" si="3"/>
        <v>1231.0807930078852</v>
      </c>
      <c r="Q23" s="488"/>
      <c r="R23" s="144"/>
      <c r="T23" s="476">
        <v>4</v>
      </c>
      <c r="U23" s="477">
        <f>F68+$I$17</f>
        <v>407452.56874866685</v>
      </c>
      <c r="V23" s="477">
        <f>SUM(AL57:AM68)</f>
        <v>3055.8942656150016</v>
      </c>
      <c r="W23" s="477">
        <f>SUM(E57:E68)</f>
        <v>37689.362609251686</v>
      </c>
      <c r="X23" s="478">
        <f>SUM(H57:H68)</f>
        <v>0</v>
      </c>
      <c r="Y23" s="483">
        <f t="shared" si="4"/>
        <v>37689.362609251686</v>
      </c>
      <c r="Z23" s="483">
        <f>L68</f>
        <v>554798.55041568901</v>
      </c>
      <c r="AA23" s="477">
        <f>SUM(M57:M68)*($M$9/SUM($M$9:$M$11))</f>
        <v>24206.182050735417</v>
      </c>
      <c r="AB23" s="478">
        <f>SUM(M57:M68)*($M$10/SUM($M$9:$M$11))</f>
        <v>2689.5757834150468</v>
      </c>
      <c r="AC23" s="480">
        <f>SUM(M57:M68)*($M$11/SUM($M$9:$M$11))</f>
        <v>2689.5757834150468</v>
      </c>
      <c r="AD23" s="480">
        <f>SUM(AA23:AC23)</f>
        <v>29585.333617565509</v>
      </c>
      <c r="AE23" s="481">
        <f>SUM(O57:O68)</f>
        <v>8104.0289916861693</v>
      </c>
      <c r="AF23" s="482"/>
      <c r="AG23" s="483">
        <f>SUM(J57:J68)</f>
        <v>36836.495416755548</v>
      </c>
      <c r="AJ23" s="323">
        <f t="shared" si="6"/>
        <v>3395.438072905557</v>
      </c>
      <c r="AK23" s="323">
        <f t="shared" si="11"/>
        <v>0</v>
      </c>
      <c r="AL23" s="323">
        <f t="shared" si="7"/>
        <v>254.65785546791679</v>
      </c>
      <c r="AM23" s="323">
        <f t="shared" si="12"/>
        <v>0</v>
      </c>
      <c r="AN23" s="323">
        <f t="shared" si="13"/>
        <v>254.65785546791679</v>
      </c>
      <c r="AO23" s="323">
        <f t="shared" si="14"/>
        <v>3140.7802174376402</v>
      </c>
    </row>
    <row r="24" spans="1:42" x14ac:dyDescent="0.35">
      <c r="B24">
        <f t="shared" si="15"/>
        <v>4</v>
      </c>
      <c r="E24" s="475">
        <f t="shared" si="1"/>
        <v>3140.7802174376402</v>
      </c>
      <c r="F24" s="484">
        <f t="shared" si="8"/>
        <v>407452.56874866685</v>
      </c>
      <c r="G24" s="144"/>
      <c r="H24" s="485">
        <v>0</v>
      </c>
      <c r="I24" s="144">
        <f t="shared" ref="I24:I87" si="16">I23+J24</f>
        <v>12278.83180558518</v>
      </c>
      <c r="J24" s="484">
        <f t="shared" si="9"/>
        <v>3069.7079513962949</v>
      </c>
      <c r="K24" s="144"/>
      <c r="L24" s="475">
        <f t="shared" si="2"/>
        <v>419731.40055425203</v>
      </c>
      <c r="M24" s="486">
        <f t="shared" si="10"/>
        <v>1923.7689192069881</v>
      </c>
      <c r="O24" s="487">
        <f t="shared" si="3"/>
        <v>1217.0112982306521</v>
      </c>
      <c r="Q24" s="489"/>
      <c r="R24" s="144"/>
      <c r="T24" s="476">
        <v>5</v>
      </c>
      <c r="U24" s="477">
        <f>F80+$I$17</f>
        <v>407452.56874866685</v>
      </c>
      <c r="V24" s="477">
        <f>SUM(AL69:AM80)</f>
        <v>3055.8942656150016</v>
      </c>
      <c r="W24" s="477">
        <f>SUM(E69:E80)</f>
        <v>37689.362609251686</v>
      </c>
      <c r="X24" s="478">
        <f>SUM(H69:H80)</f>
        <v>0</v>
      </c>
      <c r="Y24" s="483">
        <f t="shared" si="4"/>
        <v>37689.362609251686</v>
      </c>
      <c r="Z24" s="483">
        <f>L80</f>
        <v>591635.04583244456</v>
      </c>
      <c r="AA24" s="477">
        <f>SUM(M69:M80)*($M$9/SUM($M$9:$M$11))</f>
        <v>25863.824344489418</v>
      </c>
      <c r="AB24" s="478">
        <f>SUM(M69:M80)*($M$10/SUM($M$9:$M$11))</f>
        <v>2873.7582604988247</v>
      </c>
      <c r="AC24" s="480">
        <f>SUM(M69:M80)*($M$11/SUM($M$9:$M$11))</f>
        <v>2873.7582604988247</v>
      </c>
      <c r="AD24" s="480">
        <f>SUM(AA24:AC24)</f>
        <v>31611.340865487065</v>
      </c>
      <c r="AE24" s="481">
        <f>SUM(O69:O80)</f>
        <v>6078.0217437646152</v>
      </c>
      <c r="AF24" s="482"/>
      <c r="AG24" s="483">
        <f>SUM(J69:J80)</f>
        <v>36836.495416755548</v>
      </c>
      <c r="AJ24" s="323">
        <f t="shared" si="6"/>
        <v>3395.438072905557</v>
      </c>
      <c r="AK24" s="323">
        <f t="shared" si="11"/>
        <v>0</v>
      </c>
      <c r="AL24" s="323">
        <f t="shared" si="7"/>
        <v>254.65785546791679</v>
      </c>
      <c r="AM24" s="323">
        <f t="shared" si="12"/>
        <v>0</v>
      </c>
      <c r="AN24" s="323">
        <f t="shared" si="13"/>
        <v>254.65785546791679</v>
      </c>
      <c r="AO24" s="323">
        <f t="shared" si="14"/>
        <v>3140.7802174376402</v>
      </c>
    </row>
    <row r="25" spans="1:42" x14ac:dyDescent="0.35">
      <c r="B25">
        <f t="shared" si="15"/>
        <v>5</v>
      </c>
      <c r="E25" s="475">
        <f t="shared" si="1"/>
        <v>3140.7802174376402</v>
      </c>
      <c r="F25" s="484">
        <f t="shared" si="8"/>
        <v>407452.56874866685</v>
      </c>
      <c r="G25" s="144"/>
      <c r="H25" s="485">
        <v>0</v>
      </c>
      <c r="I25" s="144">
        <f t="shared" si="16"/>
        <v>15348.539756981474</v>
      </c>
      <c r="J25" s="484">
        <f t="shared" si="9"/>
        <v>3069.7079513962949</v>
      </c>
      <c r="K25" s="144"/>
      <c r="L25" s="475">
        <f t="shared" si="2"/>
        <v>422801.10850564833</v>
      </c>
      <c r="M25" s="486">
        <f t="shared" si="10"/>
        <v>1937.8384139842212</v>
      </c>
      <c r="O25" s="487">
        <f t="shared" si="3"/>
        <v>1202.941803453419</v>
      </c>
      <c r="R25" s="144"/>
      <c r="T25" s="476">
        <v>6</v>
      </c>
      <c r="U25" s="477">
        <f>F92+$I$17</f>
        <v>407452.56874866685</v>
      </c>
      <c r="V25" s="477">
        <f>SUM(AL81:AM92)</f>
        <v>3055.8942656150016</v>
      </c>
      <c r="W25" s="477">
        <f>SUM(E81:E92)</f>
        <v>37689.362609251686</v>
      </c>
      <c r="X25" s="478">
        <f>SUM(H81:H92)</f>
        <v>0</v>
      </c>
      <c r="Y25" s="483">
        <f t="shared" si="4"/>
        <v>37689.362609251686</v>
      </c>
      <c r="Z25" s="483">
        <f>L92</f>
        <v>628471.54124920012</v>
      </c>
      <c r="AA25" s="477">
        <f>SUM(M81:M92)*($M$9/SUM($M$9:$M$11))</f>
        <v>27521.466638243415</v>
      </c>
      <c r="AB25" s="478">
        <f>SUM(M81:M92)*($M$10/SUM($M$9:$M$11))</f>
        <v>3057.9407375826022</v>
      </c>
      <c r="AC25" s="480">
        <f>SUM(M81:M92)*($M$11/SUM($M$9:$M$11))</f>
        <v>3057.9407375826022</v>
      </c>
      <c r="AD25" s="480">
        <f t="shared" si="5"/>
        <v>33637.348113408618</v>
      </c>
      <c r="AE25" s="481">
        <f>SUM(O81:O92)</f>
        <v>4052.0144958430601</v>
      </c>
      <c r="AF25" s="482"/>
      <c r="AG25" s="483">
        <f>SUM(J81:J92)</f>
        <v>36836.495416755548</v>
      </c>
      <c r="AJ25" s="323">
        <f t="shared" si="6"/>
        <v>3395.438072905557</v>
      </c>
      <c r="AK25" s="323">
        <f t="shared" si="11"/>
        <v>0</v>
      </c>
      <c r="AL25" s="323">
        <f t="shared" si="7"/>
        <v>254.65785546791679</v>
      </c>
      <c r="AM25" s="323">
        <f t="shared" si="12"/>
        <v>0</v>
      </c>
      <c r="AN25" s="323">
        <f t="shared" si="13"/>
        <v>254.65785546791679</v>
      </c>
      <c r="AO25" s="323">
        <f t="shared" si="14"/>
        <v>3140.7802174376402</v>
      </c>
    </row>
    <row r="26" spans="1:42" x14ac:dyDescent="0.35">
      <c r="B26">
        <f t="shared" si="15"/>
        <v>6</v>
      </c>
      <c r="E26" s="475">
        <f t="shared" si="1"/>
        <v>3140.7802174376402</v>
      </c>
      <c r="F26" s="484">
        <f t="shared" si="8"/>
        <v>407452.56874866685</v>
      </c>
      <c r="G26" s="144"/>
      <c r="H26" s="485">
        <v>0</v>
      </c>
      <c r="I26" s="144">
        <f t="shared" si="16"/>
        <v>18418.24770837777</v>
      </c>
      <c r="J26" s="484">
        <f t="shared" si="9"/>
        <v>3069.7079513962949</v>
      </c>
      <c r="K26" s="144"/>
      <c r="L26" s="475">
        <f t="shared" si="2"/>
        <v>425870.81645704462</v>
      </c>
      <c r="M26" s="486">
        <f t="shared" si="10"/>
        <v>1951.9079087614541</v>
      </c>
      <c r="O26" s="487">
        <f t="shared" si="3"/>
        <v>1188.8723086761861</v>
      </c>
      <c r="R26" s="144"/>
      <c r="T26" s="476">
        <v>7</v>
      </c>
      <c r="U26" s="477">
        <f>F104+$I$17</f>
        <v>407452.56874866685</v>
      </c>
      <c r="V26" s="477">
        <f>SUM(AL93:AM104)</f>
        <v>3055.8942656150016</v>
      </c>
      <c r="W26" s="477">
        <f>SUM(E93:E104)</f>
        <v>37689.362609251686</v>
      </c>
      <c r="X26" s="478">
        <f>SUM(H93:H104)</f>
        <v>0</v>
      </c>
      <c r="Y26" s="483">
        <f t="shared" si="4"/>
        <v>37689.362609251686</v>
      </c>
      <c r="Z26" s="483">
        <f>L104</f>
        <v>665308.03666595567</v>
      </c>
      <c r="AA26" s="477">
        <f>SUM(M93:M104)*($M$9/SUM($M$9:$M$11))</f>
        <v>29179.10893199742</v>
      </c>
      <c r="AB26" s="478">
        <f>SUM(M93:M104)*($M$10/SUM($M$9:$M$11))</f>
        <v>3242.1232146663801</v>
      </c>
      <c r="AC26" s="480">
        <f>SUM(M93:M104)*($M$11/SUM($M$9:$M$11))</f>
        <v>3242.1232146663801</v>
      </c>
      <c r="AD26" s="480">
        <f t="shared" si="5"/>
        <v>35663.355361330177</v>
      </c>
      <c r="AE26" s="481">
        <f>SUM(O93:O104)</f>
        <v>2026.007247921505</v>
      </c>
      <c r="AF26" s="482"/>
      <c r="AG26" s="483">
        <f>SUM(J93:J104)</f>
        <v>36836.495416755548</v>
      </c>
      <c r="AJ26" s="323">
        <f t="shared" si="6"/>
        <v>3395.438072905557</v>
      </c>
      <c r="AK26" s="323">
        <f t="shared" si="11"/>
        <v>0</v>
      </c>
      <c r="AL26" s="323">
        <f t="shared" si="7"/>
        <v>254.65785546791679</v>
      </c>
      <c r="AM26" s="323">
        <f t="shared" si="12"/>
        <v>0</v>
      </c>
      <c r="AN26" s="323">
        <f t="shared" si="13"/>
        <v>254.65785546791679</v>
      </c>
      <c r="AO26" s="323">
        <f t="shared" si="14"/>
        <v>3140.7802174376402</v>
      </c>
    </row>
    <row r="27" spans="1:42" x14ac:dyDescent="0.35">
      <c r="B27">
        <f t="shared" si="15"/>
        <v>7</v>
      </c>
      <c r="E27" s="475">
        <f t="shared" si="1"/>
        <v>3140.7802174376402</v>
      </c>
      <c r="F27" s="484">
        <f t="shared" si="8"/>
        <v>407452.56874866685</v>
      </c>
      <c r="G27" s="144"/>
      <c r="H27" s="485">
        <v>0</v>
      </c>
      <c r="I27" s="144">
        <f t="shared" si="16"/>
        <v>21487.955659774067</v>
      </c>
      <c r="J27" s="484">
        <f t="shared" si="9"/>
        <v>3069.7079513962949</v>
      </c>
      <c r="K27" s="144"/>
      <c r="L27" s="475">
        <f t="shared" si="2"/>
        <v>428940.52440844092</v>
      </c>
      <c r="M27" s="486">
        <f t="shared" si="10"/>
        <v>1965.9774035386872</v>
      </c>
      <c r="O27" s="487">
        <f t="shared" si="3"/>
        <v>1174.802813898953</v>
      </c>
      <c r="R27" s="144"/>
      <c r="T27" s="476">
        <v>8</v>
      </c>
      <c r="U27" s="477">
        <f>F116+$I$17</f>
        <v>407452.56874866685</v>
      </c>
      <c r="V27" s="477">
        <f>SUM(AL105:AM116)</f>
        <v>3055.8942656150016</v>
      </c>
      <c r="W27" s="477">
        <f>SUM(E105:E116)</f>
        <v>37689.362609251686</v>
      </c>
      <c r="X27" s="478">
        <f>SUM(H105:H116)</f>
        <v>0</v>
      </c>
      <c r="Y27" s="483">
        <f t="shared" si="4"/>
        <v>37689.362609251686</v>
      </c>
      <c r="Z27" s="483">
        <f>L116</f>
        <v>702144.53208271123</v>
      </c>
      <c r="AA27" s="477">
        <f>SUM(M105:M116)*($M$9/SUM($M$9:$M$11))</f>
        <v>30836.751225751417</v>
      </c>
      <c r="AB27" s="478">
        <f>SUM(M105:M116)*($M$10/SUM($M$9:$M$11))</f>
        <v>3426.3056917501581</v>
      </c>
      <c r="AC27" s="480">
        <f>SUM(M105:M116)*($M$11/SUM($M$9:$M$11))</f>
        <v>3426.3056917501581</v>
      </c>
      <c r="AD27" s="480">
        <f t="shared" si="5"/>
        <v>37689.362609251737</v>
      </c>
      <c r="AE27" s="481">
        <f>SUM(O105:O116)</f>
        <v>-4.8657966544851661E-11</v>
      </c>
      <c r="AF27" s="482"/>
      <c r="AG27" s="483">
        <f>SUM(J105:J116)</f>
        <v>36836.495416755548</v>
      </c>
      <c r="AJ27" s="323">
        <f t="shared" si="6"/>
        <v>3395.438072905557</v>
      </c>
      <c r="AK27" s="323">
        <f t="shared" si="11"/>
        <v>0</v>
      </c>
      <c r="AL27" s="323">
        <f t="shared" si="7"/>
        <v>254.65785546791679</v>
      </c>
      <c r="AM27" s="323">
        <f t="shared" si="12"/>
        <v>0</v>
      </c>
      <c r="AN27" s="323">
        <f t="shared" si="13"/>
        <v>254.65785546791679</v>
      </c>
      <c r="AO27" s="323">
        <f t="shared" si="14"/>
        <v>3140.7802174376402</v>
      </c>
    </row>
    <row r="28" spans="1:42" x14ac:dyDescent="0.35">
      <c r="B28">
        <f t="shared" si="15"/>
        <v>8</v>
      </c>
      <c r="E28" s="475">
        <f t="shared" si="1"/>
        <v>3140.7802174376402</v>
      </c>
      <c r="F28" s="484">
        <f t="shared" si="8"/>
        <v>407452.56874866685</v>
      </c>
      <c r="G28" s="144"/>
      <c r="H28" s="485">
        <v>0</v>
      </c>
      <c r="I28" s="144">
        <f t="shared" si="16"/>
        <v>24557.663611170363</v>
      </c>
      <c r="J28" s="484">
        <f t="shared" si="9"/>
        <v>3069.7079513962949</v>
      </c>
      <c r="K28" s="144"/>
      <c r="L28" s="475">
        <f t="shared" si="2"/>
        <v>432010.23235983722</v>
      </c>
      <c r="M28" s="486">
        <f t="shared" si="10"/>
        <v>1980.0468983159203</v>
      </c>
      <c r="O28" s="487">
        <f t="shared" si="3"/>
        <v>1160.7333191217199</v>
      </c>
      <c r="R28" s="144"/>
      <c r="T28" s="476">
        <v>9</v>
      </c>
      <c r="U28" s="477">
        <f>F128++$I$17</f>
        <v>407452.56874866685</v>
      </c>
      <c r="V28" s="477">
        <f>SUM(AL117:AM128)</f>
        <v>3055.8942656150016</v>
      </c>
      <c r="W28" s="477">
        <f>SUM(E117:E128)</f>
        <v>37689.362609251686</v>
      </c>
      <c r="X28" s="478">
        <f>SUM(H117:H128)</f>
        <v>0</v>
      </c>
      <c r="Y28" s="483">
        <f t="shared" si="4"/>
        <v>37689.362609251686</v>
      </c>
      <c r="Z28" s="483">
        <f>L128</f>
        <v>738981.02749946679</v>
      </c>
      <c r="AA28" s="477">
        <f>SUM(M117:M128)*($M$9/SUM($M$9:$M$11))</f>
        <v>32494.393519505422</v>
      </c>
      <c r="AB28" s="478">
        <f>SUM(M117:M128)*($M$10/SUM($M$9:$M$11))</f>
        <v>3610.488168833936</v>
      </c>
      <c r="AC28" s="480">
        <f>SUM(M117:M128)*($M$11/SUM($M$9:$M$11))</f>
        <v>3610.488168833936</v>
      </c>
      <c r="AD28" s="480">
        <f t="shared" si="5"/>
        <v>39715.369857173297</v>
      </c>
      <c r="AE28" s="481">
        <f>SUM(O117:O128)</f>
        <v>-2026.0072479216037</v>
      </c>
      <c r="AF28" s="482"/>
      <c r="AG28" s="483">
        <f>SUM(J117:J128)</f>
        <v>36836.495416755548</v>
      </c>
      <c r="AJ28" s="323">
        <f t="shared" si="6"/>
        <v>3395.438072905557</v>
      </c>
      <c r="AK28" s="323">
        <f t="shared" si="11"/>
        <v>0</v>
      </c>
      <c r="AL28" s="323">
        <f t="shared" si="7"/>
        <v>254.65785546791679</v>
      </c>
      <c r="AM28" s="323">
        <f t="shared" si="12"/>
        <v>0</v>
      </c>
      <c r="AN28" s="323">
        <f t="shared" si="13"/>
        <v>254.65785546791679</v>
      </c>
      <c r="AO28" s="323">
        <f t="shared" si="14"/>
        <v>3140.7802174376402</v>
      </c>
    </row>
    <row r="29" spans="1:42" x14ac:dyDescent="0.35">
      <c r="B29">
        <f t="shared" si="15"/>
        <v>9</v>
      </c>
      <c r="E29" s="475">
        <f t="shared" si="1"/>
        <v>3140.7802174376402</v>
      </c>
      <c r="F29" s="484">
        <f t="shared" si="8"/>
        <v>407452.56874866685</v>
      </c>
      <c r="G29" s="144"/>
      <c r="H29" s="485">
        <v>0</v>
      </c>
      <c r="I29" s="144">
        <f t="shared" si="16"/>
        <v>27627.371562566659</v>
      </c>
      <c r="J29" s="484">
        <f t="shared" si="9"/>
        <v>3069.7079513962949</v>
      </c>
      <c r="K29" s="144"/>
      <c r="L29" s="475">
        <f t="shared" si="2"/>
        <v>435079.94031123351</v>
      </c>
      <c r="M29" s="486">
        <f t="shared" si="10"/>
        <v>1994.1163930931532</v>
      </c>
      <c r="O29" s="487">
        <f t="shared" si="3"/>
        <v>1146.663824344487</v>
      </c>
      <c r="R29" s="144"/>
      <c r="T29" s="476">
        <v>10</v>
      </c>
      <c r="U29" s="477">
        <f>F140++$I$17</f>
        <v>407452.56874866685</v>
      </c>
      <c r="V29" s="477">
        <f>SUM(AL129:AM140)</f>
        <v>3055.8942656150016</v>
      </c>
      <c r="W29" s="477">
        <f>SUM(E129:E140)</f>
        <v>37689.362609251686</v>
      </c>
      <c r="X29" s="478">
        <f>SUM(H129:H140)</f>
        <v>0</v>
      </c>
      <c r="Y29" s="483">
        <f t="shared" si="4"/>
        <v>37689.362609251686</v>
      </c>
      <c r="Z29" s="483">
        <f>L140</f>
        <v>775817.52291622234</v>
      </c>
      <c r="AA29" s="477">
        <f>SUM(M129:M140)*($M$9/SUM($M$9:$M$11))</f>
        <v>34152.035813259419</v>
      </c>
      <c r="AB29" s="478">
        <f>SUM(M129:M140)*($M$10/SUM($M$9:$M$11))</f>
        <v>3794.6706459177135</v>
      </c>
      <c r="AC29" s="480">
        <f>SUM(M129:M140)*($M$11/SUM($M$9:$M$11))</f>
        <v>3794.6706459177135</v>
      </c>
      <c r="AD29" s="480">
        <f t="shared" si="5"/>
        <v>41741.377105094849</v>
      </c>
      <c r="AE29" s="481">
        <f>SUM(O129:O140)</f>
        <v>-4052.0144958431588</v>
      </c>
      <c r="AF29" s="482"/>
      <c r="AG29" s="483">
        <f>SUM(J129:J140)</f>
        <v>36836.495416755548</v>
      </c>
      <c r="AJ29" s="323">
        <f t="shared" si="6"/>
        <v>3395.438072905557</v>
      </c>
      <c r="AK29" s="323">
        <f t="shared" si="11"/>
        <v>0</v>
      </c>
      <c r="AL29" s="323">
        <f t="shared" si="7"/>
        <v>254.65785546791679</v>
      </c>
      <c r="AM29" s="323">
        <f t="shared" si="12"/>
        <v>0</v>
      </c>
      <c r="AN29" s="323">
        <f t="shared" si="13"/>
        <v>254.65785546791679</v>
      </c>
      <c r="AO29" s="323">
        <f t="shared" si="14"/>
        <v>3140.7802174376402</v>
      </c>
    </row>
    <row r="30" spans="1:42" x14ac:dyDescent="0.35">
      <c r="B30">
        <f t="shared" si="15"/>
        <v>10</v>
      </c>
      <c r="E30" s="475">
        <f t="shared" si="1"/>
        <v>3140.7802174376402</v>
      </c>
      <c r="F30" s="484">
        <f t="shared" si="8"/>
        <v>407452.56874866685</v>
      </c>
      <c r="G30" s="144"/>
      <c r="H30" s="485">
        <v>0</v>
      </c>
      <c r="I30" s="144">
        <f t="shared" si="16"/>
        <v>30697.079513962955</v>
      </c>
      <c r="J30" s="484">
        <f t="shared" si="9"/>
        <v>3069.7079513962949</v>
      </c>
      <c r="K30" s="144"/>
      <c r="L30" s="475">
        <f t="shared" si="2"/>
        <v>438149.64826262981</v>
      </c>
      <c r="M30" s="486">
        <f t="shared" si="10"/>
        <v>2008.1858878703863</v>
      </c>
      <c r="O30" s="487">
        <f t="shared" si="3"/>
        <v>1132.5943295672539</v>
      </c>
      <c r="R30" s="144"/>
      <c r="T30" s="476">
        <v>11</v>
      </c>
      <c r="U30" s="477">
        <f>F152++$I$17</f>
        <v>407452.56874866685</v>
      </c>
      <c r="V30" s="477">
        <f>SUM(AL141:AM152)</f>
        <v>3055.8942656150016</v>
      </c>
      <c r="W30" s="477">
        <f>SUM(E141:E152)</f>
        <v>37689.362609251686</v>
      </c>
      <c r="X30" s="478">
        <f>SUM(H141:H152)</f>
        <v>0</v>
      </c>
      <c r="Y30" s="483">
        <f t="shared" si="4"/>
        <v>37689.362609251686</v>
      </c>
      <c r="Z30" s="483">
        <f>L152</f>
        <v>812654.0183329779</v>
      </c>
      <c r="AA30" s="477">
        <f>SUM(M141:M152)*($M$9/SUM($M$9:$M$11))</f>
        <v>35809.678107013424</v>
      </c>
      <c r="AB30" s="478">
        <f>SUM(M141:M152)*($M$10/SUM($M$9:$M$11))</f>
        <v>3978.8531230014919</v>
      </c>
      <c r="AC30" s="480">
        <f>SUM(M141:M152)*($M$11/SUM($M$9:$M$11))</f>
        <v>3978.8531230014919</v>
      </c>
      <c r="AD30" s="480">
        <f t="shared" si="5"/>
        <v>43767.384353016409</v>
      </c>
      <c r="AE30" s="481">
        <f>SUM(O141:O152)</f>
        <v>-6078.0217437647143</v>
      </c>
      <c r="AF30" s="482"/>
      <c r="AG30" s="483">
        <f>SUM(J141:J152)</f>
        <v>36836.495416755548</v>
      </c>
      <c r="AJ30" s="323">
        <f t="shared" si="6"/>
        <v>3395.438072905557</v>
      </c>
      <c r="AK30" s="323">
        <f t="shared" si="11"/>
        <v>0</v>
      </c>
      <c r="AL30" s="323">
        <f t="shared" si="7"/>
        <v>254.65785546791679</v>
      </c>
      <c r="AM30" s="323">
        <f t="shared" si="12"/>
        <v>0</v>
      </c>
      <c r="AN30" s="323">
        <f t="shared" si="13"/>
        <v>254.65785546791679</v>
      </c>
      <c r="AO30" s="323">
        <f t="shared" si="14"/>
        <v>3140.7802174376402</v>
      </c>
    </row>
    <row r="31" spans="1:42" x14ac:dyDescent="0.35">
      <c r="B31">
        <f t="shared" si="15"/>
        <v>11</v>
      </c>
      <c r="E31" s="475">
        <f t="shared" si="1"/>
        <v>3140.7802174376402</v>
      </c>
      <c r="F31" s="484">
        <f t="shared" si="8"/>
        <v>407452.56874866685</v>
      </c>
      <c r="G31" s="144"/>
      <c r="H31" s="485">
        <v>0</v>
      </c>
      <c r="I31" s="144">
        <f t="shared" si="16"/>
        <v>33766.787465359252</v>
      </c>
      <c r="J31" s="484">
        <f t="shared" si="9"/>
        <v>3069.7079513962949</v>
      </c>
      <c r="K31" s="144"/>
      <c r="L31" s="475">
        <f t="shared" si="2"/>
        <v>441219.35621402611</v>
      </c>
      <c r="M31" s="486">
        <f t="shared" si="10"/>
        <v>2022.2553826476192</v>
      </c>
      <c r="O31" s="487">
        <f t="shared" si="3"/>
        <v>1118.524834790021</v>
      </c>
      <c r="R31" s="144"/>
      <c r="T31" s="476">
        <v>12</v>
      </c>
      <c r="U31" s="477">
        <f>F164+$I$17</f>
        <v>407452.56874866685</v>
      </c>
      <c r="V31" s="477">
        <f>SUM(AL153:AM164)</f>
        <v>3055.8942656150016</v>
      </c>
      <c r="W31" s="477">
        <f>SUM(E153:E164)</f>
        <v>37689.362609251686</v>
      </c>
      <c r="X31" s="478">
        <f>SUM(H153:H164)</f>
        <v>0</v>
      </c>
      <c r="Y31" s="483">
        <f t="shared" si="4"/>
        <v>37689.362609251686</v>
      </c>
      <c r="Z31" s="483">
        <f>L164</f>
        <v>849490.51374973345</v>
      </c>
      <c r="AA31" s="477">
        <f>SUM(M153:M164)*($M$9/SUM($M$9:$M$11))</f>
        <v>37467.320400767421</v>
      </c>
      <c r="AB31" s="478">
        <f>SUM(M153:M164)*($M$10/SUM($M$9:$M$11))</f>
        <v>4163.0356000852689</v>
      </c>
      <c r="AC31" s="480">
        <f>SUM(M153:M164)*($M$11/SUM($M$9:$M$11))</f>
        <v>4163.0356000852689</v>
      </c>
      <c r="AD31" s="480">
        <f t="shared" si="5"/>
        <v>45793.391600937961</v>
      </c>
      <c r="AE31" s="481">
        <f>SUM(O153:O164)</f>
        <v>-8104.0289916862685</v>
      </c>
      <c r="AF31" s="482"/>
      <c r="AG31" s="483">
        <f>SUM(J153:J164)</f>
        <v>36836.495416755548</v>
      </c>
      <c r="AJ31" s="323">
        <f t="shared" si="6"/>
        <v>3395.438072905557</v>
      </c>
      <c r="AK31" s="323">
        <f t="shared" si="11"/>
        <v>0</v>
      </c>
      <c r="AL31" s="323">
        <f t="shared" si="7"/>
        <v>254.65785546791679</v>
      </c>
      <c r="AM31" s="323">
        <f t="shared" si="12"/>
        <v>0</v>
      </c>
      <c r="AN31" s="323">
        <f t="shared" si="13"/>
        <v>254.65785546791679</v>
      </c>
      <c r="AO31" s="323">
        <f t="shared" si="14"/>
        <v>3140.7802174376402</v>
      </c>
    </row>
    <row r="32" spans="1:42" x14ac:dyDescent="0.35">
      <c r="B32">
        <f t="shared" si="15"/>
        <v>12</v>
      </c>
      <c r="E32" s="475">
        <f t="shared" si="1"/>
        <v>3140.7802174376402</v>
      </c>
      <c r="F32" s="484">
        <f t="shared" si="8"/>
        <v>407452.56874866685</v>
      </c>
      <c r="G32" s="144"/>
      <c r="H32" s="485">
        <v>0</v>
      </c>
      <c r="I32" s="144">
        <f t="shared" si="16"/>
        <v>36836.495416755548</v>
      </c>
      <c r="J32" s="484">
        <f t="shared" si="9"/>
        <v>3069.7079513962949</v>
      </c>
      <c r="K32" s="144"/>
      <c r="L32" s="475">
        <f t="shared" si="2"/>
        <v>444289.0641654224</v>
      </c>
      <c r="M32" s="486">
        <f t="shared" si="10"/>
        <v>2036.3248774248523</v>
      </c>
      <c r="O32" s="487">
        <f t="shared" si="3"/>
        <v>1104.4553400127879</v>
      </c>
      <c r="R32" s="144"/>
      <c r="T32" s="476">
        <v>13</v>
      </c>
      <c r="U32" s="477">
        <f>F176+$I$17</f>
        <v>407452.56874866685</v>
      </c>
      <c r="V32" s="477">
        <f>SUM(AL165:AM176)</f>
        <v>3055.8942656150016</v>
      </c>
      <c r="W32" s="477">
        <f>SUM(E165:E176)</f>
        <v>37689.362609251686</v>
      </c>
      <c r="X32" s="478">
        <f>SUM(H165:H176)</f>
        <v>0</v>
      </c>
      <c r="Y32" s="483">
        <f t="shared" si="4"/>
        <v>37689.362609251686</v>
      </c>
      <c r="Z32" s="483">
        <f>L176</f>
        <v>886327.00916648901</v>
      </c>
      <c r="AA32" s="477">
        <f>SUM(M165:M176)*($M$9/SUM($M$9:$M$11))</f>
        <v>39124.962694521419</v>
      </c>
      <c r="AB32" s="478">
        <f>SUM(M165:M176)*($M$10/SUM($M$9:$M$11))</f>
        <v>4347.2180771690464</v>
      </c>
      <c r="AC32" s="480">
        <f>SUM(M165:M176)*($M$11/SUM($M$9:$M$11))</f>
        <v>4347.2180771690464</v>
      </c>
      <c r="AD32" s="480">
        <f t="shared" si="5"/>
        <v>47819.398848859513</v>
      </c>
      <c r="AE32" s="481">
        <f>SUM(O165:O176)</f>
        <v>-10130.036239607827</v>
      </c>
      <c r="AF32" s="482"/>
      <c r="AG32" s="483">
        <f>SUM(J165:J176)</f>
        <v>36836.495416755548</v>
      </c>
      <c r="AJ32" s="323">
        <f t="shared" si="6"/>
        <v>3395.438072905557</v>
      </c>
      <c r="AK32" s="323">
        <f t="shared" si="11"/>
        <v>0</v>
      </c>
      <c r="AL32" s="323">
        <f t="shared" si="7"/>
        <v>254.65785546791679</v>
      </c>
      <c r="AM32" s="323">
        <f t="shared" si="12"/>
        <v>0</v>
      </c>
      <c r="AN32" s="323">
        <f t="shared" si="13"/>
        <v>254.65785546791679</v>
      </c>
      <c r="AO32" s="323">
        <f t="shared" si="14"/>
        <v>3140.7802174376402</v>
      </c>
      <c r="AP32" s="387">
        <f>SUM(AO21:AO32)-Y20</f>
        <v>0</v>
      </c>
    </row>
    <row r="33" spans="1:42" x14ac:dyDescent="0.35">
      <c r="A33">
        <f>A21+1</f>
        <v>2</v>
      </c>
      <c r="B33">
        <f t="shared" si="15"/>
        <v>13</v>
      </c>
      <c r="E33" s="475">
        <f t="shared" si="1"/>
        <v>3140.7802174376402</v>
      </c>
      <c r="F33" s="484">
        <f t="shared" si="8"/>
        <v>407452.56874866685</v>
      </c>
      <c r="G33" s="144"/>
      <c r="H33" s="485">
        <v>0</v>
      </c>
      <c r="I33" s="144">
        <f t="shared" si="16"/>
        <v>39906.203368151844</v>
      </c>
      <c r="J33" s="484">
        <f t="shared" si="9"/>
        <v>3069.7079513962949</v>
      </c>
      <c r="K33" s="144"/>
      <c r="L33" s="475">
        <f t="shared" si="2"/>
        <v>447358.7721168187</v>
      </c>
      <c r="M33" s="486">
        <f t="shared" si="10"/>
        <v>2050.3943722020854</v>
      </c>
      <c r="O33" s="487">
        <f t="shared" si="3"/>
        <v>1090.3858452355548</v>
      </c>
      <c r="R33" s="144"/>
      <c r="T33" s="476">
        <v>14</v>
      </c>
      <c r="U33" s="477">
        <f>F188+$I$17</f>
        <v>407452.56874866685</v>
      </c>
      <c r="V33" s="477">
        <f>SUM(AL177:AM188)</f>
        <v>3055.8942656150016</v>
      </c>
      <c r="W33" s="477">
        <f>SUM(E177:E188)</f>
        <v>37689.362609251686</v>
      </c>
      <c r="X33" s="478">
        <f>SUM(H177:H188)</f>
        <v>0</v>
      </c>
      <c r="Y33" s="483">
        <f t="shared" si="4"/>
        <v>37689.362609251686</v>
      </c>
      <c r="Z33" s="483">
        <f>L188</f>
        <v>923163.50458324456</v>
      </c>
      <c r="AA33" s="477">
        <f>SUM(M177:M188)*($M$9/SUM($M$9:$M$11))</f>
        <v>40782.604988275416</v>
      </c>
      <c r="AB33" s="478">
        <f>SUM(M177:M188)*($M$10/SUM($M$9:$M$11))</f>
        <v>4531.4005542528239</v>
      </c>
      <c r="AC33" s="480">
        <f>SUM(M177:M188)*($M$11/SUM($M$9:$M$11))</f>
        <v>4531.4005542528239</v>
      </c>
      <c r="AD33" s="480">
        <f t="shared" si="5"/>
        <v>49845.406096781066</v>
      </c>
      <c r="AE33" s="481">
        <f>SUM(O177:O188)</f>
        <v>-12156.043487529378</v>
      </c>
      <c r="AF33" s="482"/>
      <c r="AG33" s="483">
        <f>SUM(J177:J188)</f>
        <v>36836.495416755548</v>
      </c>
      <c r="AJ33" s="323">
        <f t="shared" si="6"/>
        <v>3395.438072905557</v>
      </c>
      <c r="AK33" s="323">
        <f t="shared" si="11"/>
        <v>0</v>
      </c>
      <c r="AL33" s="323">
        <f t="shared" si="7"/>
        <v>254.65785546791679</v>
      </c>
      <c r="AM33" s="323">
        <f t="shared" si="12"/>
        <v>0</v>
      </c>
      <c r="AN33" s="323">
        <f t="shared" si="13"/>
        <v>254.65785546791679</v>
      </c>
      <c r="AO33" s="323">
        <f t="shared" si="14"/>
        <v>3140.7802174376402</v>
      </c>
    </row>
    <row r="34" spans="1:42" ht="13.15" thickBot="1" x14ac:dyDescent="0.4">
      <c r="B34">
        <f t="shared" si="15"/>
        <v>14</v>
      </c>
      <c r="E34" s="475">
        <f t="shared" si="1"/>
        <v>3140.7802174376402</v>
      </c>
      <c r="F34" s="484">
        <f t="shared" si="8"/>
        <v>407452.56874866685</v>
      </c>
      <c r="G34" s="144"/>
      <c r="H34" s="485">
        <v>0</v>
      </c>
      <c r="I34" s="144">
        <f t="shared" si="16"/>
        <v>42975.91131954814</v>
      </c>
      <c r="J34" s="484">
        <f t="shared" si="9"/>
        <v>3069.7079513962949</v>
      </c>
      <c r="K34" s="144"/>
      <c r="L34" s="475">
        <f t="shared" si="2"/>
        <v>450428.48006821499</v>
      </c>
      <c r="M34" s="486">
        <f t="shared" si="10"/>
        <v>2064.4638669793185</v>
      </c>
      <c r="O34" s="487">
        <f t="shared" si="3"/>
        <v>1076.3163504583217</v>
      </c>
      <c r="R34" s="144"/>
      <c r="T34" s="476">
        <v>15</v>
      </c>
      <c r="U34" s="477">
        <f>F200+$I$17</f>
        <v>407452.56874866685</v>
      </c>
      <c r="V34" s="477">
        <f>SUM(AL189:AM200)</f>
        <v>3055.8942656150016</v>
      </c>
      <c r="W34" s="490">
        <f>SUM(E189:E200)</f>
        <v>37689.362609251686</v>
      </c>
      <c r="X34" s="491">
        <f>SUM(H189:H200)</f>
        <v>0</v>
      </c>
      <c r="Y34" s="492">
        <f t="shared" si="4"/>
        <v>37689.362609251686</v>
      </c>
      <c r="Z34" s="492">
        <f>L200</f>
        <v>959999.99999999953</v>
      </c>
      <c r="AA34" s="477">
        <f>SUM(M189:M200)*($M$9/SUM($M$9:$M$11))</f>
        <v>42440.247282029406</v>
      </c>
      <c r="AB34" s="478">
        <f>SUM(M189:M200)*($M$10/SUM($M$9:$M$11))</f>
        <v>4715.5830313366014</v>
      </c>
      <c r="AC34" s="480">
        <f>SUM(M189:M200)*($M$11/SUM($M$9:$M$11))</f>
        <v>4715.5830313366014</v>
      </c>
      <c r="AD34" s="480">
        <f t="shared" si="5"/>
        <v>51871.413344702611</v>
      </c>
      <c r="AE34" s="493">
        <f>SUM(O189:O200)</f>
        <v>-14182.050735450923</v>
      </c>
      <c r="AF34" s="482"/>
      <c r="AG34" s="492">
        <f>SUM(J189:J200)</f>
        <v>36836.495416755548</v>
      </c>
      <c r="AJ34" s="323">
        <f t="shared" si="6"/>
        <v>3395.438072905557</v>
      </c>
      <c r="AK34" s="323">
        <f t="shared" si="11"/>
        <v>0</v>
      </c>
      <c r="AL34" s="323">
        <f t="shared" si="7"/>
        <v>254.65785546791679</v>
      </c>
      <c r="AM34" s="323">
        <f t="shared" si="12"/>
        <v>0</v>
      </c>
      <c r="AN34" s="323">
        <f t="shared" si="13"/>
        <v>254.65785546791679</v>
      </c>
      <c r="AO34" s="323">
        <f t="shared" si="14"/>
        <v>3140.7802174376402</v>
      </c>
    </row>
    <row r="35" spans="1:42" ht="14.65" thickBot="1" x14ac:dyDescent="0.5">
      <c r="B35">
        <f t="shared" si="15"/>
        <v>15</v>
      </c>
      <c r="E35" s="475">
        <f t="shared" si="1"/>
        <v>3140.7802174376402</v>
      </c>
      <c r="F35" s="484">
        <f t="shared" si="8"/>
        <v>407452.56874866685</v>
      </c>
      <c r="G35" s="144"/>
      <c r="H35" s="485">
        <v>0</v>
      </c>
      <c r="I35" s="144">
        <f t="shared" si="16"/>
        <v>46045.619270944437</v>
      </c>
      <c r="J35" s="484">
        <f t="shared" si="9"/>
        <v>3069.7079513962949</v>
      </c>
      <c r="K35" s="144"/>
      <c r="L35" s="475">
        <f t="shared" si="2"/>
        <v>453498.18801961129</v>
      </c>
      <c r="M35" s="486">
        <f t="shared" si="10"/>
        <v>2078.5333617565516</v>
      </c>
      <c r="O35" s="487">
        <f t="shared" si="3"/>
        <v>1062.2468556810886</v>
      </c>
      <c r="R35" s="144"/>
      <c r="T35" s="494" t="s">
        <v>45</v>
      </c>
      <c r="U35" s="495"/>
      <c r="V35" s="496">
        <f t="shared" ref="V35:AE35" si="17">SUM(V20:V34)</f>
        <v>45838.413984225037</v>
      </c>
      <c r="W35" s="496">
        <f t="shared" si="17"/>
        <v>565340.43913877523</v>
      </c>
      <c r="X35" s="497">
        <f t="shared" si="17"/>
        <v>0</v>
      </c>
      <c r="Y35" s="498">
        <f t="shared" si="17"/>
        <v>565340.43913877523</v>
      </c>
      <c r="Z35" s="498"/>
      <c r="AA35" s="496">
        <f t="shared" si="17"/>
        <v>462551.26838627126</v>
      </c>
      <c r="AB35" s="497">
        <f t="shared" si="17"/>
        <v>51394.585376252369</v>
      </c>
      <c r="AC35" s="499">
        <f t="shared" si="17"/>
        <v>51394.585376252369</v>
      </c>
      <c r="AD35" s="499">
        <f t="shared" si="17"/>
        <v>565340.43913877592</v>
      </c>
      <c r="AE35" s="500">
        <f t="shared" si="17"/>
        <v>-7.312337402254343E-10</v>
      </c>
      <c r="AF35" s="501"/>
      <c r="AG35" s="498">
        <f>SUM(AG20:AG34)</f>
        <v>552547.43125133321</v>
      </c>
      <c r="AJ35" s="323">
        <f t="shared" si="6"/>
        <v>3395.438072905557</v>
      </c>
      <c r="AK35" s="323">
        <f t="shared" si="11"/>
        <v>0</v>
      </c>
      <c r="AL35" s="323">
        <f t="shared" si="7"/>
        <v>254.65785546791679</v>
      </c>
      <c r="AM35" s="323">
        <f t="shared" si="12"/>
        <v>0</v>
      </c>
      <c r="AN35" s="323">
        <f t="shared" si="13"/>
        <v>254.65785546791679</v>
      </c>
      <c r="AO35" s="323">
        <f t="shared" si="14"/>
        <v>3140.7802174376402</v>
      </c>
    </row>
    <row r="36" spans="1:42" x14ac:dyDescent="0.35">
      <c r="B36">
        <f t="shared" si="15"/>
        <v>16</v>
      </c>
      <c r="E36" s="475">
        <f t="shared" si="1"/>
        <v>3140.7802174376402</v>
      </c>
      <c r="F36" s="484">
        <f t="shared" si="8"/>
        <v>407452.56874866685</v>
      </c>
      <c r="G36" s="144"/>
      <c r="H36" s="485">
        <v>0</v>
      </c>
      <c r="I36" s="144">
        <f t="shared" si="16"/>
        <v>49115.327222340733</v>
      </c>
      <c r="J36" s="484">
        <f t="shared" si="9"/>
        <v>3069.7079513962949</v>
      </c>
      <c r="K36" s="144"/>
      <c r="L36" s="475">
        <f t="shared" si="2"/>
        <v>456567.89597100759</v>
      </c>
      <c r="M36" s="486">
        <f t="shared" si="10"/>
        <v>2092.6028565337842</v>
      </c>
      <c r="O36" s="487">
        <f t="shared" si="3"/>
        <v>1048.177360903856</v>
      </c>
      <c r="V36" s="502">
        <f>V35-AN19</f>
        <v>5.8207660913467407E-11</v>
      </c>
      <c r="W36" s="503">
        <f>E19-W35</f>
        <v>9.3132257461547852E-10</v>
      </c>
      <c r="X36" s="503">
        <f>H19-X35</f>
        <v>0</v>
      </c>
      <c r="Y36" s="503">
        <f>SUM(W35:X35)-Y35</f>
        <v>0</v>
      </c>
      <c r="Z36" s="503"/>
      <c r="AA36" s="503"/>
      <c r="AB36" s="503"/>
      <c r="AC36" s="503">
        <f>M19-SUM(AA35:AC35)</f>
        <v>0</v>
      </c>
      <c r="AD36" s="503">
        <f>SUM(AA35:AC35)-AD35</f>
        <v>0</v>
      </c>
      <c r="AE36" s="503">
        <f>O19-AE35</f>
        <v>2.2737367544323206E-11</v>
      </c>
      <c r="AF36" s="503"/>
      <c r="AG36" s="503">
        <f>J19-AG35</f>
        <v>0</v>
      </c>
      <c r="AH36" t="s">
        <v>223</v>
      </c>
      <c r="AJ36" s="323">
        <f t="shared" si="6"/>
        <v>3395.438072905557</v>
      </c>
      <c r="AK36" s="323">
        <f t="shared" si="11"/>
        <v>0</v>
      </c>
      <c r="AL36" s="323">
        <f t="shared" si="7"/>
        <v>254.65785546791679</v>
      </c>
      <c r="AM36" s="323">
        <f t="shared" si="12"/>
        <v>0</v>
      </c>
      <c r="AN36" s="323">
        <f t="shared" si="13"/>
        <v>254.65785546791679</v>
      </c>
      <c r="AO36" s="323">
        <f t="shared" si="14"/>
        <v>3140.7802174376402</v>
      </c>
    </row>
    <row r="37" spans="1:42" x14ac:dyDescent="0.35">
      <c r="B37">
        <f t="shared" si="15"/>
        <v>17</v>
      </c>
      <c r="E37" s="475">
        <f t="shared" si="1"/>
        <v>3140.7802174376402</v>
      </c>
      <c r="F37" s="484">
        <f t="shared" si="8"/>
        <v>407452.56874866685</v>
      </c>
      <c r="G37" s="144"/>
      <c r="H37" s="485">
        <v>0</v>
      </c>
      <c r="I37" s="144">
        <f t="shared" si="16"/>
        <v>52185.035173737029</v>
      </c>
      <c r="J37" s="484">
        <f t="shared" si="9"/>
        <v>3069.7079513962949</v>
      </c>
      <c r="K37" s="144"/>
      <c r="L37" s="475">
        <f t="shared" si="2"/>
        <v>459637.60392240388</v>
      </c>
      <c r="M37" s="486">
        <f t="shared" si="10"/>
        <v>2106.6723513110173</v>
      </c>
      <c r="O37" s="487">
        <f t="shared" si="3"/>
        <v>1034.1078661266229</v>
      </c>
      <c r="AJ37" s="323">
        <f t="shared" si="6"/>
        <v>3395.438072905557</v>
      </c>
      <c r="AK37" s="323">
        <f t="shared" si="11"/>
        <v>0</v>
      </c>
      <c r="AL37" s="323">
        <f t="shared" si="7"/>
        <v>254.65785546791679</v>
      </c>
      <c r="AM37" s="323">
        <f t="shared" si="12"/>
        <v>0</v>
      </c>
      <c r="AN37" s="323">
        <f t="shared" si="13"/>
        <v>254.65785546791679</v>
      </c>
      <c r="AO37" s="323">
        <f t="shared" si="14"/>
        <v>3140.7802174376402</v>
      </c>
    </row>
    <row r="38" spans="1:42" x14ac:dyDescent="0.35">
      <c r="B38">
        <f t="shared" si="15"/>
        <v>18</v>
      </c>
      <c r="E38" s="475">
        <f t="shared" si="1"/>
        <v>3140.7802174376402</v>
      </c>
      <c r="F38" s="484">
        <f t="shared" si="8"/>
        <v>407452.56874866685</v>
      </c>
      <c r="G38" s="144"/>
      <c r="H38" s="485">
        <v>0</v>
      </c>
      <c r="I38" s="144">
        <f t="shared" si="16"/>
        <v>55254.743125133326</v>
      </c>
      <c r="J38" s="484">
        <f t="shared" si="9"/>
        <v>3069.7079513962949</v>
      </c>
      <c r="K38" s="144"/>
      <c r="L38" s="475">
        <f t="shared" si="2"/>
        <v>462707.31187380018</v>
      </c>
      <c r="M38" s="486">
        <f t="shared" si="10"/>
        <v>2120.7418460882504</v>
      </c>
      <c r="O38" s="487">
        <f t="shared" si="3"/>
        <v>1020.0383713493898</v>
      </c>
      <c r="AJ38" s="323">
        <f t="shared" si="6"/>
        <v>3395.438072905557</v>
      </c>
      <c r="AK38" s="323">
        <f t="shared" si="11"/>
        <v>0</v>
      </c>
      <c r="AL38" s="323">
        <f t="shared" si="7"/>
        <v>254.65785546791679</v>
      </c>
      <c r="AM38" s="323">
        <f t="shared" si="12"/>
        <v>0</v>
      </c>
      <c r="AN38" s="323">
        <f t="shared" si="13"/>
        <v>254.65785546791679</v>
      </c>
      <c r="AO38" s="323">
        <f t="shared" si="14"/>
        <v>3140.7802174376402</v>
      </c>
    </row>
    <row r="39" spans="1:42" x14ac:dyDescent="0.35">
      <c r="B39">
        <f t="shared" si="15"/>
        <v>19</v>
      </c>
      <c r="E39" s="475">
        <f t="shared" si="1"/>
        <v>3140.7802174376402</v>
      </c>
      <c r="F39" s="484">
        <f t="shared" si="8"/>
        <v>407452.56874866685</v>
      </c>
      <c r="G39" s="144"/>
      <c r="H39" s="485">
        <v>0</v>
      </c>
      <c r="I39" s="144">
        <f t="shared" si="16"/>
        <v>58324.451076529622</v>
      </c>
      <c r="J39" s="484">
        <f t="shared" si="9"/>
        <v>3069.7079513962949</v>
      </c>
      <c r="K39" s="144"/>
      <c r="L39" s="475">
        <f t="shared" si="2"/>
        <v>465777.01982519648</v>
      </c>
      <c r="M39" s="486">
        <f t="shared" si="10"/>
        <v>2134.8113408654835</v>
      </c>
      <c r="O39" s="487">
        <f t="shared" si="3"/>
        <v>1005.9688765721567</v>
      </c>
      <c r="AJ39" s="323">
        <f t="shared" si="6"/>
        <v>3395.438072905557</v>
      </c>
      <c r="AK39" s="323">
        <f t="shared" si="11"/>
        <v>0</v>
      </c>
      <c r="AL39" s="323">
        <f t="shared" si="7"/>
        <v>254.65785546791679</v>
      </c>
      <c r="AM39" s="323">
        <f t="shared" si="12"/>
        <v>0</v>
      </c>
      <c r="AN39" s="323">
        <f t="shared" si="13"/>
        <v>254.65785546791679</v>
      </c>
      <c r="AO39" s="323">
        <f t="shared" si="14"/>
        <v>3140.7802174376402</v>
      </c>
    </row>
    <row r="40" spans="1:42" x14ac:dyDescent="0.35">
      <c r="B40">
        <f t="shared" si="15"/>
        <v>20</v>
      </c>
      <c r="E40" s="475">
        <f t="shared" si="1"/>
        <v>3140.7802174376402</v>
      </c>
      <c r="F40" s="484">
        <f t="shared" si="8"/>
        <v>407452.56874866685</v>
      </c>
      <c r="G40" s="144"/>
      <c r="H40" s="485">
        <v>0</v>
      </c>
      <c r="I40" s="144">
        <f t="shared" si="16"/>
        <v>61394.159027925918</v>
      </c>
      <c r="J40" s="484">
        <f t="shared" si="9"/>
        <v>3069.7079513962949</v>
      </c>
      <c r="K40" s="144"/>
      <c r="L40" s="475">
        <f t="shared" si="2"/>
        <v>468846.72777659277</v>
      </c>
      <c r="M40" s="486">
        <f t="shared" si="10"/>
        <v>2148.8808356427166</v>
      </c>
      <c r="O40" s="487">
        <f t="shared" si="3"/>
        <v>991.89938179492356</v>
      </c>
      <c r="AJ40" s="323">
        <f t="shared" si="6"/>
        <v>3395.438072905557</v>
      </c>
      <c r="AK40" s="323">
        <f t="shared" si="11"/>
        <v>0</v>
      </c>
      <c r="AL40" s="323">
        <f t="shared" si="7"/>
        <v>254.65785546791679</v>
      </c>
      <c r="AM40" s="323">
        <f t="shared" si="12"/>
        <v>0</v>
      </c>
      <c r="AN40" s="323">
        <f t="shared" si="13"/>
        <v>254.65785546791679</v>
      </c>
      <c r="AO40" s="323">
        <f t="shared" si="14"/>
        <v>3140.7802174376402</v>
      </c>
    </row>
    <row r="41" spans="1:42" x14ac:dyDescent="0.35">
      <c r="B41">
        <f t="shared" si="15"/>
        <v>21</v>
      </c>
      <c r="E41" s="475">
        <f t="shared" si="1"/>
        <v>3140.7802174376402</v>
      </c>
      <c r="F41" s="484">
        <f t="shared" si="8"/>
        <v>407452.56874866685</v>
      </c>
      <c r="G41" s="144"/>
      <c r="H41" s="485">
        <v>0</v>
      </c>
      <c r="I41" s="144">
        <f t="shared" si="16"/>
        <v>64463.866979322214</v>
      </c>
      <c r="J41" s="484">
        <f t="shared" si="9"/>
        <v>3069.7079513962949</v>
      </c>
      <c r="K41" s="144"/>
      <c r="L41" s="475">
        <f t="shared" si="2"/>
        <v>471916.43572798907</v>
      </c>
      <c r="M41" s="486">
        <f t="shared" si="10"/>
        <v>2162.9503304199493</v>
      </c>
      <c r="O41" s="487">
        <f t="shared" si="3"/>
        <v>977.82988701769091</v>
      </c>
      <c r="AJ41" s="323">
        <f t="shared" si="6"/>
        <v>3395.438072905557</v>
      </c>
      <c r="AK41" s="323">
        <f t="shared" si="11"/>
        <v>0</v>
      </c>
      <c r="AL41" s="323">
        <f t="shared" si="7"/>
        <v>254.65785546791679</v>
      </c>
      <c r="AM41" s="323">
        <f t="shared" si="12"/>
        <v>0</v>
      </c>
      <c r="AN41" s="323">
        <f t="shared" si="13"/>
        <v>254.65785546791679</v>
      </c>
      <c r="AO41" s="323">
        <f t="shared" si="14"/>
        <v>3140.7802174376402</v>
      </c>
    </row>
    <row r="42" spans="1:42" x14ac:dyDescent="0.35">
      <c r="B42">
        <f t="shared" si="15"/>
        <v>22</v>
      </c>
      <c r="E42" s="475">
        <f t="shared" si="1"/>
        <v>3140.7802174376402</v>
      </c>
      <c r="F42" s="484">
        <f t="shared" si="8"/>
        <v>407452.56874866685</v>
      </c>
      <c r="G42" s="144"/>
      <c r="H42" s="485">
        <v>0</v>
      </c>
      <c r="I42" s="144">
        <f t="shared" si="16"/>
        <v>67533.574930718503</v>
      </c>
      <c r="J42" s="484">
        <f t="shared" si="9"/>
        <v>3069.7079513962949</v>
      </c>
      <c r="K42" s="144"/>
      <c r="L42" s="475">
        <f t="shared" si="2"/>
        <v>474986.14367938536</v>
      </c>
      <c r="M42" s="486">
        <f t="shared" si="10"/>
        <v>2177.0198251971824</v>
      </c>
      <c r="O42" s="487">
        <f t="shared" si="3"/>
        <v>963.7603922404578</v>
      </c>
      <c r="AJ42" s="323">
        <f t="shared" si="6"/>
        <v>3395.438072905557</v>
      </c>
      <c r="AK42" s="323">
        <f t="shared" si="11"/>
        <v>0</v>
      </c>
      <c r="AL42" s="323">
        <f t="shared" si="7"/>
        <v>254.65785546791679</v>
      </c>
      <c r="AM42" s="323">
        <f t="shared" si="12"/>
        <v>0</v>
      </c>
      <c r="AN42" s="323">
        <f t="shared" si="13"/>
        <v>254.65785546791679</v>
      </c>
      <c r="AO42" s="323">
        <f t="shared" si="14"/>
        <v>3140.7802174376402</v>
      </c>
    </row>
    <row r="43" spans="1:42" x14ac:dyDescent="0.35">
      <c r="B43">
        <f t="shared" si="15"/>
        <v>23</v>
      </c>
      <c r="E43" s="475">
        <f t="shared" si="1"/>
        <v>3140.7802174376402</v>
      </c>
      <c r="F43" s="484">
        <f t="shared" si="8"/>
        <v>407452.56874866685</v>
      </c>
      <c r="G43" s="144"/>
      <c r="H43" s="485">
        <v>0</v>
      </c>
      <c r="I43" s="144">
        <f t="shared" si="16"/>
        <v>70603.2828821148</v>
      </c>
      <c r="J43" s="484">
        <f t="shared" si="9"/>
        <v>3069.7079513962949</v>
      </c>
      <c r="K43" s="144"/>
      <c r="L43" s="475">
        <f t="shared" si="2"/>
        <v>478055.85163078166</v>
      </c>
      <c r="M43" s="486">
        <f t="shared" si="10"/>
        <v>2191.0893199744155</v>
      </c>
      <c r="O43" s="487">
        <f t="shared" si="3"/>
        <v>949.6908974632247</v>
      </c>
      <c r="AJ43" s="323">
        <f t="shared" si="6"/>
        <v>3395.438072905557</v>
      </c>
      <c r="AK43" s="323">
        <f t="shared" si="11"/>
        <v>0</v>
      </c>
      <c r="AL43" s="323">
        <f t="shared" si="7"/>
        <v>254.65785546791679</v>
      </c>
      <c r="AM43" s="323">
        <f t="shared" si="12"/>
        <v>0</v>
      </c>
      <c r="AN43" s="323">
        <f t="shared" si="13"/>
        <v>254.65785546791679</v>
      </c>
      <c r="AO43" s="323">
        <f t="shared" si="14"/>
        <v>3140.7802174376402</v>
      </c>
    </row>
    <row r="44" spans="1:42" x14ac:dyDescent="0.35">
      <c r="B44">
        <f t="shared" si="15"/>
        <v>24</v>
      </c>
      <c r="E44" s="475">
        <f t="shared" si="1"/>
        <v>3140.7802174376402</v>
      </c>
      <c r="F44" s="484">
        <f t="shared" si="8"/>
        <v>407452.56874866685</v>
      </c>
      <c r="G44" s="144"/>
      <c r="H44" s="485">
        <v>0</v>
      </c>
      <c r="I44" s="144">
        <f t="shared" si="16"/>
        <v>73672.990833511096</v>
      </c>
      <c r="J44" s="484">
        <f t="shared" si="9"/>
        <v>3069.7079513962949</v>
      </c>
      <c r="K44" s="144"/>
      <c r="L44" s="475">
        <f t="shared" si="2"/>
        <v>481125.55958217796</v>
      </c>
      <c r="M44" s="486">
        <f t="shared" si="10"/>
        <v>2205.1588147516486</v>
      </c>
      <c r="O44" s="487">
        <f t="shared" si="3"/>
        <v>935.6214026859916</v>
      </c>
      <c r="AJ44" s="323">
        <f t="shared" si="6"/>
        <v>3395.438072905557</v>
      </c>
      <c r="AK44" s="323">
        <f t="shared" si="11"/>
        <v>0</v>
      </c>
      <c r="AL44" s="323">
        <f t="shared" si="7"/>
        <v>254.65785546791679</v>
      </c>
      <c r="AM44" s="323">
        <f t="shared" si="12"/>
        <v>0</v>
      </c>
      <c r="AN44" s="323">
        <f t="shared" si="13"/>
        <v>254.65785546791679</v>
      </c>
      <c r="AO44" s="323">
        <f t="shared" si="14"/>
        <v>3140.7802174376402</v>
      </c>
      <c r="AP44" s="387">
        <f>SUM(AO33:AO44)-Y21</f>
        <v>0</v>
      </c>
    </row>
    <row r="45" spans="1:42" x14ac:dyDescent="0.35">
      <c r="A45">
        <f>A33+1</f>
        <v>3</v>
      </c>
      <c r="B45">
        <f>B44+1</f>
        <v>25</v>
      </c>
      <c r="E45" s="475">
        <f t="shared" si="1"/>
        <v>3140.7802174376402</v>
      </c>
      <c r="F45" s="484">
        <f t="shared" si="8"/>
        <v>407452.56874866685</v>
      </c>
      <c r="G45" s="144"/>
      <c r="H45" s="485">
        <v>0</v>
      </c>
      <c r="I45" s="144">
        <f t="shared" si="16"/>
        <v>76742.698784907392</v>
      </c>
      <c r="J45" s="484">
        <f t="shared" si="9"/>
        <v>3069.7079513962949</v>
      </c>
      <c r="K45" s="144"/>
      <c r="L45" s="475">
        <f t="shared" si="2"/>
        <v>484195.26753357425</v>
      </c>
      <c r="M45" s="486">
        <f t="shared" si="10"/>
        <v>2219.2283095288817</v>
      </c>
      <c r="O45" s="487">
        <f t="shared" si="3"/>
        <v>921.55190790875849</v>
      </c>
      <c r="AJ45" s="323">
        <f t="shared" si="6"/>
        <v>3395.438072905557</v>
      </c>
      <c r="AK45" s="323">
        <f t="shared" si="11"/>
        <v>0</v>
      </c>
      <c r="AL45" s="323">
        <f t="shared" si="7"/>
        <v>254.65785546791679</v>
      </c>
      <c r="AM45" s="323">
        <f t="shared" si="12"/>
        <v>0</v>
      </c>
      <c r="AN45" s="323">
        <f t="shared" si="13"/>
        <v>254.65785546791679</v>
      </c>
      <c r="AO45" s="323">
        <f t="shared" si="14"/>
        <v>3140.7802174376402</v>
      </c>
    </row>
    <row r="46" spans="1:42" x14ac:dyDescent="0.35">
      <c r="B46">
        <f t="shared" si="15"/>
        <v>26</v>
      </c>
      <c r="E46" s="475">
        <f t="shared" si="1"/>
        <v>3140.7802174376402</v>
      </c>
      <c r="F46" s="484">
        <f t="shared" si="8"/>
        <v>407452.56874866685</v>
      </c>
      <c r="G46" s="144"/>
      <c r="H46" s="485">
        <v>0</v>
      </c>
      <c r="I46" s="144">
        <f t="shared" si="16"/>
        <v>79812.406736303688</v>
      </c>
      <c r="J46" s="484">
        <f t="shared" si="9"/>
        <v>3069.7079513962949</v>
      </c>
      <c r="K46" s="144"/>
      <c r="L46" s="475">
        <f t="shared" si="2"/>
        <v>487264.97548497055</v>
      </c>
      <c r="M46" s="486">
        <f t="shared" si="10"/>
        <v>2233.2978043061148</v>
      </c>
      <c r="O46" s="487">
        <f t="shared" si="3"/>
        <v>907.48241313152539</v>
      </c>
      <c r="AJ46" s="323">
        <f t="shared" si="6"/>
        <v>3395.438072905557</v>
      </c>
      <c r="AK46" s="323">
        <f t="shared" si="11"/>
        <v>0</v>
      </c>
      <c r="AL46" s="323">
        <f t="shared" si="7"/>
        <v>254.65785546791679</v>
      </c>
      <c r="AM46" s="323">
        <f t="shared" si="12"/>
        <v>0</v>
      </c>
      <c r="AN46" s="323">
        <f t="shared" si="13"/>
        <v>254.65785546791679</v>
      </c>
      <c r="AO46" s="323">
        <f t="shared" si="14"/>
        <v>3140.7802174376402</v>
      </c>
    </row>
    <row r="47" spans="1:42" x14ac:dyDescent="0.35">
      <c r="B47">
        <f t="shared" si="15"/>
        <v>27</v>
      </c>
      <c r="E47" s="475">
        <f t="shared" si="1"/>
        <v>3140.7802174376402</v>
      </c>
      <c r="F47" s="484">
        <f t="shared" si="8"/>
        <v>407452.56874866685</v>
      </c>
      <c r="G47" s="144"/>
      <c r="H47" s="485">
        <v>0</v>
      </c>
      <c r="I47" s="144">
        <f t="shared" si="16"/>
        <v>82882.114687699985</v>
      </c>
      <c r="J47" s="484">
        <f t="shared" si="9"/>
        <v>3069.7079513962949</v>
      </c>
      <c r="K47" s="144"/>
      <c r="L47" s="475">
        <f t="shared" si="2"/>
        <v>490334.68343636685</v>
      </c>
      <c r="M47" s="486">
        <f t="shared" si="10"/>
        <v>2247.3672990833475</v>
      </c>
      <c r="O47" s="487">
        <f t="shared" si="3"/>
        <v>893.41291835429274</v>
      </c>
      <c r="AJ47" s="323">
        <f t="shared" si="6"/>
        <v>3395.438072905557</v>
      </c>
      <c r="AK47" s="323">
        <f t="shared" si="11"/>
        <v>0</v>
      </c>
      <c r="AL47" s="323">
        <f t="shared" si="7"/>
        <v>254.65785546791679</v>
      </c>
      <c r="AM47" s="323">
        <f t="shared" si="12"/>
        <v>0</v>
      </c>
      <c r="AN47" s="323">
        <f t="shared" si="13"/>
        <v>254.65785546791679</v>
      </c>
      <c r="AO47" s="323">
        <f t="shared" si="14"/>
        <v>3140.7802174376402</v>
      </c>
    </row>
    <row r="48" spans="1:42" x14ac:dyDescent="0.35">
      <c r="B48">
        <f t="shared" si="15"/>
        <v>28</v>
      </c>
      <c r="E48" s="475">
        <f t="shared" si="1"/>
        <v>3140.7802174376402</v>
      </c>
      <c r="F48" s="484">
        <f t="shared" si="8"/>
        <v>407452.56874866685</v>
      </c>
      <c r="G48" s="144"/>
      <c r="H48" s="485">
        <v>0</v>
      </c>
      <c r="I48" s="144">
        <f t="shared" si="16"/>
        <v>85951.822639096281</v>
      </c>
      <c r="J48" s="484">
        <f t="shared" si="9"/>
        <v>3069.7079513962949</v>
      </c>
      <c r="K48" s="144"/>
      <c r="L48" s="475">
        <f t="shared" si="2"/>
        <v>493404.39138776314</v>
      </c>
      <c r="M48" s="486">
        <f t="shared" si="10"/>
        <v>2261.4367938605806</v>
      </c>
      <c r="O48" s="487">
        <f t="shared" si="3"/>
        <v>879.34342357705964</v>
      </c>
      <c r="AJ48" s="323">
        <f t="shared" si="6"/>
        <v>3395.438072905557</v>
      </c>
      <c r="AK48" s="323">
        <f t="shared" si="11"/>
        <v>0</v>
      </c>
      <c r="AL48" s="323">
        <f t="shared" si="7"/>
        <v>254.65785546791679</v>
      </c>
      <c r="AM48" s="323">
        <f t="shared" si="12"/>
        <v>0</v>
      </c>
      <c r="AN48" s="323">
        <f t="shared" si="13"/>
        <v>254.65785546791679</v>
      </c>
      <c r="AO48" s="323">
        <f t="shared" si="14"/>
        <v>3140.7802174376402</v>
      </c>
    </row>
    <row r="49" spans="1:42" x14ac:dyDescent="0.35">
      <c r="B49">
        <f t="shared" si="15"/>
        <v>29</v>
      </c>
      <c r="E49" s="475">
        <f t="shared" si="1"/>
        <v>3140.7802174376402</v>
      </c>
      <c r="F49" s="484">
        <f t="shared" si="8"/>
        <v>407452.56874866685</v>
      </c>
      <c r="G49" s="144"/>
      <c r="H49" s="485">
        <v>0</v>
      </c>
      <c r="I49" s="144">
        <f t="shared" si="16"/>
        <v>89021.530590492577</v>
      </c>
      <c r="J49" s="484">
        <f t="shared" si="9"/>
        <v>3069.7079513962949</v>
      </c>
      <c r="K49" s="144"/>
      <c r="L49" s="475">
        <f t="shared" si="2"/>
        <v>496474.09933915944</v>
      </c>
      <c r="M49" s="486">
        <f t="shared" si="10"/>
        <v>2275.5062886378137</v>
      </c>
      <c r="O49" s="487">
        <f t="shared" si="3"/>
        <v>865.27392879982654</v>
      </c>
      <c r="AJ49" s="323">
        <f t="shared" si="6"/>
        <v>3395.438072905557</v>
      </c>
      <c r="AK49" s="323">
        <f t="shared" si="11"/>
        <v>0</v>
      </c>
      <c r="AL49" s="323">
        <f t="shared" si="7"/>
        <v>254.65785546791679</v>
      </c>
      <c r="AM49" s="323">
        <f t="shared" si="12"/>
        <v>0</v>
      </c>
      <c r="AN49" s="323">
        <f t="shared" si="13"/>
        <v>254.65785546791679</v>
      </c>
      <c r="AO49" s="323">
        <f t="shared" si="14"/>
        <v>3140.7802174376402</v>
      </c>
    </row>
    <row r="50" spans="1:42" x14ac:dyDescent="0.35">
      <c r="B50">
        <f t="shared" si="15"/>
        <v>30</v>
      </c>
      <c r="E50" s="475">
        <f t="shared" si="1"/>
        <v>3140.7802174376402</v>
      </c>
      <c r="F50" s="484">
        <f t="shared" si="8"/>
        <v>407452.56874866685</v>
      </c>
      <c r="G50" s="144"/>
      <c r="H50" s="485">
        <v>0</v>
      </c>
      <c r="I50" s="144">
        <f t="shared" si="16"/>
        <v>92091.238541888873</v>
      </c>
      <c r="J50" s="484">
        <f t="shared" si="9"/>
        <v>3069.7079513962949</v>
      </c>
      <c r="K50" s="144"/>
      <c r="L50" s="475">
        <f t="shared" si="2"/>
        <v>499543.80729055573</v>
      </c>
      <c r="M50" s="486">
        <f t="shared" si="10"/>
        <v>2289.5757834150468</v>
      </c>
      <c r="O50" s="487">
        <f t="shared" si="3"/>
        <v>851.20443402259343</v>
      </c>
      <c r="AJ50" s="323">
        <f t="shared" si="6"/>
        <v>3395.438072905557</v>
      </c>
      <c r="AK50" s="323">
        <f t="shared" si="11"/>
        <v>0</v>
      </c>
      <c r="AL50" s="323">
        <f t="shared" si="7"/>
        <v>254.65785546791679</v>
      </c>
      <c r="AM50" s="323">
        <f t="shared" si="12"/>
        <v>0</v>
      </c>
      <c r="AN50" s="323">
        <f t="shared" si="13"/>
        <v>254.65785546791679</v>
      </c>
      <c r="AO50" s="323">
        <f t="shared" si="14"/>
        <v>3140.7802174376402</v>
      </c>
    </row>
    <row r="51" spans="1:42" x14ac:dyDescent="0.35">
      <c r="B51">
        <f t="shared" si="15"/>
        <v>31</v>
      </c>
      <c r="E51" s="475">
        <f t="shared" si="1"/>
        <v>3140.7802174376402</v>
      </c>
      <c r="F51" s="484">
        <f t="shared" si="8"/>
        <v>407452.56874866685</v>
      </c>
      <c r="G51" s="144"/>
      <c r="H51" s="485">
        <v>0</v>
      </c>
      <c r="I51" s="144">
        <f t="shared" si="16"/>
        <v>95160.94649328517</v>
      </c>
      <c r="J51" s="484">
        <f t="shared" si="9"/>
        <v>3069.7079513962949</v>
      </c>
      <c r="K51" s="144"/>
      <c r="L51" s="475">
        <f t="shared" si="2"/>
        <v>502613.51524195203</v>
      </c>
      <c r="M51" s="486">
        <f t="shared" si="10"/>
        <v>2303.6452781922799</v>
      </c>
      <c r="O51" s="487">
        <f t="shared" si="3"/>
        <v>837.13493924536033</v>
      </c>
      <c r="AJ51" s="323">
        <f t="shared" si="6"/>
        <v>3395.438072905557</v>
      </c>
      <c r="AK51" s="323">
        <f t="shared" si="11"/>
        <v>0</v>
      </c>
      <c r="AL51" s="323">
        <f t="shared" si="7"/>
        <v>254.65785546791679</v>
      </c>
      <c r="AM51" s="323">
        <f t="shared" si="12"/>
        <v>0</v>
      </c>
      <c r="AN51" s="323">
        <f t="shared" si="13"/>
        <v>254.65785546791679</v>
      </c>
      <c r="AO51" s="323">
        <f t="shared" si="14"/>
        <v>3140.7802174376402</v>
      </c>
    </row>
    <row r="52" spans="1:42" x14ac:dyDescent="0.35">
      <c r="B52">
        <f t="shared" si="15"/>
        <v>32</v>
      </c>
      <c r="E52" s="475">
        <f t="shared" si="1"/>
        <v>3140.7802174376402</v>
      </c>
      <c r="F52" s="484">
        <f t="shared" si="8"/>
        <v>407452.56874866685</v>
      </c>
      <c r="G52" s="144"/>
      <c r="H52" s="485">
        <v>0</v>
      </c>
      <c r="I52" s="144">
        <f t="shared" si="16"/>
        <v>98230.654444681466</v>
      </c>
      <c r="J52" s="484">
        <f t="shared" si="9"/>
        <v>3069.7079513962949</v>
      </c>
      <c r="K52" s="144"/>
      <c r="L52" s="475">
        <f t="shared" si="2"/>
        <v>505683.22319334833</v>
      </c>
      <c r="M52" s="486">
        <f t="shared" si="10"/>
        <v>2317.7147729695125</v>
      </c>
      <c r="O52" s="487">
        <f t="shared" si="3"/>
        <v>823.06544446812768</v>
      </c>
      <c r="AJ52" s="323">
        <f t="shared" si="6"/>
        <v>3395.438072905557</v>
      </c>
      <c r="AK52" s="323">
        <f t="shared" si="11"/>
        <v>0</v>
      </c>
      <c r="AL52" s="323">
        <f t="shared" si="7"/>
        <v>254.65785546791679</v>
      </c>
      <c r="AM52" s="323">
        <f t="shared" si="12"/>
        <v>0</v>
      </c>
      <c r="AN52" s="323">
        <f t="shared" si="13"/>
        <v>254.65785546791679</v>
      </c>
      <c r="AO52" s="323">
        <f t="shared" si="14"/>
        <v>3140.7802174376402</v>
      </c>
    </row>
    <row r="53" spans="1:42" x14ac:dyDescent="0.35">
      <c r="B53">
        <f t="shared" si="15"/>
        <v>33</v>
      </c>
      <c r="E53" s="475">
        <f t="shared" si="1"/>
        <v>3140.7802174376402</v>
      </c>
      <c r="F53" s="484">
        <f t="shared" si="8"/>
        <v>407452.56874866685</v>
      </c>
      <c r="G53" s="144"/>
      <c r="H53" s="485">
        <v>0</v>
      </c>
      <c r="I53" s="144">
        <f t="shared" si="16"/>
        <v>101300.36239607776</v>
      </c>
      <c r="J53" s="484">
        <f t="shared" si="9"/>
        <v>3069.7079513962949</v>
      </c>
      <c r="K53" s="144"/>
      <c r="L53" s="475">
        <f t="shared" si="2"/>
        <v>508752.93114474462</v>
      </c>
      <c r="M53" s="486">
        <f t="shared" si="10"/>
        <v>2331.7842677467456</v>
      </c>
      <c r="O53" s="487">
        <f t="shared" si="3"/>
        <v>808.99594969089458</v>
      </c>
      <c r="AJ53" s="323">
        <f t="shared" si="6"/>
        <v>3395.438072905557</v>
      </c>
      <c r="AK53" s="323">
        <f t="shared" si="11"/>
        <v>0</v>
      </c>
      <c r="AL53" s="323">
        <f t="shared" si="7"/>
        <v>254.65785546791679</v>
      </c>
      <c r="AM53" s="323">
        <f t="shared" si="12"/>
        <v>0</v>
      </c>
      <c r="AN53" s="323">
        <f t="shared" si="13"/>
        <v>254.65785546791679</v>
      </c>
      <c r="AO53" s="323">
        <f t="shared" si="14"/>
        <v>3140.7802174376402</v>
      </c>
    </row>
    <row r="54" spans="1:42" x14ac:dyDescent="0.35">
      <c r="B54">
        <f t="shared" si="15"/>
        <v>34</v>
      </c>
      <c r="E54" s="475">
        <f t="shared" si="1"/>
        <v>3140.7802174376402</v>
      </c>
      <c r="F54" s="484">
        <f t="shared" si="8"/>
        <v>407452.56874866685</v>
      </c>
      <c r="G54" s="144"/>
      <c r="H54" s="485">
        <v>0</v>
      </c>
      <c r="I54" s="144">
        <f t="shared" si="16"/>
        <v>104370.07034747406</v>
      </c>
      <c r="J54" s="484">
        <f t="shared" si="9"/>
        <v>3069.7079513962949</v>
      </c>
      <c r="K54" s="144"/>
      <c r="L54" s="475">
        <f t="shared" si="2"/>
        <v>511822.63909614092</v>
      </c>
      <c r="M54" s="486">
        <f t="shared" si="10"/>
        <v>2345.8537625239787</v>
      </c>
      <c r="O54" s="487">
        <f t="shared" si="3"/>
        <v>794.92645491366147</v>
      </c>
      <c r="AJ54" s="323">
        <f t="shared" si="6"/>
        <v>3395.438072905557</v>
      </c>
      <c r="AK54" s="323">
        <f t="shared" si="11"/>
        <v>0</v>
      </c>
      <c r="AL54" s="323">
        <f t="shared" si="7"/>
        <v>254.65785546791679</v>
      </c>
      <c r="AM54" s="323">
        <f t="shared" si="12"/>
        <v>0</v>
      </c>
      <c r="AN54" s="323">
        <f t="shared" si="13"/>
        <v>254.65785546791679</v>
      </c>
      <c r="AO54" s="323">
        <f t="shared" si="14"/>
        <v>3140.7802174376402</v>
      </c>
    </row>
    <row r="55" spans="1:42" x14ac:dyDescent="0.35">
      <c r="B55">
        <f t="shared" si="15"/>
        <v>35</v>
      </c>
      <c r="E55" s="475">
        <f t="shared" si="1"/>
        <v>3140.7802174376402</v>
      </c>
      <c r="F55" s="484">
        <f t="shared" si="8"/>
        <v>407452.56874866685</v>
      </c>
      <c r="G55" s="144"/>
      <c r="H55" s="485">
        <v>0</v>
      </c>
      <c r="I55" s="144">
        <f t="shared" si="16"/>
        <v>107439.77829887035</v>
      </c>
      <c r="J55" s="484">
        <f t="shared" si="9"/>
        <v>3069.7079513962949</v>
      </c>
      <c r="K55" s="144"/>
      <c r="L55" s="475">
        <f t="shared" si="2"/>
        <v>514892.34704753722</v>
      </c>
      <c r="M55" s="486">
        <f t="shared" si="10"/>
        <v>2359.9232573012118</v>
      </c>
      <c r="O55" s="487">
        <f t="shared" si="3"/>
        <v>780.85696013642837</v>
      </c>
      <c r="AJ55" s="323">
        <f t="shared" si="6"/>
        <v>3395.438072905557</v>
      </c>
      <c r="AK55" s="323">
        <f t="shared" si="11"/>
        <v>0</v>
      </c>
      <c r="AL55" s="323">
        <f t="shared" si="7"/>
        <v>254.65785546791679</v>
      </c>
      <c r="AM55" s="323">
        <f t="shared" si="12"/>
        <v>0</v>
      </c>
      <c r="AN55" s="323">
        <f t="shared" si="13"/>
        <v>254.65785546791679</v>
      </c>
      <c r="AO55" s="323">
        <f t="shared" si="14"/>
        <v>3140.7802174376402</v>
      </c>
    </row>
    <row r="56" spans="1:42" x14ac:dyDescent="0.35">
      <c r="B56">
        <f t="shared" si="15"/>
        <v>36</v>
      </c>
      <c r="E56" s="475">
        <f t="shared" si="1"/>
        <v>3140.7802174376402</v>
      </c>
      <c r="F56" s="484">
        <f t="shared" si="8"/>
        <v>407452.56874866685</v>
      </c>
      <c r="G56" s="144"/>
      <c r="H56" s="485">
        <v>0</v>
      </c>
      <c r="I56" s="144">
        <f t="shared" si="16"/>
        <v>110509.48625026665</v>
      </c>
      <c r="J56" s="484">
        <f t="shared" si="9"/>
        <v>3069.7079513962949</v>
      </c>
      <c r="K56" s="144"/>
      <c r="L56" s="475">
        <f t="shared" si="2"/>
        <v>517962.05499893351</v>
      </c>
      <c r="M56" s="486">
        <f t="shared" si="10"/>
        <v>2373.9927520784449</v>
      </c>
      <c r="O56" s="487">
        <f t="shared" si="3"/>
        <v>766.78746535919527</v>
      </c>
      <c r="AJ56" s="323">
        <f t="shared" si="6"/>
        <v>3395.438072905557</v>
      </c>
      <c r="AK56" s="323">
        <f t="shared" si="11"/>
        <v>0</v>
      </c>
      <c r="AL56" s="323">
        <f t="shared" si="7"/>
        <v>254.65785546791679</v>
      </c>
      <c r="AM56" s="323">
        <f t="shared" si="12"/>
        <v>0</v>
      </c>
      <c r="AN56" s="323">
        <f t="shared" si="13"/>
        <v>254.65785546791679</v>
      </c>
      <c r="AO56" s="323">
        <f t="shared" si="14"/>
        <v>3140.7802174376402</v>
      </c>
      <c r="AP56" s="387">
        <f>SUM(AO45:AO56)-Y22</f>
        <v>0</v>
      </c>
    </row>
    <row r="57" spans="1:42" x14ac:dyDescent="0.35">
      <c r="A57">
        <f>A45+1</f>
        <v>4</v>
      </c>
      <c r="B57">
        <f t="shared" si="15"/>
        <v>37</v>
      </c>
      <c r="E57" s="475">
        <f t="shared" si="1"/>
        <v>3140.7802174376402</v>
      </c>
      <c r="F57" s="484">
        <f t="shared" si="8"/>
        <v>407452.56874866685</v>
      </c>
      <c r="G57" s="144"/>
      <c r="H57" s="485">
        <v>0</v>
      </c>
      <c r="I57" s="144">
        <f t="shared" si="16"/>
        <v>113579.19420166295</v>
      </c>
      <c r="J57" s="484">
        <f t="shared" si="9"/>
        <v>3069.7079513962949</v>
      </c>
      <c r="K57" s="144"/>
      <c r="L57" s="475">
        <f t="shared" si="2"/>
        <v>521031.76295032981</v>
      </c>
      <c r="M57" s="486">
        <f t="shared" si="10"/>
        <v>2388.062246855678</v>
      </c>
      <c r="O57" s="487">
        <f t="shared" si="3"/>
        <v>752.71797058196216</v>
      </c>
      <c r="AJ57" s="323">
        <f t="shared" si="6"/>
        <v>3395.438072905557</v>
      </c>
      <c r="AK57" s="323">
        <f t="shared" si="11"/>
        <v>0</v>
      </c>
      <c r="AL57" s="323">
        <f t="shared" si="7"/>
        <v>254.65785546791679</v>
      </c>
      <c r="AM57" s="323">
        <f t="shared" si="12"/>
        <v>0</v>
      </c>
      <c r="AN57" s="323">
        <f t="shared" si="13"/>
        <v>254.65785546791679</v>
      </c>
      <c r="AO57" s="323">
        <f t="shared" si="14"/>
        <v>3140.7802174376402</v>
      </c>
    </row>
    <row r="58" spans="1:42" x14ac:dyDescent="0.35">
      <c r="B58">
        <f t="shared" si="15"/>
        <v>38</v>
      </c>
      <c r="E58" s="475">
        <f t="shared" si="1"/>
        <v>3140.7802174376402</v>
      </c>
      <c r="F58" s="484">
        <f t="shared" si="8"/>
        <v>407452.56874866685</v>
      </c>
      <c r="G58" s="144"/>
      <c r="H58" s="485">
        <v>0</v>
      </c>
      <c r="I58" s="144">
        <f t="shared" si="16"/>
        <v>116648.90215305924</v>
      </c>
      <c r="J58" s="484">
        <f t="shared" si="9"/>
        <v>3069.7079513962949</v>
      </c>
      <c r="K58" s="144"/>
      <c r="L58" s="475">
        <f t="shared" si="2"/>
        <v>524101.4709017261</v>
      </c>
      <c r="M58" s="486">
        <f t="shared" si="10"/>
        <v>2402.1317416329107</v>
      </c>
      <c r="O58" s="487">
        <f t="shared" si="3"/>
        <v>738.64847580472951</v>
      </c>
      <c r="AJ58" s="323">
        <f t="shared" si="6"/>
        <v>3395.438072905557</v>
      </c>
      <c r="AK58" s="323">
        <f t="shared" si="11"/>
        <v>0</v>
      </c>
      <c r="AL58" s="323">
        <f t="shared" si="7"/>
        <v>254.65785546791679</v>
      </c>
      <c r="AM58" s="323">
        <f t="shared" si="12"/>
        <v>0</v>
      </c>
      <c r="AN58" s="323">
        <f t="shared" si="13"/>
        <v>254.65785546791679</v>
      </c>
      <c r="AO58" s="323">
        <f t="shared" si="14"/>
        <v>3140.7802174376402</v>
      </c>
    </row>
    <row r="59" spans="1:42" x14ac:dyDescent="0.35">
      <c r="B59">
        <f t="shared" si="15"/>
        <v>39</v>
      </c>
      <c r="E59" s="475">
        <f t="shared" si="1"/>
        <v>3140.7802174376402</v>
      </c>
      <c r="F59" s="484">
        <f t="shared" si="8"/>
        <v>407452.56874866685</v>
      </c>
      <c r="G59" s="144"/>
      <c r="H59" s="485">
        <v>0</v>
      </c>
      <c r="I59" s="144">
        <f t="shared" si="16"/>
        <v>119718.61010445554</v>
      </c>
      <c r="J59" s="484">
        <f t="shared" si="9"/>
        <v>3069.7079513962949</v>
      </c>
      <c r="K59" s="144"/>
      <c r="L59" s="475">
        <f t="shared" si="2"/>
        <v>527171.1788531224</v>
      </c>
      <c r="M59" s="486">
        <f t="shared" si="10"/>
        <v>2416.2012364101438</v>
      </c>
      <c r="O59" s="487">
        <f t="shared" si="3"/>
        <v>724.57898102749641</v>
      </c>
      <c r="AJ59" s="323">
        <f t="shared" si="6"/>
        <v>3395.438072905557</v>
      </c>
      <c r="AK59" s="323">
        <f t="shared" si="11"/>
        <v>0</v>
      </c>
      <c r="AL59" s="323">
        <f t="shared" si="7"/>
        <v>254.65785546791679</v>
      </c>
      <c r="AM59" s="323">
        <f t="shared" si="12"/>
        <v>0</v>
      </c>
      <c r="AN59" s="323">
        <f t="shared" si="13"/>
        <v>254.65785546791679</v>
      </c>
      <c r="AO59" s="323">
        <f t="shared" si="14"/>
        <v>3140.7802174376402</v>
      </c>
    </row>
    <row r="60" spans="1:42" x14ac:dyDescent="0.35">
      <c r="B60">
        <f t="shared" si="15"/>
        <v>40</v>
      </c>
      <c r="E60" s="475">
        <f t="shared" si="1"/>
        <v>3140.7802174376402</v>
      </c>
      <c r="F60" s="484">
        <f t="shared" si="8"/>
        <v>407452.56874866685</v>
      </c>
      <c r="G60" s="144"/>
      <c r="H60" s="485">
        <v>0</v>
      </c>
      <c r="I60" s="144">
        <f t="shared" si="16"/>
        <v>122788.31805585184</v>
      </c>
      <c r="J60" s="484">
        <f t="shared" si="9"/>
        <v>3069.7079513962949</v>
      </c>
      <c r="K60" s="144"/>
      <c r="L60" s="475">
        <f t="shared" si="2"/>
        <v>530240.88680451864</v>
      </c>
      <c r="M60" s="486">
        <f t="shared" si="10"/>
        <v>2430.2707311873764</v>
      </c>
      <c r="O60" s="487">
        <f t="shared" si="3"/>
        <v>710.50948625026376</v>
      </c>
      <c r="AJ60" s="323">
        <f t="shared" si="6"/>
        <v>3395.438072905557</v>
      </c>
      <c r="AK60" s="323">
        <f t="shared" si="11"/>
        <v>0</v>
      </c>
      <c r="AL60" s="323">
        <f t="shared" si="7"/>
        <v>254.65785546791679</v>
      </c>
      <c r="AM60" s="323">
        <f t="shared" si="12"/>
        <v>0</v>
      </c>
      <c r="AN60" s="323">
        <f t="shared" si="13"/>
        <v>254.65785546791679</v>
      </c>
      <c r="AO60" s="323">
        <f t="shared" si="14"/>
        <v>3140.7802174376402</v>
      </c>
    </row>
    <row r="61" spans="1:42" x14ac:dyDescent="0.35">
      <c r="B61">
        <f t="shared" si="15"/>
        <v>41</v>
      </c>
      <c r="E61" s="475">
        <f t="shared" si="1"/>
        <v>3140.7802174376402</v>
      </c>
      <c r="F61" s="484">
        <f t="shared" si="8"/>
        <v>407452.56874866685</v>
      </c>
      <c r="G61" s="144"/>
      <c r="H61" s="485">
        <v>0</v>
      </c>
      <c r="I61" s="144">
        <f t="shared" si="16"/>
        <v>125858.02600724813</v>
      </c>
      <c r="J61" s="484">
        <f t="shared" si="9"/>
        <v>3069.7079513962949</v>
      </c>
      <c r="K61" s="144"/>
      <c r="L61" s="475">
        <f t="shared" si="2"/>
        <v>533310.59475591499</v>
      </c>
      <c r="M61" s="486">
        <f t="shared" si="10"/>
        <v>2444.34022596461</v>
      </c>
      <c r="O61" s="487">
        <f t="shared" si="3"/>
        <v>696.4399914730302</v>
      </c>
      <c r="AJ61" s="323">
        <f t="shared" si="6"/>
        <v>3395.438072905557</v>
      </c>
      <c r="AK61" s="323">
        <f t="shared" si="11"/>
        <v>0</v>
      </c>
      <c r="AL61" s="323">
        <f t="shared" si="7"/>
        <v>254.65785546791679</v>
      </c>
      <c r="AM61" s="323">
        <f t="shared" si="12"/>
        <v>0</v>
      </c>
      <c r="AN61" s="323">
        <f t="shared" si="13"/>
        <v>254.65785546791679</v>
      </c>
      <c r="AO61" s="323">
        <f t="shared" si="14"/>
        <v>3140.7802174376402</v>
      </c>
    </row>
    <row r="62" spans="1:42" x14ac:dyDescent="0.35">
      <c r="B62">
        <f t="shared" si="15"/>
        <v>42</v>
      </c>
      <c r="E62" s="475">
        <f t="shared" si="1"/>
        <v>3140.7802174376402</v>
      </c>
      <c r="F62" s="484">
        <f t="shared" si="8"/>
        <v>407452.56874866685</v>
      </c>
      <c r="G62" s="144"/>
      <c r="H62" s="485">
        <v>0</v>
      </c>
      <c r="I62" s="144">
        <f t="shared" si="16"/>
        <v>128927.73395864443</v>
      </c>
      <c r="J62" s="484">
        <f t="shared" si="9"/>
        <v>3069.7079513962949</v>
      </c>
      <c r="K62" s="144"/>
      <c r="L62" s="475">
        <f t="shared" si="2"/>
        <v>536380.30270731123</v>
      </c>
      <c r="M62" s="486">
        <f t="shared" si="10"/>
        <v>2458.4097207418426</v>
      </c>
      <c r="O62" s="487">
        <f t="shared" si="3"/>
        <v>682.37049669579756</v>
      </c>
      <c r="AJ62" s="323">
        <f t="shared" si="6"/>
        <v>3395.438072905557</v>
      </c>
      <c r="AK62" s="323">
        <f t="shared" si="11"/>
        <v>0</v>
      </c>
      <c r="AL62" s="323">
        <f t="shared" si="7"/>
        <v>254.65785546791679</v>
      </c>
      <c r="AM62" s="323">
        <f t="shared" si="12"/>
        <v>0</v>
      </c>
      <c r="AN62" s="323">
        <f t="shared" si="13"/>
        <v>254.65785546791679</v>
      </c>
      <c r="AO62" s="323">
        <f t="shared" si="14"/>
        <v>3140.7802174376402</v>
      </c>
    </row>
    <row r="63" spans="1:42" x14ac:dyDescent="0.35">
      <c r="B63">
        <f t="shared" si="15"/>
        <v>43</v>
      </c>
      <c r="E63" s="475">
        <f t="shared" si="1"/>
        <v>3140.7802174376402</v>
      </c>
      <c r="F63" s="484">
        <f t="shared" si="8"/>
        <v>407452.56874866685</v>
      </c>
      <c r="G63" s="144"/>
      <c r="H63" s="485">
        <v>0</v>
      </c>
      <c r="I63" s="144">
        <f t="shared" si="16"/>
        <v>131997.44191004071</v>
      </c>
      <c r="J63" s="484">
        <f t="shared" si="9"/>
        <v>3069.7079513962949</v>
      </c>
      <c r="K63" s="144"/>
      <c r="L63" s="475">
        <f t="shared" si="2"/>
        <v>539450.01065870759</v>
      </c>
      <c r="M63" s="486">
        <f t="shared" si="10"/>
        <v>2472.4792155190762</v>
      </c>
      <c r="O63" s="487">
        <f t="shared" si="3"/>
        <v>668.301001918564</v>
      </c>
      <c r="AJ63" s="323">
        <f t="shared" si="6"/>
        <v>3395.438072905557</v>
      </c>
      <c r="AK63" s="323">
        <f t="shared" si="11"/>
        <v>0</v>
      </c>
      <c r="AL63" s="323">
        <f t="shared" si="7"/>
        <v>254.65785546791679</v>
      </c>
      <c r="AM63" s="323">
        <f t="shared" si="12"/>
        <v>0</v>
      </c>
      <c r="AN63" s="323">
        <f t="shared" si="13"/>
        <v>254.65785546791679</v>
      </c>
      <c r="AO63" s="323">
        <f t="shared" si="14"/>
        <v>3140.7802174376402</v>
      </c>
    </row>
    <row r="64" spans="1:42" x14ac:dyDescent="0.35">
      <c r="B64">
        <f t="shared" si="15"/>
        <v>44</v>
      </c>
      <c r="E64" s="475">
        <f t="shared" si="1"/>
        <v>3140.7802174376402</v>
      </c>
      <c r="F64" s="484">
        <f t="shared" si="8"/>
        <v>407452.56874866685</v>
      </c>
      <c r="G64" s="144"/>
      <c r="H64" s="485">
        <v>0</v>
      </c>
      <c r="I64" s="144">
        <f t="shared" si="16"/>
        <v>135067.14986143701</v>
      </c>
      <c r="J64" s="484">
        <f t="shared" si="9"/>
        <v>3069.7079513962949</v>
      </c>
      <c r="K64" s="144"/>
      <c r="L64" s="475">
        <f t="shared" si="2"/>
        <v>542519.71861010382</v>
      </c>
      <c r="M64" s="486">
        <f t="shared" si="10"/>
        <v>2486.5487102963089</v>
      </c>
      <c r="O64" s="487">
        <f t="shared" si="3"/>
        <v>654.23150714133135</v>
      </c>
      <c r="AJ64" s="323">
        <f t="shared" si="6"/>
        <v>3395.438072905557</v>
      </c>
      <c r="AK64" s="323">
        <f t="shared" si="11"/>
        <v>0</v>
      </c>
      <c r="AL64" s="323">
        <f t="shared" si="7"/>
        <v>254.65785546791679</v>
      </c>
      <c r="AM64" s="323">
        <f t="shared" si="12"/>
        <v>0</v>
      </c>
      <c r="AN64" s="323">
        <f t="shared" si="13"/>
        <v>254.65785546791679</v>
      </c>
      <c r="AO64" s="323">
        <f t="shared" si="14"/>
        <v>3140.7802174376402</v>
      </c>
    </row>
    <row r="65" spans="1:42" x14ac:dyDescent="0.35">
      <c r="B65">
        <f t="shared" si="15"/>
        <v>45</v>
      </c>
      <c r="E65" s="475">
        <f t="shared" si="1"/>
        <v>3140.7802174376402</v>
      </c>
      <c r="F65" s="484">
        <f t="shared" si="8"/>
        <v>407452.56874866685</v>
      </c>
      <c r="G65" s="144"/>
      <c r="H65" s="485">
        <v>0</v>
      </c>
      <c r="I65" s="144">
        <f t="shared" si="16"/>
        <v>138136.8578128333</v>
      </c>
      <c r="J65" s="484">
        <f t="shared" si="9"/>
        <v>3069.7079513962949</v>
      </c>
      <c r="K65" s="144"/>
      <c r="L65" s="475">
        <f t="shared" si="2"/>
        <v>545589.42656150018</v>
      </c>
      <c r="M65" s="486">
        <f t="shared" si="10"/>
        <v>2500.618205073542</v>
      </c>
      <c r="O65" s="487">
        <f t="shared" si="3"/>
        <v>640.16201236409825</v>
      </c>
      <c r="AJ65" s="323">
        <f t="shared" si="6"/>
        <v>3395.438072905557</v>
      </c>
      <c r="AK65" s="323">
        <f t="shared" si="11"/>
        <v>0</v>
      </c>
      <c r="AL65" s="323">
        <f t="shared" si="7"/>
        <v>254.65785546791679</v>
      </c>
      <c r="AM65" s="323">
        <f t="shared" si="12"/>
        <v>0</v>
      </c>
      <c r="AN65" s="323">
        <f t="shared" si="13"/>
        <v>254.65785546791679</v>
      </c>
      <c r="AO65" s="323">
        <f t="shared" si="14"/>
        <v>3140.7802174376402</v>
      </c>
    </row>
    <row r="66" spans="1:42" x14ac:dyDescent="0.35">
      <c r="B66">
        <f>B65+1</f>
        <v>46</v>
      </c>
      <c r="E66" s="475">
        <f t="shared" si="1"/>
        <v>3140.7802174376402</v>
      </c>
      <c r="F66" s="484">
        <f t="shared" si="8"/>
        <v>407452.56874866685</v>
      </c>
      <c r="G66" s="144"/>
      <c r="H66" s="485">
        <v>0</v>
      </c>
      <c r="I66" s="144">
        <f t="shared" si="16"/>
        <v>141206.5657642296</v>
      </c>
      <c r="J66" s="484">
        <f t="shared" si="9"/>
        <v>3069.7079513962949</v>
      </c>
      <c r="K66" s="144"/>
      <c r="L66" s="475">
        <f t="shared" si="2"/>
        <v>548659.13451289642</v>
      </c>
      <c r="M66" s="486">
        <f t="shared" si="10"/>
        <v>2514.6876998507746</v>
      </c>
      <c r="O66" s="487">
        <f t="shared" si="3"/>
        <v>626.0925175868656</v>
      </c>
      <c r="AJ66" s="323">
        <f t="shared" si="6"/>
        <v>3395.438072905557</v>
      </c>
      <c r="AK66" s="323">
        <f t="shared" si="11"/>
        <v>0</v>
      </c>
      <c r="AL66" s="323">
        <f t="shared" si="7"/>
        <v>254.65785546791679</v>
      </c>
      <c r="AM66" s="323">
        <f t="shared" si="12"/>
        <v>0</v>
      </c>
      <c r="AN66" s="323">
        <f t="shared" si="13"/>
        <v>254.65785546791679</v>
      </c>
      <c r="AO66" s="323">
        <f t="shared" si="14"/>
        <v>3140.7802174376402</v>
      </c>
    </row>
    <row r="67" spans="1:42" x14ac:dyDescent="0.35">
      <c r="B67">
        <f t="shared" si="15"/>
        <v>47</v>
      </c>
      <c r="E67" s="475">
        <f t="shared" si="1"/>
        <v>3140.7802174376402</v>
      </c>
      <c r="F67" s="484">
        <f t="shared" si="8"/>
        <v>407452.56874866685</v>
      </c>
      <c r="G67" s="144"/>
      <c r="H67" s="485">
        <v>0</v>
      </c>
      <c r="I67" s="144">
        <f t="shared" si="16"/>
        <v>144276.2737156259</v>
      </c>
      <c r="J67" s="484">
        <f t="shared" si="9"/>
        <v>3069.7079513962949</v>
      </c>
      <c r="K67" s="144"/>
      <c r="L67" s="475">
        <f t="shared" si="2"/>
        <v>551728.84246429277</v>
      </c>
      <c r="M67" s="486">
        <f t="shared" si="10"/>
        <v>2528.7571946280082</v>
      </c>
      <c r="O67" s="487">
        <f t="shared" si="3"/>
        <v>612.02302280963204</v>
      </c>
      <c r="AJ67" s="323">
        <f t="shared" si="6"/>
        <v>3395.438072905557</v>
      </c>
      <c r="AK67" s="323">
        <f t="shared" si="11"/>
        <v>0</v>
      </c>
      <c r="AL67" s="323">
        <f t="shared" si="7"/>
        <v>254.65785546791679</v>
      </c>
      <c r="AM67" s="323">
        <f t="shared" si="12"/>
        <v>0</v>
      </c>
      <c r="AN67" s="323">
        <f t="shared" si="13"/>
        <v>254.65785546791679</v>
      </c>
      <c r="AO67" s="323">
        <f t="shared" si="14"/>
        <v>3140.7802174376402</v>
      </c>
    </row>
    <row r="68" spans="1:42" x14ac:dyDescent="0.35">
      <c r="B68">
        <f t="shared" si="15"/>
        <v>48</v>
      </c>
      <c r="E68" s="475">
        <f t="shared" si="1"/>
        <v>3140.7802174376402</v>
      </c>
      <c r="F68" s="484">
        <f t="shared" si="8"/>
        <v>407452.56874866685</v>
      </c>
      <c r="G68" s="144"/>
      <c r="H68" s="485">
        <v>0</v>
      </c>
      <c r="I68" s="144">
        <f t="shared" si="16"/>
        <v>147345.98166702219</v>
      </c>
      <c r="J68" s="484">
        <f t="shared" si="9"/>
        <v>3069.7079513962949</v>
      </c>
      <c r="K68" s="144"/>
      <c r="L68" s="475">
        <f t="shared" si="2"/>
        <v>554798.55041568901</v>
      </c>
      <c r="M68" s="486">
        <f t="shared" si="10"/>
        <v>2542.8266894052408</v>
      </c>
      <c r="O68" s="487">
        <f t="shared" si="3"/>
        <v>597.95352803239939</v>
      </c>
      <c r="AJ68" s="323">
        <f t="shared" si="6"/>
        <v>3395.438072905557</v>
      </c>
      <c r="AK68" s="323">
        <f t="shared" si="11"/>
        <v>0</v>
      </c>
      <c r="AL68" s="323">
        <f t="shared" si="7"/>
        <v>254.65785546791679</v>
      </c>
      <c r="AM68" s="323">
        <f t="shared" si="12"/>
        <v>0</v>
      </c>
      <c r="AN68" s="323">
        <f t="shared" si="13"/>
        <v>254.65785546791679</v>
      </c>
      <c r="AO68" s="323">
        <f t="shared" si="14"/>
        <v>3140.7802174376402</v>
      </c>
      <c r="AP68" s="387">
        <f>SUM(AO57:AO68)-Y23</f>
        <v>0</v>
      </c>
    </row>
    <row r="69" spans="1:42" x14ac:dyDescent="0.35">
      <c r="A69">
        <f>A57+1</f>
        <v>5</v>
      </c>
      <c r="B69">
        <f t="shared" si="15"/>
        <v>49</v>
      </c>
      <c r="E69" s="475">
        <f t="shared" si="1"/>
        <v>3140.7802174376402</v>
      </c>
      <c r="F69" s="484">
        <f t="shared" si="8"/>
        <v>407452.56874866685</v>
      </c>
      <c r="G69" s="144"/>
      <c r="H69" s="485">
        <v>0</v>
      </c>
      <c r="I69" s="144">
        <f t="shared" si="16"/>
        <v>150415.68961841849</v>
      </c>
      <c r="J69" s="484">
        <f t="shared" si="9"/>
        <v>3069.7079513962949</v>
      </c>
      <c r="K69" s="144"/>
      <c r="L69" s="475">
        <f t="shared" si="2"/>
        <v>557868.25836708536</v>
      </c>
      <c r="M69" s="486">
        <f t="shared" si="10"/>
        <v>2556.8961841824739</v>
      </c>
      <c r="O69" s="487">
        <f t="shared" si="3"/>
        <v>583.88403325516629</v>
      </c>
      <c r="AJ69" s="323">
        <f t="shared" si="6"/>
        <v>3395.438072905557</v>
      </c>
      <c r="AK69" s="323">
        <f t="shared" si="11"/>
        <v>0</v>
      </c>
      <c r="AL69" s="323">
        <f t="shared" si="7"/>
        <v>254.65785546791679</v>
      </c>
      <c r="AM69" s="323">
        <f t="shared" si="12"/>
        <v>0</v>
      </c>
      <c r="AN69" s="323">
        <f t="shared" si="13"/>
        <v>254.65785546791679</v>
      </c>
      <c r="AO69" s="323">
        <f t="shared" si="14"/>
        <v>3140.7802174376402</v>
      </c>
    </row>
    <row r="70" spans="1:42" ht="19.350000000000001" customHeight="1" thickBot="1" x14ac:dyDescent="0.4">
      <c r="B70">
        <f t="shared" si="15"/>
        <v>50</v>
      </c>
      <c r="E70" s="475">
        <f t="shared" si="1"/>
        <v>3140.7802174376402</v>
      </c>
      <c r="F70" s="484">
        <f t="shared" si="8"/>
        <v>407452.56874866685</v>
      </c>
      <c r="G70" s="144"/>
      <c r="H70" s="485">
        <v>0</v>
      </c>
      <c r="I70" s="144">
        <f t="shared" si="16"/>
        <v>153485.39756981478</v>
      </c>
      <c r="J70" s="484">
        <f t="shared" si="9"/>
        <v>3069.7079513962949</v>
      </c>
      <c r="K70" s="144"/>
      <c r="L70" s="475">
        <f t="shared" si="2"/>
        <v>560937.9663184816</v>
      </c>
      <c r="M70" s="486">
        <f t="shared" si="10"/>
        <v>2570.965678959707</v>
      </c>
      <c r="O70" s="487">
        <f t="shared" si="3"/>
        <v>569.81453847793318</v>
      </c>
      <c r="T70" s="402"/>
      <c r="AJ70" s="323">
        <f t="shared" si="6"/>
        <v>3395.438072905557</v>
      </c>
      <c r="AK70" s="323">
        <f t="shared" si="11"/>
        <v>0</v>
      </c>
      <c r="AL70" s="323">
        <f t="shared" si="7"/>
        <v>254.65785546791679</v>
      </c>
      <c r="AM70" s="323">
        <f t="shared" si="12"/>
        <v>0</v>
      </c>
      <c r="AN70" s="323">
        <f t="shared" si="13"/>
        <v>254.65785546791679</v>
      </c>
      <c r="AO70" s="323">
        <f t="shared" si="14"/>
        <v>3140.7802174376402</v>
      </c>
    </row>
    <row r="71" spans="1:42" ht="15" customHeight="1" thickBot="1" x14ac:dyDescent="0.5">
      <c r="B71">
        <f t="shared" si="15"/>
        <v>51</v>
      </c>
      <c r="E71" s="475">
        <f t="shared" si="1"/>
        <v>3140.7802174376402</v>
      </c>
      <c r="F71" s="484">
        <f t="shared" si="8"/>
        <v>407452.56874866685</v>
      </c>
      <c r="G71" s="144"/>
      <c r="H71" s="485">
        <v>0</v>
      </c>
      <c r="I71" s="144">
        <f t="shared" si="16"/>
        <v>156555.10552121108</v>
      </c>
      <c r="J71" s="484">
        <f t="shared" si="9"/>
        <v>3069.7079513962949</v>
      </c>
      <c r="K71" s="144"/>
      <c r="L71" s="475">
        <f t="shared" si="2"/>
        <v>564007.67426987796</v>
      </c>
      <c r="M71" s="486">
        <f t="shared" si="10"/>
        <v>2585.0351737369401</v>
      </c>
      <c r="O71" s="487">
        <f t="shared" si="3"/>
        <v>555.74504370070008</v>
      </c>
      <c r="Q71" s="841" t="s">
        <v>224</v>
      </c>
      <c r="R71" s="842"/>
      <c r="T71" s="402"/>
      <c r="AJ71" s="323">
        <f t="shared" si="6"/>
        <v>3395.438072905557</v>
      </c>
      <c r="AK71" s="323">
        <f t="shared" si="11"/>
        <v>0</v>
      </c>
      <c r="AL71" s="323">
        <f t="shared" si="7"/>
        <v>254.65785546791679</v>
      </c>
      <c r="AM71" s="323">
        <f t="shared" si="12"/>
        <v>0</v>
      </c>
      <c r="AN71" s="323">
        <f t="shared" si="13"/>
        <v>254.65785546791679</v>
      </c>
      <c r="AO71" s="323">
        <f t="shared" si="14"/>
        <v>3140.7802174376402</v>
      </c>
    </row>
    <row r="72" spans="1:42" ht="14.25" x14ac:dyDescent="0.45">
      <c r="B72">
        <f t="shared" si="15"/>
        <v>52</v>
      </c>
      <c r="E72" s="475">
        <f t="shared" si="1"/>
        <v>3140.7802174376402</v>
      </c>
      <c r="F72" s="484">
        <f t="shared" si="8"/>
        <v>407452.56874866685</v>
      </c>
      <c r="G72" s="144"/>
      <c r="H72" s="485">
        <v>0</v>
      </c>
      <c r="I72" s="144">
        <f t="shared" si="16"/>
        <v>159624.81347260738</v>
      </c>
      <c r="J72" s="484">
        <f t="shared" si="9"/>
        <v>3069.7079513962949</v>
      </c>
      <c r="K72" s="144"/>
      <c r="L72" s="475">
        <f t="shared" si="2"/>
        <v>567077.38222127419</v>
      </c>
      <c r="M72" s="486">
        <f t="shared" si="10"/>
        <v>2599.1046685141728</v>
      </c>
      <c r="O72" s="487">
        <f t="shared" si="3"/>
        <v>541.67554892346743</v>
      </c>
      <c r="Q72" s="504"/>
      <c r="R72" s="505"/>
      <c r="AJ72" s="323">
        <f t="shared" si="6"/>
        <v>3395.438072905557</v>
      </c>
      <c r="AK72" s="323">
        <f t="shared" si="11"/>
        <v>0</v>
      </c>
      <c r="AL72" s="323">
        <f t="shared" si="7"/>
        <v>254.65785546791679</v>
      </c>
      <c r="AM72" s="323">
        <f t="shared" si="12"/>
        <v>0</v>
      </c>
      <c r="AN72" s="323">
        <f t="shared" si="13"/>
        <v>254.65785546791679</v>
      </c>
      <c r="AO72" s="323">
        <f t="shared" si="14"/>
        <v>3140.7802174376402</v>
      </c>
    </row>
    <row r="73" spans="1:42" ht="14.25" x14ac:dyDescent="0.45">
      <c r="B73">
        <f t="shared" si="15"/>
        <v>53</v>
      </c>
      <c r="E73" s="475">
        <f t="shared" si="1"/>
        <v>3140.7802174376402</v>
      </c>
      <c r="F73" s="484">
        <f t="shared" si="8"/>
        <v>407452.56874866685</v>
      </c>
      <c r="G73" s="144"/>
      <c r="H73" s="485">
        <v>0</v>
      </c>
      <c r="I73" s="144">
        <f t="shared" si="16"/>
        <v>162694.52142400367</v>
      </c>
      <c r="J73" s="484">
        <f t="shared" si="9"/>
        <v>3069.7079513962949</v>
      </c>
      <c r="K73" s="144"/>
      <c r="L73" s="475">
        <f t="shared" si="2"/>
        <v>570147.09017267055</v>
      </c>
      <c r="M73" s="486">
        <f t="shared" si="10"/>
        <v>2613.1741632914063</v>
      </c>
      <c r="O73" s="487">
        <f t="shared" si="3"/>
        <v>527.60605414623387</v>
      </c>
      <c r="Q73" s="506" t="s">
        <v>225</v>
      </c>
      <c r="R73" s="507">
        <f>FV($C$8,5,,-$C$5)</f>
        <v>1459983.4828800005</v>
      </c>
      <c r="T73" s="402"/>
      <c r="AJ73" s="323">
        <f t="shared" si="6"/>
        <v>3395.438072905557</v>
      </c>
      <c r="AK73" s="323">
        <f t="shared" si="11"/>
        <v>0</v>
      </c>
      <c r="AL73" s="323">
        <f t="shared" si="7"/>
        <v>254.65785546791679</v>
      </c>
      <c r="AM73" s="323">
        <f t="shared" si="12"/>
        <v>0</v>
      </c>
      <c r="AN73" s="323">
        <f t="shared" si="13"/>
        <v>254.65785546791679</v>
      </c>
      <c r="AO73" s="323">
        <f t="shared" si="14"/>
        <v>3140.7802174376402</v>
      </c>
    </row>
    <row r="74" spans="1:42" ht="14.25" x14ac:dyDescent="0.45">
      <c r="B74">
        <f t="shared" si="15"/>
        <v>54</v>
      </c>
      <c r="E74" s="475">
        <f t="shared" si="1"/>
        <v>3140.7802174376402</v>
      </c>
      <c r="F74" s="484">
        <f t="shared" si="8"/>
        <v>407452.56874866685</v>
      </c>
      <c r="G74" s="144"/>
      <c r="H74" s="485">
        <v>0</v>
      </c>
      <c r="I74" s="144">
        <f t="shared" si="16"/>
        <v>165764.22937539997</v>
      </c>
      <c r="J74" s="484">
        <f t="shared" si="9"/>
        <v>3069.7079513962949</v>
      </c>
      <c r="K74" s="144"/>
      <c r="L74" s="475">
        <f t="shared" si="2"/>
        <v>573216.79812406679</v>
      </c>
      <c r="M74" s="486">
        <f t="shared" si="10"/>
        <v>2627.243658068639</v>
      </c>
      <c r="O74" s="487">
        <f t="shared" si="3"/>
        <v>513.53655936900122</v>
      </c>
      <c r="Q74" s="506" t="s">
        <v>226</v>
      </c>
      <c r="R74" s="508">
        <f>-$C$7</f>
        <v>-960000</v>
      </c>
      <c r="T74" s="402"/>
      <c r="AJ74" s="323">
        <f t="shared" si="6"/>
        <v>3395.438072905557</v>
      </c>
      <c r="AK74" s="323">
        <f t="shared" si="11"/>
        <v>0</v>
      </c>
      <c r="AL74" s="323">
        <f t="shared" si="7"/>
        <v>254.65785546791679</v>
      </c>
      <c r="AM74" s="323">
        <f t="shared" si="12"/>
        <v>0</v>
      </c>
      <c r="AN74" s="323">
        <f t="shared" si="13"/>
        <v>254.65785546791679</v>
      </c>
      <c r="AO74" s="323">
        <f t="shared" si="14"/>
        <v>3140.7802174376402</v>
      </c>
    </row>
    <row r="75" spans="1:42" ht="14.25" x14ac:dyDescent="0.45">
      <c r="B75">
        <f t="shared" si="15"/>
        <v>55</v>
      </c>
      <c r="E75" s="475">
        <f t="shared" si="1"/>
        <v>3140.7802174376402</v>
      </c>
      <c r="F75" s="484">
        <f t="shared" si="8"/>
        <v>407452.56874866685</v>
      </c>
      <c r="G75" s="144"/>
      <c r="H75" s="485">
        <v>0</v>
      </c>
      <c r="I75" s="144">
        <f t="shared" si="16"/>
        <v>168833.93732679627</v>
      </c>
      <c r="J75" s="484">
        <f t="shared" si="9"/>
        <v>3069.7079513962949</v>
      </c>
      <c r="K75" s="144"/>
      <c r="L75" s="475">
        <f t="shared" si="2"/>
        <v>576286.50607546314</v>
      </c>
      <c r="M75" s="486">
        <f t="shared" si="10"/>
        <v>2641.3131528458721</v>
      </c>
      <c r="O75" s="487">
        <f t="shared" si="3"/>
        <v>499.46706459176812</v>
      </c>
      <c r="Q75" s="506" t="s">
        <v>227</v>
      </c>
      <c r="R75" s="507">
        <f>F80</f>
        <v>407452.56874866685</v>
      </c>
      <c r="T75" s="402"/>
      <c r="AJ75" s="323">
        <f t="shared" si="6"/>
        <v>3395.438072905557</v>
      </c>
      <c r="AK75" s="323">
        <f t="shared" si="11"/>
        <v>0</v>
      </c>
      <c r="AL75" s="323">
        <f t="shared" si="7"/>
        <v>254.65785546791679</v>
      </c>
      <c r="AM75" s="323">
        <f t="shared" si="12"/>
        <v>0</v>
      </c>
      <c r="AN75" s="323">
        <f t="shared" si="13"/>
        <v>254.65785546791679</v>
      </c>
      <c r="AO75" s="323">
        <f t="shared" si="14"/>
        <v>3140.7802174376402</v>
      </c>
    </row>
    <row r="76" spans="1:42" ht="14.65" thickBot="1" x14ac:dyDescent="0.5">
      <c r="B76">
        <f t="shared" si="15"/>
        <v>56</v>
      </c>
      <c r="E76" s="475">
        <f t="shared" si="1"/>
        <v>3140.7802174376402</v>
      </c>
      <c r="F76" s="484">
        <f t="shared" si="8"/>
        <v>407452.56874866685</v>
      </c>
      <c r="G76" s="144"/>
      <c r="H76" s="485">
        <v>0</v>
      </c>
      <c r="I76" s="144">
        <f t="shared" si="16"/>
        <v>171903.64527819256</v>
      </c>
      <c r="J76" s="484">
        <f t="shared" si="9"/>
        <v>3069.7079513962949</v>
      </c>
      <c r="K76" s="144"/>
      <c r="L76" s="475">
        <f t="shared" si="2"/>
        <v>579356.21402685938</v>
      </c>
      <c r="M76" s="486">
        <f t="shared" si="10"/>
        <v>2655.3826476231052</v>
      </c>
      <c r="O76" s="487">
        <f t="shared" si="3"/>
        <v>485.39756981453502</v>
      </c>
      <c r="Q76" s="506" t="s">
        <v>228</v>
      </c>
      <c r="R76" s="507">
        <f>$I$18-(SUM(J21:J80))</f>
        <v>368364.95416755497</v>
      </c>
      <c r="T76" s="402"/>
      <c r="AJ76" s="323">
        <f t="shared" si="6"/>
        <v>3395.438072905557</v>
      </c>
      <c r="AK76" s="323">
        <f t="shared" si="11"/>
        <v>0</v>
      </c>
      <c r="AL76" s="323">
        <f t="shared" si="7"/>
        <v>254.65785546791679</v>
      </c>
      <c r="AM76" s="323">
        <f t="shared" si="12"/>
        <v>0</v>
      </c>
      <c r="AN76" s="323">
        <f t="shared" si="13"/>
        <v>254.65785546791679</v>
      </c>
      <c r="AO76" s="323">
        <f t="shared" si="14"/>
        <v>3140.7802174376402</v>
      </c>
    </row>
    <row r="77" spans="1:42" ht="14.65" thickBot="1" x14ac:dyDescent="0.5">
      <c r="B77">
        <f t="shared" si="15"/>
        <v>57</v>
      </c>
      <c r="E77" s="475">
        <f t="shared" si="1"/>
        <v>3140.7802174376402</v>
      </c>
      <c r="F77" s="484">
        <f t="shared" si="8"/>
        <v>407452.56874866685</v>
      </c>
      <c r="G77" s="144"/>
      <c r="H77" s="485">
        <v>0</v>
      </c>
      <c r="I77" s="144">
        <f t="shared" si="16"/>
        <v>174973.35322958886</v>
      </c>
      <c r="J77" s="484">
        <f t="shared" si="9"/>
        <v>3069.7079513962949</v>
      </c>
      <c r="K77" s="144"/>
      <c r="L77" s="475">
        <f t="shared" si="2"/>
        <v>582425.92197825573</v>
      </c>
      <c r="M77" s="486">
        <f t="shared" si="10"/>
        <v>2669.4521424003383</v>
      </c>
      <c r="O77" s="487">
        <f t="shared" si="3"/>
        <v>471.32807503730191</v>
      </c>
      <c r="Q77" s="506" t="s">
        <v>175</v>
      </c>
      <c r="R77" s="509">
        <f>SUM(R73:R76)</f>
        <v>1275801.0057962225</v>
      </c>
      <c r="T77" s="402"/>
      <c r="AJ77" s="323">
        <f t="shared" si="6"/>
        <v>3395.438072905557</v>
      </c>
      <c r="AK77" s="323">
        <f t="shared" si="11"/>
        <v>0</v>
      </c>
      <c r="AL77" s="323">
        <f t="shared" si="7"/>
        <v>254.65785546791679</v>
      </c>
      <c r="AM77" s="323">
        <f t="shared" si="12"/>
        <v>0</v>
      </c>
      <c r="AN77" s="323">
        <f t="shared" si="13"/>
        <v>254.65785546791679</v>
      </c>
      <c r="AO77" s="323">
        <f t="shared" si="14"/>
        <v>3140.7802174376402</v>
      </c>
    </row>
    <row r="78" spans="1:42" ht="14.25" x14ac:dyDescent="0.45">
      <c r="B78">
        <f t="shared" si="15"/>
        <v>58</v>
      </c>
      <c r="E78" s="475">
        <f t="shared" si="1"/>
        <v>3140.7802174376402</v>
      </c>
      <c r="F78" s="484">
        <f t="shared" si="8"/>
        <v>407452.56874866685</v>
      </c>
      <c r="G78" s="144"/>
      <c r="H78" s="485">
        <v>0</v>
      </c>
      <c r="I78" s="144">
        <f t="shared" si="16"/>
        <v>178043.06118098515</v>
      </c>
      <c r="J78" s="484">
        <f t="shared" si="9"/>
        <v>3069.7079513962949</v>
      </c>
      <c r="K78" s="144"/>
      <c r="L78" s="475">
        <f t="shared" si="2"/>
        <v>585495.62992965197</v>
      </c>
      <c r="M78" s="486">
        <f t="shared" si="10"/>
        <v>2683.5216371775709</v>
      </c>
      <c r="O78" s="487">
        <f t="shared" si="3"/>
        <v>457.25858026006927</v>
      </c>
      <c r="Q78" s="506"/>
      <c r="R78" s="510">
        <f>(R77-$C$5)/$C$5</f>
        <v>6.3167504830185406E-2</v>
      </c>
      <c r="T78" s="402"/>
      <c r="AJ78" s="323">
        <f t="shared" si="6"/>
        <v>3395.438072905557</v>
      </c>
      <c r="AK78" s="323">
        <f t="shared" si="11"/>
        <v>0</v>
      </c>
      <c r="AL78" s="323">
        <f t="shared" si="7"/>
        <v>254.65785546791679</v>
      </c>
      <c r="AM78" s="323">
        <f t="shared" si="12"/>
        <v>0</v>
      </c>
      <c r="AN78" s="323">
        <f t="shared" si="13"/>
        <v>254.65785546791679</v>
      </c>
      <c r="AO78" s="323">
        <f t="shared" si="14"/>
        <v>3140.7802174376402</v>
      </c>
    </row>
    <row r="79" spans="1:42" ht="28.5" x14ac:dyDescent="0.45">
      <c r="B79">
        <f t="shared" si="15"/>
        <v>59</v>
      </c>
      <c r="E79" s="475">
        <f t="shared" si="1"/>
        <v>3140.7802174376402</v>
      </c>
      <c r="F79" s="484">
        <f t="shared" si="8"/>
        <v>407452.56874866685</v>
      </c>
      <c r="G79" s="144"/>
      <c r="H79" s="485">
        <v>0</v>
      </c>
      <c r="I79" s="144">
        <f t="shared" si="16"/>
        <v>181112.76913238145</v>
      </c>
      <c r="J79" s="484">
        <f t="shared" si="9"/>
        <v>3069.7079513962949</v>
      </c>
      <c r="K79" s="144"/>
      <c r="L79" s="475">
        <f t="shared" si="2"/>
        <v>588565.33788104833</v>
      </c>
      <c r="M79" s="486">
        <f t="shared" si="10"/>
        <v>2697.5911319548045</v>
      </c>
      <c r="O79" s="487">
        <f t="shared" si="3"/>
        <v>443.18908548283571</v>
      </c>
      <c r="Q79" s="511" t="s">
        <v>178</v>
      </c>
      <c r="R79" s="507">
        <f>SUM(J21:J80)</f>
        <v>184182.47708377775</v>
      </c>
      <c r="T79" s="402"/>
      <c r="AJ79" s="323">
        <f t="shared" si="6"/>
        <v>3395.438072905557</v>
      </c>
      <c r="AK79" s="323">
        <f t="shared" si="11"/>
        <v>0</v>
      </c>
      <c r="AL79" s="323">
        <f t="shared" si="7"/>
        <v>254.65785546791679</v>
      </c>
      <c r="AM79" s="323">
        <f t="shared" si="12"/>
        <v>0</v>
      </c>
      <c r="AN79" s="323">
        <f t="shared" si="13"/>
        <v>254.65785546791679</v>
      </c>
      <c r="AO79" s="323">
        <f t="shared" si="14"/>
        <v>3140.7802174376402</v>
      </c>
    </row>
    <row r="80" spans="1:42" ht="14.65" thickBot="1" x14ac:dyDescent="0.5">
      <c r="B80" s="512">
        <f t="shared" si="15"/>
        <v>60</v>
      </c>
      <c r="C80" s="512"/>
      <c r="D80" s="512"/>
      <c r="E80" s="513">
        <f t="shared" si="1"/>
        <v>3140.7802174376402</v>
      </c>
      <c r="F80" s="514">
        <f t="shared" si="8"/>
        <v>407452.56874866685</v>
      </c>
      <c r="G80" s="515"/>
      <c r="H80" s="516">
        <v>0</v>
      </c>
      <c r="I80" s="515">
        <f t="shared" si="16"/>
        <v>184182.47708377775</v>
      </c>
      <c r="J80" s="514">
        <f t="shared" si="9"/>
        <v>3069.7079513962949</v>
      </c>
      <c r="K80" s="515"/>
      <c r="L80" s="513">
        <f>$F$17+I80</f>
        <v>591635.04583244456</v>
      </c>
      <c r="M80" s="517">
        <f t="shared" si="10"/>
        <v>2711.6606267320371</v>
      </c>
      <c r="N80" s="512"/>
      <c r="O80" s="518">
        <f t="shared" si="3"/>
        <v>429.11959070560306</v>
      </c>
      <c r="Q80" s="519" t="s">
        <v>182</v>
      </c>
      <c r="R80" s="520">
        <f>SUM(O21:O80)</f>
        <v>50650.181198038634</v>
      </c>
      <c r="T80" s="402"/>
      <c r="AJ80" s="323">
        <f t="shared" si="6"/>
        <v>3395.438072905557</v>
      </c>
      <c r="AK80" s="323">
        <f t="shared" si="11"/>
        <v>0</v>
      </c>
      <c r="AL80" s="323">
        <f t="shared" si="7"/>
        <v>254.65785546791679</v>
      </c>
      <c r="AM80" s="323">
        <f t="shared" si="12"/>
        <v>0</v>
      </c>
      <c r="AN80" s="323">
        <f t="shared" si="13"/>
        <v>254.65785546791679</v>
      </c>
      <c r="AO80" s="323">
        <f t="shared" si="14"/>
        <v>3140.7802174376402</v>
      </c>
      <c r="AP80" s="387">
        <f>SUM(AO69:AO80)-Y24</f>
        <v>0</v>
      </c>
    </row>
    <row r="81" spans="1:42" x14ac:dyDescent="0.35">
      <c r="A81">
        <f>A69+1</f>
        <v>6</v>
      </c>
      <c r="B81">
        <f t="shared" si="15"/>
        <v>61</v>
      </c>
      <c r="E81" s="475">
        <f t="shared" si="1"/>
        <v>3140.7802174376402</v>
      </c>
      <c r="F81" s="484">
        <f t="shared" si="8"/>
        <v>407452.56874866685</v>
      </c>
      <c r="G81" s="144"/>
      <c r="H81" s="485">
        <v>0</v>
      </c>
      <c r="I81" s="144">
        <f t="shared" si="16"/>
        <v>187252.18503517404</v>
      </c>
      <c r="J81" s="484">
        <f t="shared" si="9"/>
        <v>3069.7079513962949</v>
      </c>
      <c r="K81" s="144"/>
      <c r="L81" s="475">
        <f t="shared" si="2"/>
        <v>594704.75378384092</v>
      </c>
      <c r="M81" s="486">
        <f t="shared" si="10"/>
        <v>2725.7301215092702</v>
      </c>
      <c r="O81" s="487">
        <f t="shared" si="3"/>
        <v>415.05009592836996</v>
      </c>
      <c r="AJ81" s="323">
        <f t="shared" si="6"/>
        <v>3395.438072905557</v>
      </c>
      <c r="AK81" s="323">
        <f t="shared" si="11"/>
        <v>0</v>
      </c>
      <c r="AL81" s="323">
        <f t="shared" si="7"/>
        <v>254.65785546791679</v>
      </c>
      <c r="AM81" s="323">
        <f t="shared" si="12"/>
        <v>0</v>
      </c>
      <c r="AN81" s="323">
        <f t="shared" si="13"/>
        <v>254.65785546791679</v>
      </c>
      <c r="AO81" s="323">
        <f t="shared" si="14"/>
        <v>3140.7802174376402</v>
      </c>
    </row>
    <row r="82" spans="1:42" x14ac:dyDescent="0.35">
      <c r="B82">
        <f t="shared" si="15"/>
        <v>62</v>
      </c>
      <c r="E82" s="475">
        <f t="shared" si="1"/>
        <v>3140.7802174376402</v>
      </c>
      <c r="F82" s="484">
        <f t="shared" si="8"/>
        <v>407452.56874866685</v>
      </c>
      <c r="G82" s="144"/>
      <c r="H82" s="485">
        <v>0</v>
      </c>
      <c r="I82" s="144">
        <f t="shared" si="16"/>
        <v>190321.89298657034</v>
      </c>
      <c r="J82" s="484">
        <f t="shared" si="9"/>
        <v>3069.7079513962949</v>
      </c>
      <c r="K82" s="144"/>
      <c r="L82" s="475">
        <f t="shared" si="2"/>
        <v>597774.46173523716</v>
      </c>
      <c r="M82" s="486">
        <f t="shared" si="10"/>
        <v>2739.7996162865034</v>
      </c>
      <c r="O82" s="487">
        <f t="shared" si="3"/>
        <v>400.98060115113685</v>
      </c>
      <c r="AJ82" s="323">
        <f t="shared" si="6"/>
        <v>3395.438072905557</v>
      </c>
      <c r="AK82" s="323">
        <f t="shared" si="11"/>
        <v>0</v>
      </c>
      <c r="AL82" s="323">
        <f t="shared" si="7"/>
        <v>254.65785546791679</v>
      </c>
      <c r="AM82" s="323">
        <f t="shared" si="12"/>
        <v>0</v>
      </c>
      <c r="AN82" s="323">
        <f t="shared" si="13"/>
        <v>254.65785546791679</v>
      </c>
      <c r="AO82" s="323">
        <f t="shared" si="14"/>
        <v>3140.7802174376402</v>
      </c>
    </row>
    <row r="83" spans="1:42" x14ac:dyDescent="0.35">
      <c r="B83">
        <f t="shared" si="15"/>
        <v>63</v>
      </c>
      <c r="E83" s="475">
        <f t="shared" si="1"/>
        <v>3140.7802174376402</v>
      </c>
      <c r="F83" s="484">
        <f t="shared" si="8"/>
        <v>407452.56874866685</v>
      </c>
      <c r="G83" s="144"/>
      <c r="H83" s="485">
        <v>0</v>
      </c>
      <c r="I83" s="144">
        <f t="shared" si="16"/>
        <v>193391.60093796664</v>
      </c>
      <c r="J83" s="484">
        <f t="shared" si="9"/>
        <v>3069.7079513962949</v>
      </c>
      <c r="K83" s="144"/>
      <c r="L83" s="475">
        <f t="shared" si="2"/>
        <v>600844.16968663351</v>
      </c>
      <c r="M83" s="486">
        <f t="shared" si="10"/>
        <v>2753.8691110637365</v>
      </c>
      <c r="O83" s="487">
        <f t="shared" si="3"/>
        <v>386.91110637390375</v>
      </c>
      <c r="AJ83" s="323">
        <f t="shared" si="6"/>
        <v>3395.438072905557</v>
      </c>
      <c r="AK83" s="323">
        <f t="shared" si="11"/>
        <v>0</v>
      </c>
      <c r="AL83" s="323">
        <f t="shared" si="7"/>
        <v>254.65785546791679</v>
      </c>
      <c r="AM83" s="323">
        <f t="shared" si="12"/>
        <v>0</v>
      </c>
      <c r="AN83" s="323">
        <f t="shared" si="13"/>
        <v>254.65785546791679</v>
      </c>
      <c r="AO83" s="323">
        <f t="shared" si="14"/>
        <v>3140.7802174376402</v>
      </c>
    </row>
    <row r="84" spans="1:42" x14ac:dyDescent="0.35">
      <c r="B84">
        <f t="shared" si="15"/>
        <v>64</v>
      </c>
      <c r="E84" s="475">
        <f t="shared" si="1"/>
        <v>3140.7802174376402</v>
      </c>
      <c r="F84" s="484">
        <f t="shared" si="8"/>
        <v>407452.56874866685</v>
      </c>
      <c r="G84" s="144"/>
      <c r="H84" s="485">
        <v>0</v>
      </c>
      <c r="I84" s="144">
        <f t="shared" si="16"/>
        <v>196461.30888936293</v>
      </c>
      <c r="J84" s="484">
        <f t="shared" si="9"/>
        <v>3069.7079513962949</v>
      </c>
      <c r="K84" s="144"/>
      <c r="L84" s="475">
        <f t="shared" si="2"/>
        <v>603913.87763802975</v>
      </c>
      <c r="M84" s="486">
        <f t="shared" si="10"/>
        <v>2767.9386058409691</v>
      </c>
      <c r="O84" s="487">
        <f t="shared" si="3"/>
        <v>372.8416115966711</v>
      </c>
      <c r="AJ84" s="323">
        <f t="shared" si="6"/>
        <v>3395.438072905557</v>
      </c>
      <c r="AK84" s="323">
        <f t="shared" si="11"/>
        <v>0</v>
      </c>
      <c r="AL84" s="323">
        <f t="shared" si="7"/>
        <v>254.65785546791679</v>
      </c>
      <c r="AM84" s="323">
        <f t="shared" si="12"/>
        <v>0</v>
      </c>
      <c r="AN84" s="323">
        <f t="shared" si="13"/>
        <v>254.65785546791679</v>
      </c>
      <c r="AO84" s="323">
        <f t="shared" si="14"/>
        <v>3140.7802174376402</v>
      </c>
    </row>
    <row r="85" spans="1:42" x14ac:dyDescent="0.35">
      <c r="B85">
        <f t="shared" si="15"/>
        <v>65</v>
      </c>
      <c r="E85" s="475">
        <f t="shared" ref="E85:E148" si="18">(F85*($E$12/12))</f>
        <v>3140.7802174376402</v>
      </c>
      <c r="F85" s="484">
        <f t="shared" si="8"/>
        <v>407452.56874866685</v>
      </c>
      <c r="G85" s="144"/>
      <c r="H85" s="485">
        <v>0</v>
      </c>
      <c r="I85" s="144">
        <f t="shared" si="16"/>
        <v>199531.01684075923</v>
      </c>
      <c r="J85" s="484">
        <f t="shared" si="9"/>
        <v>3069.7079513962949</v>
      </c>
      <c r="K85" s="144"/>
      <c r="L85" s="475">
        <f t="shared" ref="L85:L148" si="19">$F$17+I85</f>
        <v>606983.5855894261</v>
      </c>
      <c r="M85" s="486">
        <f t="shared" si="10"/>
        <v>2782.0081006182027</v>
      </c>
      <c r="O85" s="487">
        <f t="shared" ref="O85:O148" si="20">E85+H85-M85</f>
        <v>358.77211681943754</v>
      </c>
      <c r="AJ85" s="323">
        <f t="shared" ref="AJ85:AJ148" si="21">F85*(($E$9+$E$10)/12)</f>
        <v>3395.438072905557</v>
      </c>
      <c r="AK85" s="323">
        <f t="shared" si="11"/>
        <v>0</v>
      </c>
      <c r="AL85" s="323">
        <f t="shared" ref="AL85:AL148" si="22">F85*(-$E$11/12)</f>
        <v>254.65785546791679</v>
      </c>
      <c r="AM85" s="323">
        <f t="shared" si="12"/>
        <v>0</v>
      </c>
      <c r="AN85" s="323">
        <f t="shared" si="13"/>
        <v>254.65785546791679</v>
      </c>
      <c r="AO85" s="323">
        <f t="shared" si="14"/>
        <v>3140.7802174376402</v>
      </c>
    </row>
    <row r="86" spans="1:42" x14ac:dyDescent="0.35">
      <c r="B86">
        <f t="shared" si="15"/>
        <v>66</v>
      </c>
      <c r="E86" s="475">
        <f t="shared" si="18"/>
        <v>3140.7802174376402</v>
      </c>
      <c r="F86" s="484">
        <f t="shared" ref="F86:F149" si="23">$E$6</f>
        <v>407452.56874866685</v>
      </c>
      <c r="G86" s="144"/>
      <c r="H86" s="485">
        <v>0</v>
      </c>
      <c r="I86" s="144">
        <f t="shared" si="16"/>
        <v>202600.72479215552</v>
      </c>
      <c r="J86" s="484">
        <f t="shared" ref="J86:J149" si="24">$H$6/180</f>
        <v>3069.7079513962949</v>
      </c>
      <c r="K86" s="144"/>
      <c r="L86" s="475">
        <f t="shared" si="19"/>
        <v>610053.29354082234</v>
      </c>
      <c r="M86" s="486">
        <f t="shared" ref="M86:M149" si="25">(L86*(($M$9+$M$10+$M$11)/12))+($M$14)/12</f>
        <v>2796.0775953954353</v>
      </c>
      <c r="O86" s="487">
        <f t="shared" si="20"/>
        <v>344.70262204220489</v>
      </c>
      <c r="AJ86" s="323">
        <f t="shared" si="21"/>
        <v>3395.438072905557</v>
      </c>
      <c r="AK86" s="323">
        <f t="shared" ref="AK86:AK149" si="26">$I$17*(($H$9+$H$10)/12)</f>
        <v>0</v>
      </c>
      <c r="AL86" s="323">
        <f t="shared" si="22"/>
        <v>254.65785546791679</v>
      </c>
      <c r="AM86" s="323">
        <f t="shared" ref="AM86:AM149" si="27">$I$17*(-$H$11/12)</f>
        <v>0</v>
      </c>
      <c r="AN86" s="323">
        <f t="shared" ref="AN86:AN149" si="28">AL86+AM86</f>
        <v>254.65785546791679</v>
      </c>
      <c r="AO86" s="323">
        <f t="shared" ref="AO86:AO149" si="29">AJ86+AK86-AN86</f>
        <v>3140.7802174376402</v>
      </c>
    </row>
    <row r="87" spans="1:42" x14ac:dyDescent="0.35">
      <c r="B87">
        <f t="shared" ref="B87:B150" si="30">B86+1</f>
        <v>67</v>
      </c>
      <c r="E87" s="475">
        <f t="shared" si="18"/>
        <v>3140.7802174376402</v>
      </c>
      <c r="F87" s="484">
        <f t="shared" si="23"/>
        <v>407452.56874866685</v>
      </c>
      <c r="G87" s="144"/>
      <c r="H87" s="485">
        <v>0</v>
      </c>
      <c r="I87" s="144">
        <f t="shared" si="16"/>
        <v>205670.43274355182</v>
      </c>
      <c r="J87" s="484">
        <f t="shared" si="24"/>
        <v>3069.7079513962949</v>
      </c>
      <c r="K87" s="144"/>
      <c r="L87" s="475">
        <f t="shared" si="19"/>
        <v>613123.0014922187</v>
      </c>
      <c r="M87" s="486">
        <f t="shared" si="25"/>
        <v>2810.1470901726684</v>
      </c>
      <c r="O87" s="487">
        <f t="shared" si="20"/>
        <v>330.63312726497179</v>
      </c>
      <c r="AJ87" s="323">
        <f t="shared" si="21"/>
        <v>3395.438072905557</v>
      </c>
      <c r="AK87" s="323">
        <f t="shared" si="26"/>
        <v>0</v>
      </c>
      <c r="AL87" s="323">
        <f t="shared" si="22"/>
        <v>254.65785546791679</v>
      </c>
      <c r="AM87" s="323">
        <f t="shared" si="27"/>
        <v>0</v>
      </c>
      <c r="AN87" s="323">
        <f t="shared" si="28"/>
        <v>254.65785546791679</v>
      </c>
      <c r="AO87" s="323">
        <f t="shared" si="29"/>
        <v>3140.7802174376402</v>
      </c>
    </row>
    <row r="88" spans="1:42" x14ac:dyDescent="0.35">
      <c r="B88">
        <f t="shared" si="30"/>
        <v>68</v>
      </c>
      <c r="E88" s="475">
        <f t="shared" si="18"/>
        <v>3140.7802174376402</v>
      </c>
      <c r="F88" s="484">
        <f t="shared" si="23"/>
        <v>407452.56874866685</v>
      </c>
      <c r="G88" s="144"/>
      <c r="H88" s="485">
        <v>0</v>
      </c>
      <c r="I88" s="144">
        <f t="shared" ref="I88:I151" si="31">I87+J88</f>
        <v>208740.14069494812</v>
      </c>
      <c r="J88" s="484">
        <f t="shared" si="24"/>
        <v>3069.7079513962949</v>
      </c>
      <c r="K88" s="144"/>
      <c r="L88" s="475">
        <f t="shared" si="19"/>
        <v>616192.70944361493</v>
      </c>
      <c r="M88" s="486">
        <f t="shared" si="25"/>
        <v>2824.2165849499011</v>
      </c>
      <c r="O88" s="487">
        <f t="shared" si="20"/>
        <v>316.56363248773914</v>
      </c>
      <c r="AJ88" s="323">
        <f t="shared" si="21"/>
        <v>3395.438072905557</v>
      </c>
      <c r="AK88" s="323">
        <f t="shared" si="26"/>
        <v>0</v>
      </c>
      <c r="AL88" s="323">
        <f t="shared" si="22"/>
        <v>254.65785546791679</v>
      </c>
      <c r="AM88" s="323">
        <f t="shared" si="27"/>
        <v>0</v>
      </c>
      <c r="AN88" s="323">
        <f t="shared" si="28"/>
        <v>254.65785546791679</v>
      </c>
      <c r="AO88" s="323">
        <f t="shared" si="29"/>
        <v>3140.7802174376402</v>
      </c>
    </row>
    <row r="89" spans="1:42" x14ac:dyDescent="0.35">
      <c r="B89">
        <f>B88+1</f>
        <v>69</v>
      </c>
      <c r="E89" s="475">
        <f t="shared" si="18"/>
        <v>3140.7802174376402</v>
      </c>
      <c r="F89" s="484">
        <f t="shared" si="23"/>
        <v>407452.56874866685</v>
      </c>
      <c r="G89" s="144"/>
      <c r="H89" s="485">
        <v>0</v>
      </c>
      <c r="I89" s="144">
        <f t="shared" si="31"/>
        <v>211809.84864634441</v>
      </c>
      <c r="J89" s="484">
        <f t="shared" si="24"/>
        <v>3069.7079513962949</v>
      </c>
      <c r="K89" s="144"/>
      <c r="L89" s="475">
        <f t="shared" si="19"/>
        <v>619262.41739501129</v>
      </c>
      <c r="M89" s="486">
        <f t="shared" si="25"/>
        <v>2838.2860797271346</v>
      </c>
      <c r="O89" s="487">
        <f t="shared" si="20"/>
        <v>302.49413771050558</v>
      </c>
      <c r="AJ89" s="323">
        <f t="shared" si="21"/>
        <v>3395.438072905557</v>
      </c>
      <c r="AK89" s="323">
        <f t="shared" si="26"/>
        <v>0</v>
      </c>
      <c r="AL89" s="323">
        <f t="shared" si="22"/>
        <v>254.65785546791679</v>
      </c>
      <c r="AM89" s="323">
        <f t="shared" si="27"/>
        <v>0</v>
      </c>
      <c r="AN89" s="323">
        <f t="shared" si="28"/>
        <v>254.65785546791679</v>
      </c>
      <c r="AO89" s="323">
        <f t="shared" si="29"/>
        <v>3140.7802174376402</v>
      </c>
    </row>
    <row r="90" spans="1:42" x14ac:dyDescent="0.35">
      <c r="B90">
        <f t="shared" si="30"/>
        <v>70</v>
      </c>
      <c r="E90" s="475">
        <f t="shared" si="18"/>
        <v>3140.7802174376402</v>
      </c>
      <c r="F90" s="484">
        <f t="shared" si="23"/>
        <v>407452.56874866685</v>
      </c>
      <c r="G90" s="144"/>
      <c r="H90" s="485">
        <v>0</v>
      </c>
      <c r="I90" s="144">
        <f t="shared" si="31"/>
        <v>214879.55659774071</v>
      </c>
      <c r="J90" s="484">
        <f t="shared" si="24"/>
        <v>3069.7079513962949</v>
      </c>
      <c r="K90" s="144"/>
      <c r="L90" s="475">
        <f t="shared" si="19"/>
        <v>622332.12534640753</v>
      </c>
      <c r="M90" s="486">
        <f t="shared" si="25"/>
        <v>2852.3555745043673</v>
      </c>
      <c r="O90" s="487">
        <f t="shared" si="20"/>
        <v>288.42464293327293</v>
      </c>
      <c r="AJ90" s="323">
        <f t="shared" si="21"/>
        <v>3395.438072905557</v>
      </c>
      <c r="AK90" s="323">
        <f t="shared" si="26"/>
        <v>0</v>
      </c>
      <c r="AL90" s="323">
        <f t="shared" si="22"/>
        <v>254.65785546791679</v>
      </c>
      <c r="AM90" s="323">
        <f t="shared" si="27"/>
        <v>0</v>
      </c>
      <c r="AN90" s="323">
        <f t="shared" si="28"/>
        <v>254.65785546791679</v>
      </c>
      <c r="AO90" s="323">
        <f t="shared" si="29"/>
        <v>3140.7802174376402</v>
      </c>
    </row>
    <row r="91" spans="1:42" x14ac:dyDescent="0.35">
      <c r="B91">
        <f t="shared" si="30"/>
        <v>71</v>
      </c>
      <c r="E91" s="475">
        <f t="shared" si="18"/>
        <v>3140.7802174376402</v>
      </c>
      <c r="F91" s="484">
        <f t="shared" si="23"/>
        <v>407452.56874866685</v>
      </c>
      <c r="G91" s="144"/>
      <c r="H91" s="485">
        <v>0</v>
      </c>
      <c r="I91" s="144">
        <f t="shared" si="31"/>
        <v>217949.26454913701</v>
      </c>
      <c r="J91" s="484">
        <f t="shared" si="24"/>
        <v>3069.7079513962949</v>
      </c>
      <c r="K91" s="144"/>
      <c r="L91" s="475">
        <f t="shared" si="19"/>
        <v>625401.83329780388</v>
      </c>
      <c r="M91" s="486">
        <f t="shared" si="25"/>
        <v>2866.4250692816004</v>
      </c>
      <c r="O91" s="487">
        <f t="shared" si="20"/>
        <v>274.35514815603983</v>
      </c>
      <c r="AJ91" s="323">
        <f t="shared" si="21"/>
        <v>3395.438072905557</v>
      </c>
      <c r="AK91" s="323">
        <f t="shared" si="26"/>
        <v>0</v>
      </c>
      <c r="AL91" s="323">
        <f t="shared" si="22"/>
        <v>254.65785546791679</v>
      </c>
      <c r="AM91" s="323">
        <f t="shared" si="27"/>
        <v>0</v>
      </c>
      <c r="AN91" s="323">
        <f t="shared" si="28"/>
        <v>254.65785546791679</v>
      </c>
      <c r="AO91" s="323">
        <f t="shared" si="29"/>
        <v>3140.7802174376402</v>
      </c>
    </row>
    <row r="92" spans="1:42" x14ac:dyDescent="0.35">
      <c r="B92">
        <f t="shared" si="30"/>
        <v>72</v>
      </c>
      <c r="E92" s="475">
        <f t="shared" si="18"/>
        <v>3140.7802174376402</v>
      </c>
      <c r="F92" s="484">
        <f t="shared" si="23"/>
        <v>407452.56874866685</v>
      </c>
      <c r="G92" s="144"/>
      <c r="H92" s="485">
        <v>0</v>
      </c>
      <c r="I92" s="144">
        <f t="shared" si="31"/>
        <v>221018.9725005333</v>
      </c>
      <c r="J92" s="484">
        <f t="shared" si="24"/>
        <v>3069.7079513962949</v>
      </c>
      <c r="K92" s="144"/>
      <c r="L92" s="475">
        <f t="shared" si="19"/>
        <v>628471.54124920012</v>
      </c>
      <c r="M92" s="486">
        <f t="shared" si="25"/>
        <v>2880.4945640588335</v>
      </c>
      <c r="O92" s="487">
        <f t="shared" si="20"/>
        <v>260.28565337880673</v>
      </c>
      <c r="AJ92" s="323">
        <f t="shared" si="21"/>
        <v>3395.438072905557</v>
      </c>
      <c r="AK92" s="323">
        <f t="shared" si="26"/>
        <v>0</v>
      </c>
      <c r="AL92" s="323">
        <f t="shared" si="22"/>
        <v>254.65785546791679</v>
      </c>
      <c r="AM92" s="323">
        <f t="shared" si="27"/>
        <v>0</v>
      </c>
      <c r="AN92" s="323">
        <f t="shared" si="28"/>
        <v>254.65785546791679</v>
      </c>
      <c r="AO92" s="323">
        <f t="shared" si="29"/>
        <v>3140.7802174376402</v>
      </c>
      <c r="AP92" s="387">
        <f>SUM(AO81:AO92)-Y25</f>
        <v>0</v>
      </c>
    </row>
    <row r="93" spans="1:42" x14ac:dyDescent="0.35">
      <c r="A93">
        <f>A81+1</f>
        <v>7</v>
      </c>
      <c r="B93">
        <f t="shared" si="30"/>
        <v>73</v>
      </c>
      <c r="E93" s="475">
        <f t="shared" si="18"/>
        <v>3140.7802174376402</v>
      </c>
      <c r="F93" s="484">
        <f t="shared" si="23"/>
        <v>407452.56874866685</v>
      </c>
      <c r="G93" s="144"/>
      <c r="H93" s="485">
        <v>0</v>
      </c>
      <c r="I93" s="144">
        <f t="shared" si="31"/>
        <v>224088.6804519296</v>
      </c>
      <c r="J93" s="484">
        <f t="shared" si="24"/>
        <v>3069.7079513962949</v>
      </c>
      <c r="K93" s="144"/>
      <c r="L93" s="475">
        <f t="shared" si="19"/>
        <v>631541.24920059647</v>
      </c>
      <c r="M93" s="486">
        <f t="shared" si="25"/>
        <v>2894.5640588360666</v>
      </c>
      <c r="O93" s="487">
        <f t="shared" si="20"/>
        <v>246.21615860157362</v>
      </c>
      <c r="AJ93" s="323">
        <f t="shared" si="21"/>
        <v>3395.438072905557</v>
      </c>
      <c r="AK93" s="323">
        <f t="shared" si="26"/>
        <v>0</v>
      </c>
      <c r="AL93" s="323">
        <f t="shared" si="22"/>
        <v>254.65785546791679</v>
      </c>
      <c r="AM93" s="323">
        <f t="shared" si="27"/>
        <v>0</v>
      </c>
      <c r="AN93" s="323">
        <f t="shared" si="28"/>
        <v>254.65785546791679</v>
      </c>
      <c r="AO93" s="323">
        <f t="shared" si="29"/>
        <v>3140.7802174376402</v>
      </c>
    </row>
    <row r="94" spans="1:42" x14ac:dyDescent="0.35">
      <c r="B94">
        <f t="shared" si="30"/>
        <v>74</v>
      </c>
      <c r="E94" s="475">
        <f t="shared" si="18"/>
        <v>3140.7802174376402</v>
      </c>
      <c r="F94" s="484">
        <f t="shared" si="23"/>
        <v>407452.56874866685</v>
      </c>
      <c r="G94" s="144"/>
      <c r="H94" s="485">
        <v>0</v>
      </c>
      <c r="I94" s="144">
        <f t="shared" si="31"/>
        <v>227158.38840332589</v>
      </c>
      <c r="J94" s="484">
        <f t="shared" si="24"/>
        <v>3069.7079513962949</v>
      </c>
      <c r="K94" s="144"/>
      <c r="L94" s="475">
        <f t="shared" si="19"/>
        <v>634610.95715199271</v>
      </c>
      <c r="M94" s="486">
        <f t="shared" si="25"/>
        <v>2908.6335536132992</v>
      </c>
      <c r="O94" s="487">
        <f t="shared" si="20"/>
        <v>232.14666382434098</v>
      </c>
      <c r="AJ94" s="323">
        <f t="shared" si="21"/>
        <v>3395.438072905557</v>
      </c>
      <c r="AK94" s="323">
        <f t="shared" si="26"/>
        <v>0</v>
      </c>
      <c r="AL94" s="323">
        <f t="shared" si="22"/>
        <v>254.65785546791679</v>
      </c>
      <c r="AM94" s="323">
        <f t="shared" si="27"/>
        <v>0</v>
      </c>
      <c r="AN94" s="323">
        <f t="shared" si="28"/>
        <v>254.65785546791679</v>
      </c>
      <c r="AO94" s="323">
        <f t="shared" si="29"/>
        <v>3140.7802174376402</v>
      </c>
    </row>
    <row r="95" spans="1:42" x14ac:dyDescent="0.35">
      <c r="B95">
        <f t="shared" si="30"/>
        <v>75</v>
      </c>
      <c r="E95" s="475">
        <f t="shared" si="18"/>
        <v>3140.7802174376402</v>
      </c>
      <c r="F95" s="484">
        <f t="shared" si="23"/>
        <v>407452.56874866685</v>
      </c>
      <c r="G95" s="144"/>
      <c r="H95" s="485">
        <v>0</v>
      </c>
      <c r="I95" s="144">
        <f t="shared" si="31"/>
        <v>230228.09635472219</v>
      </c>
      <c r="J95" s="484">
        <f t="shared" si="24"/>
        <v>3069.7079513962949</v>
      </c>
      <c r="K95" s="144"/>
      <c r="L95" s="475">
        <f t="shared" si="19"/>
        <v>637680.66510338907</v>
      </c>
      <c r="M95" s="486">
        <f t="shared" si="25"/>
        <v>2922.7030483905328</v>
      </c>
      <c r="O95" s="487">
        <f t="shared" si="20"/>
        <v>218.07716904710742</v>
      </c>
      <c r="AJ95" s="323">
        <f t="shared" si="21"/>
        <v>3395.438072905557</v>
      </c>
      <c r="AK95" s="323">
        <f t="shared" si="26"/>
        <v>0</v>
      </c>
      <c r="AL95" s="323">
        <f t="shared" si="22"/>
        <v>254.65785546791679</v>
      </c>
      <c r="AM95" s="323">
        <f t="shared" si="27"/>
        <v>0</v>
      </c>
      <c r="AN95" s="323">
        <f t="shared" si="28"/>
        <v>254.65785546791679</v>
      </c>
      <c r="AO95" s="323">
        <f t="shared" si="29"/>
        <v>3140.7802174376402</v>
      </c>
    </row>
    <row r="96" spans="1:42" x14ac:dyDescent="0.35">
      <c r="B96">
        <f t="shared" si="30"/>
        <v>76</v>
      </c>
      <c r="E96" s="475">
        <f t="shared" si="18"/>
        <v>3140.7802174376402</v>
      </c>
      <c r="F96" s="484">
        <f t="shared" si="23"/>
        <v>407452.56874866685</v>
      </c>
      <c r="G96" s="144"/>
      <c r="H96" s="485">
        <v>0</v>
      </c>
      <c r="I96" s="144">
        <f t="shared" si="31"/>
        <v>233297.80430611849</v>
      </c>
      <c r="J96" s="484">
        <f t="shared" si="24"/>
        <v>3069.7079513962949</v>
      </c>
      <c r="K96" s="144"/>
      <c r="L96" s="475">
        <f t="shared" si="19"/>
        <v>640750.3730547853</v>
      </c>
      <c r="M96" s="486">
        <f t="shared" si="25"/>
        <v>2936.7725431677654</v>
      </c>
      <c r="O96" s="487">
        <f t="shared" si="20"/>
        <v>204.00767426987477</v>
      </c>
      <c r="AJ96" s="323">
        <f t="shared" si="21"/>
        <v>3395.438072905557</v>
      </c>
      <c r="AK96" s="323">
        <f t="shared" si="26"/>
        <v>0</v>
      </c>
      <c r="AL96" s="323">
        <f t="shared" si="22"/>
        <v>254.65785546791679</v>
      </c>
      <c r="AM96" s="323">
        <f t="shared" si="27"/>
        <v>0</v>
      </c>
      <c r="AN96" s="323">
        <f t="shared" si="28"/>
        <v>254.65785546791679</v>
      </c>
      <c r="AO96" s="323">
        <f t="shared" si="29"/>
        <v>3140.7802174376402</v>
      </c>
    </row>
    <row r="97" spans="1:42" x14ac:dyDescent="0.35">
      <c r="B97">
        <f t="shared" si="30"/>
        <v>77</v>
      </c>
      <c r="E97" s="475">
        <f t="shared" si="18"/>
        <v>3140.7802174376402</v>
      </c>
      <c r="F97" s="484">
        <f t="shared" si="23"/>
        <v>407452.56874866685</v>
      </c>
      <c r="G97" s="144"/>
      <c r="H97" s="485">
        <v>0</v>
      </c>
      <c r="I97" s="144">
        <f t="shared" si="31"/>
        <v>236367.51225751478</v>
      </c>
      <c r="J97" s="484">
        <f t="shared" si="24"/>
        <v>3069.7079513962949</v>
      </c>
      <c r="K97" s="144"/>
      <c r="L97" s="475">
        <f t="shared" si="19"/>
        <v>643820.08100618166</v>
      </c>
      <c r="M97" s="486">
        <f t="shared" si="25"/>
        <v>2950.8420379449985</v>
      </c>
      <c r="O97" s="487">
        <f t="shared" si="20"/>
        <v>189.93817949264167</v>
      </c>
      <c r="AJ97" s="323">
        <f t="shared" si="21"/>
        <v>3395.438072905557</v>
      </c>
      <c r="AK97" s="323">
        <f t="shared" si="26"/>
        <v>0</v>
      </c>
      <c r="AL97" s="323">
        <f t="shared" si="22"/>
        <v>254.65785546791679</v>
      </c>
      <c r="AM97" s="323">
        <f t="shared" si="27"/>
        <v>0</v>
      </c>
      <c r="AN97" s="323">
        <f t="shared" si="28"/>
        <v>254.65785546791679</v>
      </c>
      <c r="AO97" s="323">
        <f t="shared" si="29"/>
        <v>3140.7802174376402</v>
      </c>
    </row>
    <row r="98" spans="1:42" x14ac:dyDescent="0.35">
      <c r="B98">
        <f t="shared" si="30"/>
        <v>78</v>
      </c>
      <c r="E98" s="475">
        <f t="shared" si="18"/>
        <v>3140.7802174376402</v>
      </c>
      <c r="F98" s="484">
        <f t="shared" si="23"/>
        <v>407452.56874866685</v>
      </c>
      <c r="G98" s="144"/>
      <c r="H98" s="485">
        <v>0</v>
      </c>
      <c r="I98" s="144">
        <f t="shared" si="31"/>
        <v>239437.22020891108</v>
      </c>
      <c r="J98" s="484">
        <f t="shared" si="24"/>
        <v>3069.7079513962949</v>
      </c>
      <c r="K98" s="144"/>
      <c r="L98" s="475">
        <f t="shared" si="19"/>
        <v>646889.7889575779</v>
      </c>
      <c r="M98" s="486">
        <f t="shared" si="25"/>
        <v>2964.9115327222316</v>
      </c>
      <c r="O98" s="487">
        <f t="shared" si="20"/>
        <v>175.86868471540856</v>
      </c>
      <c r="AJ98" s="323">
        <f t="shared" si="21"/>
        <v>3395.438072905557</v>
      </c>
      <c r="AK98" s="323">
        <f t="shared" si="26"/>
        <v>0</v>
      </c>
      <c r="AL98" s="323">
        <f t="shared" si="22"/>
        <v>254.65785546791679</v>
      </c>
      <c r="AM98" s="323">
        <f t="shared" si="27"/>
        <v>0</v>
      </c>
      <c r="AN98" s="323">
        <f t="shared" si="28"/>
        <v>254.65785546791679</v>
      </c>
      <c r="AO98" s="323">
        <f t="shared" si="29"/>
        <v>3140.7802174376402</v>
      </c>
    </row>
    <row r="99" spans="1:42" x14ac:dyDescent="0.35">
      <c r="B99">
        <f t="shared" si="30"/>
        <v>79</v>
      </c>
      <c r="E99" s="475">
        <f t="shared" si="18"/>
        <v>3140.7802174376402</v>
      </c>
      <c r="F99" s="484">
        <f t="shared" si="23"/>
        <v>407452.56874866685</v>
      </c>
      <c r="G99" s="144"/>
      <c r="H99" s="485">
        <v>0</v>
      </c>
      <c r="I99" s="144">
        <f t="shared" si="31"/>
        <v>242506.92816030738</v>
      </c>
      <c r="J99" s="484">
        <f t="shared" si="24"/>
        <v>3069.7079513962949</v>
      </c>
      <c r="K99" s="144"/>
      <c r="L99" s="475">
        <f t="shared" si="19"/>
        <v>649959.49690897425</v>
      </c>
      <c r="M99" s="486">
        <f t="shared" si="25"/>
        <v>2978.9810274994647</v>
      </c>
      <c r="O99" s="487">
        <f t="shared" si="20"/>
        <v>161.79918993817546</v>
      </c>
      <c r="AJ99" s="323">
        <f t="shared" si="21"/>
        <v>3395.438072905557</v>
      </c>
      <c r="AK99" s="323">
        <f t="shared" si="26"/>
        <v>0</v>
      </c>
      <c r="AL99" s="323">
        <f t="shared" si="22"/>
        <v>254.65785546791679</v>
      </c>
      <c r="AM99" s="323">
        <f t="shared" si="27"/>
        <v>0</v>
      </c>
      <c r="AN99" s="323">
        <f t="shared" si="28"/>
        <v>254.65785546791679</v>
      </c>
      <c r="AO99" s="323">
        <f t="shared" si="29"/>
        <v>3140.7802174376402</v>
      </c>
    </row>
    <row r="100" spans="1:42" x14ac:dyDescent="0.35">
      <c r="B100">
        <f t="shared" si="30"/>
        <v>80</v>
      </c>
      <c r="E100" s="475">
        <f t="shared" si="18"/>
        <v>3140.7802174376402</v>
      </c>
      <c r="F100" s="484">
        <f t="shared" si="23"/>
        <v>407452.56874866685</v>
      </c>
      <c r="G100" s="144"/>
      <c r="H100" s="485">
        <v>0</v>
      </c>
      <c r="I100" s="144">
        <f t="shared" si="31"/>
        <v>245576.63611170367</v>
      </c>
      <c r="J100" s="484">
        <f t="shared" si="24"/>
        <v>3069.7079513962949</v>
      </c>
      <c r="K100" s="144"/>
      <c r="L100" s="475">
        <f t="shared" si="19"/>
        <v>653029.20486037049</v>
      </c>
      <c r="M100" s="486">
        <f t="shared" si="25"/>
        <v>2993.0505222766974</v>
      </c>
      <c r="O100" s="487">
        <f t="shared" si="20"/>
        <v>147.72969516094281</v>
      </c>
      <c r="AJ100" s="323">
        <f t="shared" si="21"/>
        <v>3395.438072905557</v>
      </c>
      <c r="AK100" s="323">
        <f t="shared" si="26"/>
        <v>0</v>
      </c>
      <c r="AL100" s="323">
        <f t="shared" si="22"/>
        <v>254.65785546791679</v>
      </c>
      <c r="AM100" s="323">
        <f t="shared" si="27"/>
        <v>0</v>
      </c>
      <c r="AN100" s="323">
        <f t="shared" si="28"/>
        <v>254.65785546791679</v>
      </c>
      <c r="AO100" s="323">
        <f t="shared" si="29"/>
        <v>3140.7802174376402</v>
      </c>
    </row>
    <row r="101" spans="1:42" x14ac:dyDescent="0.35">
      <c r="B101">
        <f t="shared" si="30"/>
        <v>81</v>
      </c>
      <c r="E101" s="475">
        <f t="shared" si="18"/>
        <v>3140.7802174376402</v>
      </c>
      <c r="F101" s="484">
        <f t="shared" si="23"/>
        <v>407452.56874866685</v>
      </c>
      <c r="G101" s="144"/>
      <c r="H101" s="485">
        <v>0</v>
      </c>
      <c r="I101" s="144">
        <f t="shared" si="31"/>
        <v>248646.34406309997</v>
      </c>
      <c r="J101" s="484">
        <f t="shared" si="24"/>
        <v>3069.7079513962949</v>
      </c>
      <c r="K101" s="144"/>
      <c r="L101" s="475">
        <f t="shared" si="19"/>
        <v>656098.91281176684</v>
      </c>
      <c r="M101" s="486">
        <f t="shared" si="25"/>
        <v>3007.120017053931</v>
      </c>
      <c r="O101" s="487">
        <f t="shared" si="20"/>
        <v>133.66020038370925</v>
      </c>
      <c r="AJ101" s="323">
        <f t="shared" si="21"/>
        <v>3395.438072905557</v>
      </c>
      <c r="AK101" s="323">
        <f t="shared" si="26"/>
        <v>0</v>
      </c>
      <c r="AL101" s="323">
        <f t="shared" si="22"/>
        <v>254.65785546791679</v>
      </c>
      <c r="AM101" s="323">
        <f t="shared" si="27"/>
        <v>0</v>
      </c>
      <c r="AN101" s="323">
        <f t="shared" si="28"/>
        <v>254.65785546791679</v>
      </c>
      <c r="AO101" s="323">
        <f t="shared" si="29"/>
        <v>3140.7802174376402</v>
      </c>
    </row>
    <row r="102" spans="1:42" x14ac:dyDescent="0.35">
      <c r="B102">
        <f t="shared" si="30"/>
        <v>82</v>
      </c>
      <c r="E102" s="475">
        <f t="shared" si="18"/>
        <v>3140.7802174376402</v>
      </c>
      <c r="F102" s="484">
        <f t="shared" si="23"/>
        <v>407452.56874866685</v>
      </c>
      <c r="G102" s="144"/>
      <c r="H102" s="485">
        <v>0</v>
      </c>
      <c r="I102" s="144">
        <f t="shared" si="31"/>
        <v>251716.05201449626</v>
      </c>
      <c r="J102" s="484">
        <f t="shared" si="24"/>
        <v>3069.7079513962949</v>
      </c>
      <c r="K102" s="144"/>
      <c r="L102" s="475">
        <f t="shared" si="19"/>
        <v>659168.62076316308</v>
      </c>
      <c r="M102" s="486">
        <f t="shared" si="25"/>
        <v>3021.1895118311636</v>
      </c>
      <c r="O102" s="487">
        <f t="shared" si="20"/>
        <v>119.5907056064766</v>
      </c>
      <c r="AJ102" s="323">
        <f t="shared" si="21"/>
        <v>3395.438072905557</v>
      </c>
      <c r="AK102" s="323">
        <f t="shared" si="26"/>
        <v>0</v>
      </c>
      <c r="AL102" s="323">
        <f t="shared" si="22"/>
        <v>254.65785546791679</v>
      </c>
      <c r="AM102" s="323">
        <f t="shared" si="27"/>
        <v>0</v>
      </c>
      <c r="AN102" s="323">
        <f t="shared" si="28"/>
        <v>254.65785546791679</v>
      </c>
      <c r="AO102" s="323">
        <f t="shared" si="29"/>
        <v>3140.7802174376402</v>
      </c>
    </row>
    <row r="103" spans="1:42" x14ac:dyDescent="0.35">
      <c r="B103">
        <f t="shared" si="30"/>
        <v>83</v>
      </c>
      <c r="E103" s="475">
        <f t="shared" si="18"/>
        <v>3140.7802174376402</v>
      </c>
      <c r="F103" s="484">
        <f t="shared" si="23"/>
        <v>407452.56874866685</v>
      </c>
      <c r="G103" s="144"/>
      <c r="H103" s="485">
        <v>0</v>
      </c>
      <c r="I103" s="144">
        <f t="shared" si="31"/>
        <v>254785.75996589256</v>
      </c>
      <c r="J103" s="484">
        <f t="shared" si="24"/>
        <v>3069.7079513962949</v>
      </c>
      <c r="K103" s="144"/>
      <c r="L103" s="475">
        <f t="shared" si="19"/>
        <v>662238.32871455944</v>
      </c>
      <c r="M103" s="486">
        <f t="shared" si="25"/>
        <v>3035.2590066083967</v>
      </c>
      <c r="O103" s="487">
        <f t="shared" si="20"/>
        <v>105.5212108292435</v>
      </c>
      <c r="AJ103" s="323">
        <f t="shared" si="21"/>
        <v>3395.438072905557</v>
      </c>
      <c r="AK103" s="323">
        <f t="shared" si="26"/>
        <v>0</v>
      </c>
      <c r="AL103" s="323">
        <f t="shared" si="22"/>
        <v>254.65785546791679</v>
      </c>
      <c r="AM103" s="323">
        <f t="shared" si="27"/>
        <v>0</v>
      </c>
      <c r="AN103" s="323">
        <f t="shared" si="28"/>
        <v>254.65785546791679</v>
      </c>
      <c r="AO103" s="323">
        <f t="shared" si="29"/>
        <v>3140.7802174376402</v>
      </c>
    </row>
    <row r="104" spans="1:42" x14ac:dyDescent="0.35">
      <c r="B104">
        <f t="shared" si="30"/>
        <v>84</v>
      </c>
      <c r="E104" s="475">
        <f t="shared" si="18"/>
        <v>3140.7802174376402</v>
      </c>
      <c r="F104" s="484">
        <f t="shared" si="23"/>
        <v>407452.56874866685</v>
      </c>
      <c r="G104" s="144"/>
      <c r="H104" s="485">
        <v>0</v>
      </c>
      <c r="I104" s="144">
        <f t="shared" si="31"/>
        <v>257855.46791728886</v>
      </c>
      <c r="J104" s="484">
        <f t="shared" si="24"/>
        <v>3069.7079513962949</v>
      </c>
      <c r="K104" s="144"/>
      <c r="L104" s="475">
        <f t="shared" si="19"/>
        <v>665308.03666595567</v>
      </c>
      <c r="M104" s="486">
        <f t="shared" si="25"/>
        <v>3049.3285013856298</v>
      </c>
      <c r="O104" s="487">
        <f t="shared" si="20"/>
        <v>91.451716052010397</v>
      </c>
      <c r="AJ104" s="323">
        <f t="shared" si="21"/>
        <v>3395.438072905557</v>
      </c>
      <c r="AK104" s="323">
        <f t="shared" si="26"/>
        <v>0</v>
      </c>
      <c r="AL104" s="323">
        <f t="shared" si="22"/>
        <v>254.65785546791679</v>
      </c>
      <c r="AM104" s="323">
        <f t="shared" si="27"/>
        <v>0</v>
      </c>
      <c r="AN104" s="323">
        <f t="shared" si="28"/>
        <v>254.65785546791679</v>
      </c>
      <c r="AO104" s="323">
        <f t="shared" si="29"/>
        <v>3140.7802174376402</v>
      </c>
      <c r="AP104" s="387">
        <f>SUM(AO93:AO104)-Y26</f>
        <v>0</v>
      </c>
    </row>
    <row r="105" spans="1:42" x14ac:dyDescent="0.35">
      <c r="A105">
        <f>A93+1</f>
        <v>8</v>
      </c>
      <c r="B105">
        <f t="shared" si="30"/>
        <v>85</v>
      </c>
      <c r="E105" s="475">
        <f t="shared" si="18"/>
        <v>3140.7802174376402</v>
      </c>
      <c r="F105" s="484">
        <f t="shared" si="23"/>
        <v>407452.56874866685</v>
      </c>
      <c r="G105" s="144"/>
      <c r="H105" s="485">
        <v>0</v>
      </c>
      <c r="I105" s="144">
        <f t="shared" si="31"/>
        <v>260925.17586868515</v>
      </c>
      <c r="J105" s="484">
        <f t="shared" si="24"/>
        <v>3069.7079513962949</v>
      </c>
      <c r="K105" s="144"/>
      <c r="L105" s="475">
        <f t="shared" si="19"/>
        <v>668377.74461735203</v>
      </c>
      <c r="M105" s="486">
        <f t="shared" si="25"/>
        <v>3063.3979961628629</v>
      </c>
      <c r="O105" s="487">
        <f t="shared" si="20"/>
        <v>77.382221274777294</v>
      </c>
      <c r="AJ105" s="323">
        <f t="shared" si="21"/>
        <v>3395.438072905557</v>
      </c>
      <c r="AK105" s="323">
        <f t="shared" si="26"/>
        <v>0</v>
      </c>
      <c r="AL105" s="323">
        <f t="shared" si="22"/>
        <v>254.65785546791679</v>
      </c>
      <c r="AM105" s="323">
        <f t="shared" si="27"/>
        <v>0</v>
      </c>
      <c r="AN105" s="323">
        <f t="shared" si="28"/>
        <v>254.65785546791679</v>
      </c>
      <c r="AO105" s="323">
        <f t="shared" si="29"/>
        <v>3140.7802174376402</v>
      </c>
    </row>
    <row r="106" spans="1:42" x14ac:dyDescent="0.35">
      <c r="B106">
        <f t="shared" si="30"/>
        <v>86</v>
      </c>
      <c r="E106" s="475">
        <f t="shared" si="18"/>
        <v>3140.7802174376402</v>
      </c>
      <c r="F106" s="484">
        <f t="shared" si="23"/>
        <v>407452.56874866685</v>
      </c>
      <c r="G106" s="144"/>
      <c r="H106" s="485">
        <v>0</v>
      </c>
      <c r="I106" s="144">
        <f t="shared" si="31"/>
        <v>263994.88382008142</v>
      </c>
      <c r="J106" s="484">
        <f t="shared" si="24"/>
        <v>3069.7079513962949</v>
      </c>
      <c r="K106" s="144"/>
      <c r="L106" s="475">
        <f t="shared" si="19"/>
        <v>671447.45256874827</v>
      </c>
      <c r="M106" s="486">
        <f t="shared" si="25"/>
        <v>3077.4674909400956</v>
      </c>
      <c r="O106" s="487">
        <f t="shared" si="20"/>
        <v>63.312726497544645</v>
      </c>
      <c r="AJ106" s="323">
        <f t="shared" si="21"/>
        <v>3395.438072905557</v>
      </c>
      <c r="AK106" s="323">
        <f t="shared" si="26"/>
        <v>0</v>
      </c>
      <c r="AL106" s="323">
        <f t="shared" si="22"/>
        <v>254.65785546791679</v>
      </c>
      <c r="AM106" s="323">
        <f t="shared" si="27"/>
        <v>0</v>
      </c>
      <c r="AN106" s="323">
        <f t="shared" si="28"/>
        <v>254.65785546791679</v>
      </c>
      <c r="AO106" s="323">
        <f t="shared" si="29"/>
        <v>3140.7802174376402</v>
      </c>
    </row>
    <row r="107" spans="1:42" x14ac:dyDescent="0.35">
      <c r="B107">
        <f t="shared" si="30"/>
        <v>87</v>
      </c>
      <c r="E107" s="475">
        <f t="shared" si="18"/>
        <v>3140.7802174376402</v>
      </c>
      <c r="F107" s="484">
        <f t="shared" si="23"/>
        <v>407452.56874866685</v>
      </c>
      <c r="G107" s="144"/>
      <c r="H107" s="485">
        <v>0</v>
      </c>
      <c r="I107" s="144">
        <f t="shared" si="31"/>
        <v>267064.59177147772</v>
      </c>
      <c r="J107" s="484">
        <f t="shared" si="24"/>
        <v>3069.7079513962949</v>
      </c>
      <c r="K107" s="144"/>
      <c r="L107" s="475">
        <f t="shared" si="19"/>
        <v>674517.16052014451</v>
      </c>
      <c r="M107" s="486">
        <f t="shared" si="25"/>
        <v>3091.5369857173282</v>
      </c>
      <c r="O107" s="487">
        <f t="shared" si="20"/>
        <v>49.243231720311996</v>
      </c>
      <c r="AJ107" s="323">
        <f t="shared" si="21"/>
        <v>3395.438072905557</v>
      </c>
      <c r="AK107" s="323">
        <f t="shared" si="26"/>
        <v>0</v>
      </c>
      <c r="AL107" s="323">
        <f t="shared" si="22"/>
        <v>254.65785546791679</v>
      </c>
      <c r="AM107" s="323">
        <f t="shared" si="27"/>
        <v>0</v>
      </c>
      <c r="AN107" s="323">
        <f t="shared" si="28"/>
        <v>254.65785546791679</v>
      </c>
      <c r="AO107" s="323">
        <f t="shared" si="29"/>
        <v>3140.7802174376402</v>
      </c>
    </row>
    <row r="108" spans="1:42" x14ac:dyDescent="0.35">
      <c r="B108">
        <f t="shared" si="30"/>
        <v>88</v>
      </c>
      <c r="E108" s="475">
        <f t="shared" si="18"/>
        <v>3140.7802174376402</v>
      </c>
      <c r="F108" s="484">
        <f t="shared" si="23"/>
        <v>407452.56874866685</v>
      </c>
      <c r="G108" s="144"/>
      <c r="H108" s="485">
        <v>0</v>
      </c>
      <c r="I108" s="144">
        <f t="shared" si="31"/>
        <v>270134.29972287401</v>
      </c>
      <c r="J108" s="484">
        <f t="shared" si="24"/>
        <v>3069.7079513962949</v>
      </c>
      <c r="K108" s="144"/>
      <c r="L108" s="475">
        <f t="shared" si="19"/>
        <v>677586.86847154086</v>
      </c>
      <c r="M108" s="486">
        <f t="shared" si="25"/>
        <v>3105.6064804945618</v>
      </c>
      <c r="O108" s="487">
        <f t="shared" si="20"/>
        <v>35.173736943078438</v>
      </c>
      <c r="AJ108" s="323">
        <f t="shared" si="21"/>
        <v>3395.438072905557</v>
      </c>
      <c r="AK108" s="323">
        <f t="shared" si="26"/>
        <v>0</v>
      </c>
      <c r="AL108" s="323">
        <f t="shared" si="22"/>
        <v>254.65785546791679</v>
      </c>
      <c r="AM108" s="323">
        <f t="shared" si="27"/>
        <v>0</v>
      </c>
      <c r="AN108" s="323">
        <f t="shared" si="28"/>
        <v>254.65785546791679</v>
      </c>
      <c r="AO108" s="323">
        <f t="shared" si="29"/>
        <v>3140.7802174376402</v>
      </c>
    </row>
    <row r="109" spans="1:42" x14ac:dyDescent="0.35">
      <c r="B109">
        <f t="shared" si="30"/>
        <v>89</v>
      </c>
      <c r="E109" s="475">
        <f t="shared" si="18"/>
        <v>3140.7802174376402</v>
      </c>
      <c r="F109" s="484">
        <f t="shared" si="23"/>
        <v>407452.56874866685</v>
      </c>
      <c r="G109" s="144"/>
      <c r="H109" s="485">
        <v>0</v>
      </c>
      <c r="I109" s="144">
        <f t="shared" si="31"/>
        <v>273204.00767427031</v>
      </c>
      <c r="J109" s="484">
        <f t="shared" si="24"/>
        <v>3069.7079513962949</v>
      </c>
      <c r="K109" s="144"/>
      <c r="L109" s="475">
        <f t="shared" si="19"/>
        <v>680656.57642293721</v>
      </c>
      <c r="M109" s="486">
        <f t="shared" si="25"/>
        <v>3119.6759752717949</v>
      </c>
      <c r="O109" s="487">
        <f t="shared" si="20"/>
        <v>21.104242165845335</v>
      </c>
      <c r="AJ109" s="323">
        <f t="shared" si="21"/>
        <v>3395.438072905557</v>
      </c>
      <c r="AK109" s="323">
        <f t="shared" si="26"/>
        <v>0</v>
      </c>
      <c r="AL109" s="323">
        <f t="shared" si="22"/>
        <v>254.65785546791679</v>
      </c>
      <c r="AM109" s="323">
        <f t="shared" si="27"/>
        <v>0</v>
      </c>
      <c r="AN109" s="323">
        <f t="shared" si="28"/>
        <v>254.65785546791679</v>
      </c>
      <c r="AO109" s="323">
        <f t="shared" si="29"/>
        <v>3140.7802174376402</v>
      </c>
    </row>
    <row r="110" spans="1:42" x14ac:dyDescent="0.35">
      <c r="B110">
        <f t="shared" si="30"/>
        <v>90</v>
      </c>
      <c r="E110" s="475">
        <f t="shared" si="18"/>
        <v>3140.7802174376402</v>
      </c>
      <c r="F110" s="484">
        <f t="shared" si="23"/>
        <v>407452.56874866685</v>
      </c>
      <c r="G110" s="144"/>
      <c r="H110" s="485">
        <v>0</v>
      </c>
      <c r="I110" s="144">
        <f t="shared" si="31"/>
        <v>276273.71562566661</v>
      </c>
      <c r="J110" s="484">
        <f t="shared" si="24"/>
        <v>3069.7079513962949</v>
      </c>
      <c r="K110" s="144"/>
      <c r="L110" s="475">
        <f t="shared" si="19"/>
        <v>683726.28437433345</v>
      </c>
      <c r="M110" s="486">
        <f t="shared" si="25"/>
        <v>3133.745470049028</v>
      </c>
      <c r="O110" s="487">
        <f t="shared" si="20"/>
        <v>7.0347473886122316</v>
      </c>
      <c r="AJ110" s="323">
        <f t="shared" si="21"/>
        <v>3395.438072905557</v>
      </c>
      <c r="AK110" s="323">
        <f t="shared" si="26"/>
        <v>0</v>
      </c>
      <c r="AL110" s="323">
        <f t="shared" si="22"/>
        <v>254.65785546791679</v>
      </c>
      <c r="AM110" s="323">
        <f t="shared" si="27"/>
        <v>0</v>
      </c>
      <c r="AN110" s="323">
        <f t="shared" si="28"/>
        <v>254.65785546791679</v>
      </c>
      <c r="AO110" s="323">
        <f t="shared" si="29"/>
        <v>3140.7802174376402</v>
      </c>
    </row>
    <row r="111" spans="1:42" x14ac:dyDescent="0.35">
      <c r="B111">
        <f t="shared" si="30"/>
        <v>91</v>
      </c>
      <c r="E111" s="475">
        <f t="shared" si="18"/>
        <v>3140.7802174376402</v>
      </c>
      <c r="F111" s="484">
        <f t="shared" si="23"/>
        <v>407452.56874866685</v>
      </c>
      <c r="G111" s="144"/>
      <c r="H111" s="485">
        <v>0</v>
      </c>
      <c r="I111" s="144">
        <f t="shared" si="31"/>
        <v>279343.4235770629</v>
      </c>
      <c r="J111" s="484">
        <f t="shared" si="24"/>
        <v>3069.7079513962949</v>
      </c>
      <c r="K111" s="144"/>
      <c r="L111" s="475">
        <f t="shared" si="19"/>
        <v>686795.99232572969</v>
      </c>
      <c r="M111" s="486">
        <f t="shared" si="25"/>
        <v>3147.8149648262606</v>
      </c>
      <c r="O111" s="487">
        <f t="shared" si="20"/>
        <v>-7.034747388620417</v>
      </c>
      <c r="AJ111" s="323">
        <f t="shared" si="21"/>
        <v>3395.438072905557</v>
      </c>
      <c r="AK111" s="323">
        <f t="shared" si="26"/>
        <v>0</v>
      </c>
      <c r="AL111" s="323">
        <f t="shared" si="22"/>
        <v>254.65785546791679</v>
      </c>
      <c r="AM111" s="323">
        <f t="shared" si="27"/>
        <v>0</v>
      </c>
      <c r="AN111" s="323">
        <f t="shared" si="28"/>
        <v>254.65785546791679</v>
      </c>
      <c r="AO111" s="323">
        <f t="shared" si="29"/>
        <v>3140.7802174376402</v>
      </c>
    </row>
    <row r="112" spans="1:42" x14ac:dyDescent="0.35">
      <c r="B112">
        <f t="shared" si="30"/>
        <v>92</v>
      </c>
      <c r="E112" s="475">
        <f t="shared" si="18"/>
        <v>3140.7802174376402</v>
      </c>
      <c r="F112" s="484">
        <f t="shared" si="23"/>
        <v>407452.56874866685</v>
      </c>
      <c r="G112" s="144"/>
      <c r="H112" s="485">
        <v>0</v>
      </c>
      <c r="I112" s="144">
        <f t="shared" si="31"/>
        <v>282413.1315284592</v>
      </c>
      <c r="J112" s="484">
        <f t="shared" si="24"/>
        <v>3069.7079513962949</v>
      </c>
      <c r="K112" s="144"/>
      <c r="L112" s="475">
        <f t="shared" si="19"/>
        <v>689865.70027712604</v>
      </c>
      <c r="M112" s="486">
        <f t="shared" si="25"/>
        <v>3161.8844596034937</v>
      </c>
      <c r="O112" s="487">
        <f t="shared" si="20"/>
        <v>-21.10424216585352</v>
      </c>
      <c r="AJ112" s="323">
        <f t="shared" si="21"/>
        <v>3395.438072905557</v>
      </c>
      <c r="AK112" s="323">
        <f t="shared" si="26"/>
        <v>0</v>
      </c>
      <c r="AL112" s="323">
        <f t="shared" si="22"/>
        <v>254.65785546791679</v>
      </c>
      <c r="AM112" s="323">
        <f t="shared" si="27"/>
        <v>0</v>
      </c>
      <c r="AN112" s="323">
        <f t="shared" si="28"/>
        <v>254.65785546791679</v>
      </c>
      <c r="AO112" s="323">
        <f t="shared" si="29"/>
        <v>3140.7802174376402</v>
      </c>
    </row>
    <row r="113" spans="1:42" x14ac:dyDescent="0.35">
      <c r="B113">
        <f t="shared" si="30"/>
        <v>93</v>
      </c>
      <c r="E113" s="475">
        <f t="shared" si="18"/>
        <v>3140.7802174376402</v>
      </c>
      <c r="F113" s="484">
        <f t="shared" si="23"/>
        <v>407452.56874866685</v>
      </c>
      <c r="G113" s="144"/>
      <c r="H113" s="485">
        <v>0</v>
      </c>
      <c r="I113" s="144">
        <f t="shared" si="31"/>
        <v>285482.83947985549</v>
      </c>
      <c r="J113" s="484">
        <f t="shared" si="24"/>
        <v>3069.7079513962949</v>
      </c>
      <c r="K113" s="144"/>
      <c r="L113" s="475">
        <f t="shared" si="19"/>
        <v>692935.4082285224</v>
      </c>
      <c r="M113" s="486">
        <f t="shared" si="25"/>
        <v>3175.9539543807273</v>
      </c>
      <c r="O113" s="487">
        <f t="shared" si="20"/>
        <v>-35.173736943087079</v>
      </c>
      <c r="AJ113" s="323">
        <f t="shared" si="21"/>
        <v>3395.438072905557</v>
      </c>
      <c r="AK113" s="323">
        <f t="shared" si="26"/>
        <v>0</v>
      </c>
      <c r="AL113" s="323">
        <f t="shared" si="22"/>
        <v>254.65785546791679</v>
      </c>
      <c r="AM113" s="323">
        <f t="shared" si="27"/>
        <v>0</v>
      </c>
      <c r="AN113" s="323">
        <f t="shared" si="28"/>
        <v>254.65785546791679</v>
      </c>
      <c r="AO113" s="323">
        <f t="shared" si="29"/>
        <v>3140.7802174376402</v>
      </c>
    </row>
    <row r="114" spans="1:42" x14ac:dyDescent="0.35">
      <c r="B114">
        <f t="shared" si="30"/>
        <v>94</v>
      </c>
      <c r="E114" s="475">
        <f t="shared" si="18"/>
        <v>3140.7802174376402</v>
      </c>
      <c r="F114" s="484">
        <f t="shared" si="23"/>
        <v>407452.56874866685</v>
      </c>
      <c r="G114" s="144"/>
      <c r="H114" s="485">
        <v>0</v>
      </c>
      <c r="I114" s="144">
        <f t="shared" si="31"/>
        <v>288552.54743125179</v>
      </c>
      <c r="J114" s="484">
        <f t="shared" si="24"/>
        <v>3069.7079513962949</v>
      </c>
      <c r="K114" s="144"/>
      <c r="L114" s="475">
        <f t="shared" si="19"/>
        <v>696005.11617991864</v>
      </c>
      <c r="M114" s="486">
        <f t="shared" si="25"/>
        <v>3190.0234491579599</v>
      </c>
      <c r="O114" s="487">
        <f t="shared" si="20"/>
        <v>-49.243231720319727</v>
      </c>
      <c r="AJ114" s="323">
        <f t="shared" si="21"/>
        <v>3395.438072905557</v>
      </c>
      <c r="AK114" s="323">
        <f t="shared" si="26"/>
        <v>0</v>
      </c>
      <c r="AL114" s="323">
        <f t="shared" si="22"/>
        <v>254.65785546791679</v>
      </c>
      <c r="AM114" s="323">
        <f t="shared" si="27"/>
        <v>0</v>
      </c>
      <c r="AN114" s="323">
        <f t="shared" si="28"/>
        <v>254.65785546791679</v>
      </c>
      <c r="AO114" s="323">
        <f t="shared" si="29"/>
        <v>3140.7802174376402</v>
      </c>
    </row>
    <row r="115" spans="1:42" x14ac:dyDescent="0.35">
      <c r="B115">
        <f t="shared" si="30"/>
        <v>95</v>
      </c>
      <c r="E115" s="475">
        <f t="shared" si="18"/>
        <v>3140.7802174376402</v>
      </c>
      <c r="F115" s="484">
        <f t="shared" si="23"/>
        <v>407452.56874866685</v>
      </c>
      <c r="G115" s="144"/>
      <c r="H115" s="485">
        <v>0</v>
      </c>
      <c r="I115" s="144">
        <f t="shared" si="31"/>
        <v>291622.25538264809</v>
      </c>
      <c r="J115" s="484">
        <f t="shared" si="24"/>
        <v>3069.7079513962949</v>
      </c>
      <c r="K115" s="144"/>
      <c r="L115" s="475">
        <f t="shared" si="19"/>
        <v>699074.82413131488</v>
      </c>
      <c r="M115" s="486">
        <f t="shared" si="25"/>
        <v>3204.0929439351926</v>
      </c>
      <c r="O115" s="487">
        <f t="shared" si="20"/>
        <v>-63.312726497552376</v>
      </c>
      <c r="AJ115" s="323">
        <f t="shared" si="21"/>
        <v>3395.438072905557</v>
      </c>
      <c r="AK115" s="323">
        <f t="shared" si="26"/>
        <v>0</v>
      </c>
      <c r="AL115" s="323">
        <f t="shared" si="22"/>
        <v>254.65785546791679</v>
      </c>
      <c r="AM115" s="323">
        <f t="shared" si="27"/>
        <v>0</v>
      </c>
      <c r="AN115" s="323">
        <f t="shared" si="28"/>
        <v>254.65785546791679</v>
      </c>
      <c r="AO115" s="323">
        <f t="shared" si="29"/>
        <v>3140.7802174376402</v>
      </c>
    </row>
    <row r="116" spans="1:42" x14ac:dyDescent="0.35">
      <c r="B116">
        <f t="shared" si="30"/>
        <v>96</v>
      </c>
      <c r="E116" s="475">
        <f t="shared" si="18"/>
        <v>3140.7802174376402</v>
      </c>
      <c r="F116" s="484">
        <f t="shared" si="23"/>
        <v>407452.56874866685</v>
      </c>
      <c r="G116" s="144"/>
      <c r="H116" s="485">
        <v>0</v>
      </c>
      <c r="I116" s="144">
        <f t="shared" si="31"/>
        <v>294691.96333404438</v>
      </c>
      <c r="J116" s="484">
        <f t="shared" si="24"/>
        <v>3069.7079513962949</v>
      </c>
      <c r="K116" s="144"/>
      <c r="L116" s="475">
        <f t="shared" si="19"/>
        <v>702144.53208271123</v>
      </c>
      <c r="M116" s="486">
        <f t="shared" si="25"/>
        <v>3218.1624387124257</v>
      </c>
      <c r="O116" s="487">
        <f t="shared" si="20"/>
        <v>-77.382221274785479</v>
      </c>
      <c r="AJ116" s="323">
        <f t="shared" si="21"/>
        <v>3395.438072905557</v>
      </c>
      <c r="AK116" s="323">
        <f t="shared" si="26"/>
        <v>0</v>
      </c>
      <c r="AL116" s="323">
        <f t="shared" si="22"/>
        <v>254.65785546791679</v>
      </c>
      <c r="AM116" s="323">
        <f t="shared" si="27"/>
        <v>0</v>
      </c>
      <c r="AN116" s="323">
        <f t="shared" si="28"/>
        <v>254.65785546791679</v>
      </c>
      <c r="AO116" s="323">
        <f t="shared" si="29"/>
        <v>3140.7802174376402</v>
      </c>
      <c r="AP116" s="387">
        <f>SUM(AO105:AO116)-Y27</f>
        <v>0</v>
      </c>
    </row>
    <row r="117" spans="1:42" x14ac:dyDescent="0.35">
      <c r="A117">
        <f>A105+1</f>
        <v>9</v>
      </c>
      <c r="B117">
        <f t="shared" si="30"/>
        <v>97</v>
      </c>
      <c r="E117" s="475">
        <f t="shared" si="18"/>
        <v>3140.7802174376402</v>
      </c>
      <c r="F117" s="484">
        <f t="shared" si="23"/>
        <v>407452.56874866685</v>
      </c>
      <c r="G117" s="144"/>
      <c r="H117" s="485">
        <v>0</v>
      </c>
      <c r="I117" s="144">
        <f t="shared" si="31"/>
        <v>297761.67128544068</v>
      </c>
      <c r="J117" s="484">
        <f t="shared" si="24"/>
        <v>3069.7079513962949</v>
      </c>
      <c r="K117" s="144"/>
      <c r="L117" s="475">
        <f t="shared" si="19"/>
        <v>705214.24003410758</v>
      </c>
      <c r="M117" s="486">
        <f t="shared" si="25"/>
        <v>3232.2319334896592</v>
      </c>
      <c r="O117" s="487">
        <f t="shared" si="20"/>
        <v>-91.451716052019037</v>
      </c>
      <c r="AJ117" s="323">
        <f t="shared" si="21"/>
        <v>3395.438072905557</v>
      </c>
      <c r="AK117" s="323">
        <f t="shared" si="26"/>
        <v>0</v>
      </c>
      <c r="AL117" s="323">
        <f t="shared" si="22"/>
        <v>254.65785546791679</v>
      </c>
      <c r="AM117" s="323">
        <f t="shared" si="27"/>
        <v>0</v>
      </c>
      <c r="AN117" s="323">
        <f t="shared" si="28"/>
        <v>254.65785546791679</v>
      </c>
      <c r="AO117" s="323">
        <f t="shared" si="29"/>
        <v>3140.7802174376402</v>
      </c>
    </row>
    <row r="118" spans="1:42" x14ac:dyDescent="0.35">
      <c r="B118">
        <f t="shared" si="30"/>
        <v>98</v>
      </c>
      <c r="E118" s="475">
        <f t="shared" si="18"/>
        <v>3140.7802174376402</v>
      </c>
      <c r="F118" s="484">
        <f t="shared" si="23"/>
        <v>407452.56874866685</v>
      </c>
      <c r="G118" s="144"/>
      <c r="H118" s="485">
        <v>0</v>
      </c>
      <c r="I118" s="144">
        <f t="shared" si="31"/>
        <v>300831.37923683698</v>
      </c>
      <c r="J118" s="484">
        <f t="shared" si="24"/>
        <v>3069.7079513962949</v>
      </c>
      <c r="K118" s="144"/>
      <c r="L118" s="475">
        <f t="shared" si="19"/>
        <v>708283.94798550382</v>
      </c>
      <c r="M118" s="486">
        <f t="shared" si="25"/>
        <v>3246.3014282668919</v>
      </c>
      <c r="O118" s="487">
        <f t="shared" si="20"/>
        <v>-105.52121082925169</v>
      </c>
      <c r="AJ118" s="323">
        <f t="shared" si="21"/>
        <v>3395.438072905557</v>
      </c>
      <c r="AK118" s="323">
        <f t="shared" si="26"/>
        <v>0</v>
      </c>
      <c r="AL118" s="323">
        <f t="shared" si="22"/>
        <v>254.65785546791679</v>
      </c>
      <c r="AM118" s="323">
        <f t="shared" si="27"/>
        <v>0</v>
      </c>
      <c r="AN118" s="323">
        <f t="shared" si="28"/>
        <v>254.65785546791679</v>
      </c>
      <c r="AO118" s="323">
        <f t="shared" si="29"/>
        <v>3140.7802174376402</v>
      </c>
    </row>
    <row r="119" spans="1:42" x14ac:dyDescent="0.35">
      <c r="B119">
        <f t="shared" si="30"/>
        <v>99</v>
      </c>
      <c r="E119" s="475">
        <f t="shared" si="18"/>
        <v>3140.7802174376402</v>
      </c>
      <c r="F119" s="484">
        <f t="shared" si="23"/>
        <v>407452.56874866685</v>
      </c>
      <c r="G119" s="144"/>
      <c r="H119" s="485">
        <v>0</v>
      </c>
      <c r="I119" s="144">
        <f t="shared" si="31"/>
        <v>303901.08718823327</v>
      </c>
      <c r="J119" s="484">
        <f t="shared" si="24"/>
        <v>3069.7079513962949</v>
      </c>
      <c r="K119" s="144"/>
      <c r="L119" s="475">
        <f t="shared" si="19"/>
        <v>711353.65593690006</v>
      </c>
      <c r="M119" s="486">
        <f t="shared" si="25"/>
        <v>3260.3709230441245</v>
      </c>
      <c r="O119" s="487">
        <f t="shared" si="20"/>
        <v>-119.59070560648433</v>
      </c>
      <c r="AJ119" s="323">
        <f t="shared" si="21"/>
        <v>3395.438072905557</v>
      </c>
      <c r="AK119" s="323">
        <f t="shared" si="26"/>
        <v>0</v>
      </c>
      <c r="AL119" s="323">
        <f t="shared" si="22"/>
        <v>254.65785546791679</v>
      </c>
      <c r="AM119" s="323">
        <f t="shared" si="27"/>
        <v>0</v>
      </c>
      <c r="AN119" s="323">
        <f t="shared" si="28"/>
        <v>254.65785546791679</v>
      </c>
      <c r="AO119" s="323">
        <f t="shared" si="29"/>
        <v>3140.7802174376402</v>
      </c>
    </row>
    <row r="120" spans="1:42" x14ac:dyDescent="0.35">
      <c r="B120">
        <f t="shared" si="30"/>
        <v>100</v>
      </c>
      <c r="E120" s="475">
        <f t="shared" si="18"/>
        <v>3140.7802174376402</v>
      </c>
      <c r="F120" s="484">
        <f t="shared" si="23"/>
        <v>407452.56874866685</v>
      </c>
      <c r="G120" s="144"/>
      <c r="H120" s="485">
        <v>0</v>
      </c>
      <c r="I120" s="144">
        <f t="shared" si="31"/>
        <v>306970.79513962957</v>
      </c>
      <c r="J120" s="484">
        <f t="shared" si="24"/>
        <v>3069.7079513962949</v>
      </c>
      <c r="K120" s="144"/>
      <c r="L120" s="475">
        <f t="shared" si="19"/>
        <v>714423.36388829642</v>
      </c>
      <c r="M120" s="486">
        <f t="shared" si="25"/>
        <v>3274.4404178213581</v>
      </c>
      <c r="O120" s="487">
        <f t="shared" si="20"/>
        <v>-133.66020038371789</v>
      </c>
      <c r="AJ120" s="323">
        <f t="shared" si="21"/>
        <v>3395.438072905557</v>
      </c>
      <c r="AK120" s="323">
        <f t="shared" si="26"/>
        <v>0</v>
      </c>
      <c r="AL120" s="323">
        <f t="shared" si="22"/>
        <v>254.65785546791679</v>
      </c>
      <c r="AM120" s="323">
        <f t="shared" si="27"/>
        <v>0</v>
      </c>
      <c r="AN120" s="323">
        <f t="shared" si="28"/>
        <v>254.65785546791679</v>
      </c>
      <c r="AO120" s="323">
        <f t="shared" si="29"/>
        <v>3140.7802174376402</v>
      </c>
    </row>
    <row r="121" spans="1:42" x14ac:dyDescent="0.35">
      <c r="B121">
        <f t="shared" si="30"/>
        <v>101</v>
      </c>
      <c r="E121" s="475">
        <f t="shared" si="18"/>
        <v>3140.7802174376402</v>
      </c>
      <c r="F121" s="484">
        <f t="shared" si="23"/>
        <v>407452.56874866685</v>
      </c>
      <c r="G121" s="144"/>
      <c r="H121" s="485">
        <v>0</v>
      </c>
      <c r="I121" s="144">
        <f t="shared" si="31"/>
        <v>310040.50309102586</v>
      </c>
      <c r="J121" s="484">
        <f t="shared" si="24"/>
        <v>3069.7079513962949</v>
      </c>
      <c r="K121" s="144"/>
      <c r="L121" s="475">
        <f t="shared" si="19"/>
        <v>717493.07183969277</v>
      </c>
      <c r="M121" s="486">
        <f t="shared" si="25"/>
        <v>3288.5099125985912</v>
      </c>
      <c r="O121" s="487">
        <f t="shared" si="20"/>
        <v>-147.729695160951</v>
      </c>
      <c r="AJ121" s="323">
        <f t="shared" si="21"/>
        <v>3395.438072905557</v>
      </c>
      <c r="AK121" s="323">
        <f t="shared" si="26"/>
        <v>0</v>
      </c>
      <c r="AL121" s="323">
        <f t="shared" si="22"/>
        <v>254.65785546791679</v>
      </c>
      <c r="AM121" s="323">
        <f t="shared" si="27"/>
        <v>0</v>
      </c>
      <c r="AN121" s="323">
        <f t="shared" si="28"/>
        <v>254.65785546791679</v>
      </c>
      <c r="AO121" s="323">
        <f t="shared" si="29"/>
        <v>3140.7802174376402</v>
      </c>
    </row>
    <row r="122" spans="1:42" x14ac:dyDescent="0.35">
      <c r="B122">
        <f t="shared" si="30"/>
        <v>102</v>
      </c>
      <c r="E122" s="475">
        <f t="shared" si="18"/>
        <v>3140.7802174376402</v>
      </c>
      <c r="F122" s="484">
        <f t="shared" si="23"/>
        <v>407452.56874866685</v>
      </c>
      <c r="G122" s="144"/>
      <c r="H122" s="485">
        <v>0</v>
      </c>
      <c r="I122" s="144">
        <f t="shared" si="31"/>
        <v>313110.21104242216</v>
      </c>
      <c r="J122" s="484">
        <f t="shared" si="24"/>
        <v>3069.7079513962949</v>
      </c>
      <c r="K122" s="144"/>
      <c r="L122" s="475">
        <f t="shared" si="19"/>
        <v>720562.77979108901</v>
      </c>
      <c r="M122" s="486">
        <f t="shared" si="25"/>
        <v>3302.5794073758238</v>
      </c>
      <c r="O122" s="487">
        <f t="shared" si="20"/>
        <v>-161.79918993818364</v>
      </c>
      <c r="AJ122" s="323">
        <f t="shared" si="21"/>
        <v>3395.438072905557</v>
      </c>
      <c r="AK122" s="323">
        <f t="shared" si="26"/>
        <v>0</v>
      </c>
      <c r="AL122" s="323">
        <f t="shared" si="22"/>
        <v>254.65785546791679</v>
      </c>
      <c r="AM122" s="323">
        <f t="shared" si="27"/>
        <v>0</v>
      </c>
      <c r="AN122" s="323">
        <f t="shared" si="28"/>
        <v>254.65785546791679</v>
      </c>
      <c r="AO122" s="323">
        <f t="shared" si="29"/>
        <v>3140.7802174376402</v>
      </c>
    </row>
    <row r="123" spans="1:42" x14ac:dyDescent="0.35">
      <c r="B123">
        <f t="shared" si="30"/>
        <v>103</v>
      </c>
      <c r="E123" s="475">
        <f t="shared" si="18"/>
        <v>3140.7802174376402</v>
      </c>
      <c r="F123" s="484">
        <f t="shared" si="23"/>
        <v>407452.56874866685</v>
      </c>
      <c r="G123" s="144"/>
      <c r="H123" s="485">
        <v>0</v>
      </c>
      <c r="I123" s="144">
        <f t="shared" si="31"/>
        <v>316179.91899381846</v>
      </c>
      <c r="J123" s="484">
        <f t="shared" si="24"/>
        <v>3069.7079513962949</v>
      </c>
      <c r="K123" s="144"/>
      <c r="L123" s="475">
        <f t="shared" si="19"/>
        <v>723632.48774248525</v>
      </c>
      <c r="M123" s="486">
        <f t="shared" si="25"/>
        <v>3316.648902153057</v>
      </c>
      <c r="O123" s="487">
        <f t="shared" si="20"/>
        <v>-175.86868471541675</v>
      </c>
      <c r="AJ123" s="323">
        <f t="shared" si="21"/>
        <v>3395.438072905557</v>
      </c>
      <c r="AK123" s="323">
        <f t="shared" si="26"/>
        <v>0</v>
      </c>
      <c r="AL123" s="323">
        <f t="shared" si="22"/>
        <v>254.65785546791679</v>
      </c>
      <c r="AM123" s="323">
        <f t="shared" si="27"/>
        <v>0</v>
      </c>
      <c r="AN123" s="323">
        <f t="shared" si="28"/>
        <v>254.65785546791679</v>
      </c>
      <c r="AO123" s="323">
        <f t="shared" si="29"/>
        <v>3140.7802174376402</v>
      </c>
    </row>
    <row r="124" spans="1:42" x14ac:dyDescent="0.35">
      <c r="B124">
        <f t="shared" si="30"/>
        <v>104</v>
      </c>
      <c r="E124" s="475">
        <f t="shared" si="18"/>
        <v>3140.7802174376402</v>
      </c>
      <c r="F124" s="484">
        <f t="shared" si="23"/>
        <v>407452.56874866685</v>
      </c>
      <c r="G124" s="144"/>
      <c r="H124" s="485">
        <v>0</v>
      </c>
      <c r="I124" s="144">
        <f t="shared" si="31"/>
        <v>319249.62694521475</v>
      </c>
      <c r="J124" s="484">
        <f t="shared" si="24"/>
        <v>3069.7079513962949</v>
      </c>
      <c r="K124" s="144"/>
      <c r="L124" s="475">
        <f t="shared" si="19"/>
        <v>726702.1956938816</v>
      </c>
      <c r="M124" s="486">
        <f t="shared" si="25"/>
        <v>3330.7183969302901</v>
      </c>
      <c r="O124" s="487">
        <f t="shared" si="20"/>
        <v>-189.93817949264985</v>
      </c>
      <c r="AJ124" s="323">
        <f t="shared" si="21"/>
        <v>3395.438072905557</v>
      </c>
      <c r="AK124" s="323">
        <f t="shared" si="26"/>
        <v>0</v>
      </c>
      <c r="AL124" s="323">
        <f t="shared" si="22"/>
        <v>254.65785546791679</v>
      </c>
      <c r="AM124" s="323">
        <f t="shared" si="27"/>
        <v>0</v>
      </c>
      <c r="AN124" s="323">
        <f t="shared" si="28"/>
        <v>254.65785546791679</v>
      </c>
      <c r="AO124" s="323">
        <f t="shared" si="29"/>
        <v>3140.7802174376402</v>
      </c>
    </row>
    <row r="125" spans="1:42" x14ac:dyDescent="0.35">
      <c r="B125">
        <f t="shared" si="30"/>
        <v>105</v>
      </c>
      <c r="E125" s="475">
        <f t="shared" si="18"/>
        <v>3140.7802174376402</v>
      </c>
      <c r="F125" s="484">
        <f t="shared" si="23"/>
        <v>407452.56874866685</v>
      </c>
      <c r="G125" s="144"/>
      <c r="H125" s="485">
        <v>0</v>
      </c>
      <c r="I125" s="144">
        <f t="shared" si="31"/>
        <v>322319.33489661105</v>
      </c>
      <c r="J125" s="484">
        <f t="shared" si="24"/>
        <v>3069.7079513962949</v>
      </c>
      <c r="K125" s="144"/>
      <c r="L125" s="475">
        <f t="shared" si="19"/>
        <v>729771.90364527795</v>
      </c>
      <c r="M125" s="486">
        <f t="shared" si="25"/>
        <v>3344.7878917075232</v>
      </c>
      <c r="O125" s="487">
        <f t="shared" si="20"/>
        <v>-204.00767426988295</v>
      </c>
      <c r="AJ125" s="323">
        <f t="shared" si="21"/>
        <v>3395.438072905557</v>
      </c>
      <c r="AK125" s="323">
        <f t="shared" si="26"/>
        <v>0</v>
      </c>
      <c r="AL125" s="323">
        <f t="shared" si="22"/>
        <v>254.65785546791679</v>
      </c>
      <c r="AM125" s="323">
        <f t="shared" si="27"/>
        <v>0</v>
      </c>
      <c r="AN125" s="323">
        <f t="shared" si="28"/>
        <v>254.65785546791679</v>
      </c>
      <c r="AO125" s="323">
        <f t="shared" si="29"/>
        <v>3140.7802174376402</v>
      </c>
    </row>
    <row r="126" spans="1:42" x14ac:dyDescent="0.35">
      <c r="B126">
        <f t="shared" si="30"/>
        <v>106</v>
      </c>
      <c r="E126" s="475">
        <f t="shared" si="18"/>
        <v>3140.7802174376402</v>
      </c>
      <c r="F126" s="484">
        <f t="shared" si="23"/>
        <v>407452.56874866685</v>
      </c>
      <c r="G126" s="144"/>
      <c r="H126" s="485">
        <v>0</v>
      </c>
      <c r="I126" s="144">
        <f t="shared" si="31"/>
        <v>325389.04284800735</v>
      </c>
      <c r="J126" s="484">
        <f t="shared" si="24"/>
        <v>3069.7079513962949</v>
      </c>
      <c r="K126" s="144"/>
      <c r="L126" s="475">
        <f t="shared" si="19"/>
        <v>732841.61159667419</v>
      </c>
      <c r="M126" s="486">
        <f t="shared" si="25"/>
        <v>3358.8573864847563</v>
      </c>
      <c r="O126" s="487">
        <f t="shared" si="20"/>
        <v>-218.07716904711606</v>
      </c>
      <c r="AJ126" s="323">
        <f t="shared" si="21"/>
        <v>3395.438072905557</v>
      </c>
      <c r="AK126" s="323">
        <f t="shared" si="26"/>
        <v>0</v>
      </c>
      <c r="AL126" s="323">
        <f t="shared" si="22"/>
        <v>254.65785546791679</v>
      </c>
      <c r="AM126" s="323">
        <f t="shared" si="27"/>
        <v>0</v>
      </c>
      <c r="AN126" s="323">
        <f t="shared" si="28"/>
        <v>254.65785546791679</v>
      </c>
      <c r="AO126" s="323">
        <f t="shared" si="29"/>
        <v>3140.7802174376402</v>
      </c>
    </row>
    <row r="127" spans="1:42" x14ac:dyDescent="0.35">
      <c r="B127">
        <f t="shared" si="30"/>
        <v>107</v>
      </c>
      <c r="E127" s="475">
        <f t="shared" si="18"/>
        <v>3140.7802174376402</v>
      </c>
      <c r="F127" s="484">
        <f t="shared" si="23"/>
        <v>407452.56874866685</v>
      </c>
      <c r="G127" s="144"/>
      <c r="H127" s="485">
        <v>0</v>
      </c>
      <c r="I127" s="144">
        <f t="shared" si="31"/>
        <v>328458.75079940364</v>
      </c>
      <c r="J127" s="484">
        <f t="shared" si="24"/>
        <v>3069.7079513962949</v>
      </c>
      <c r="K127" s="144"/>
      <c r="L127" s="475">
        <f t="shared" si="19"/>
        <v>735911.31954807043</v>
      </c>
      <c r="M127" s="486">
        <f t="shared" si="25"/>
        <v>3372.9268812619889</v>
      </c>
      <c r="O127" s="487">
        <f t="shared" si="20"/>
        <v>-232.14666382434871</v>
      </c>
      <c r="AJ127" s="323">
        <f t="shared" si="21"/>
        <v>3395.438072905557</v>
      </c>
      <c r="AK127" s="323">
        <f t="shared" si="26"/>
        <v>0</v>
      </c>
      <c r="AL127" s="323">
        <f t="shared" si="22"/>
        <v>254.65785546791679</v>
      </c>
      <c r="AM127" s="323">
        <f t="shared" si="27"/>
        <v>0</v>
      </c>
      <c r="AN127" s="323">
        <f t="shared" si="28"/>
        <v>254.65785546791679</v>
      </c>
      <c r="AO127" s="323">
        <f t="shared" si="29"/>
        <v>3140.7802174376402</v>
      </c>
    </row>
    <row r="128" spans="1:42" x14ac:dyDescent="0.35">
      <c r="B128">
        <f t="shared" si="30"/>
        <v>108</v>
      </c>
      <c r="E128" s="475">
        <f t="shared" si="18"/>
        <v>3140.7802174376402</v>
      </c>
      <c r="F128" s="484">
        <f t="shared" si="23"/>
        <v>407452.56874866685</v>
      </c>
      <c r="G128" s="144"/>
      <c r="H128" s="485">
        <v>0</v>
      </c>
      <c r="I128" s="144">
        <f t="shared" si="31"/>
        <v>331528.45875079994</v>
      </c>
      <c r="J128" s="484">
        <f t="shared" si="24"/>
        <v>3069.7079513962949</v>
      </c>
      <c r="K128" s="144"/>
      <c r="L128" s="475">
        <f t="shared" si="19"/>
        <v>738981.02749946679</v>
      </c>
      <c r="M128" s="486">
        <f t="shared" si="25"/>
        <v>3386.996376039222</v>
      </c>
      <c r="O128" s="487">
        <f t="shared" si="20"/>
        <v>-246.21615860158181</v>
      </c>
      <c r="AJ128" s="323">
        <f t="shared" si="21"/>
        <v>3395.438072905557</v>
      </c>
      <c r="AK128" s="323">
        <f t="shared" si="26"/>
        <v>0</v>
      </c>
      <c r="AL128" s="323">
        <f t="shared" si="22"/>
        <v>254.65785546791679</v>
      </c>
      <c r="AM128" s="323">
        <f t="shared" si="27"/>
        <v>0</v>
      </c>
      <c r="AN128" s="323">
        <f t="shared" si="28"/>
        <v>254.65785546791679</v>
      </c>
      <c r="AO128" s="323">
        <f t="shared" si="29"/>
        <v>3140.7802174376402</v>
      </c>
      <c r="AP128" s="387">
        <f>SUM(AO117:AO128)-Y28</f>
        <v>0</v>
      </c>
    </row>
    <row r="129" spans="1:42" x14ac:dyDescent="0.35">
      <c r="A129">
        <f>A117+1</f>
        <v>10</v>
      </c>
      <c r="B129">
        <f t="shared" si="30"/>
        <v>109</v>
      </c>
      <c r="E129" s="475">
        <f t="shared" si="18"/>
        <v>3140.7802174376402</v>
      </c>
      <c r="F129" s="484">
        <f t="shared" si="23"/>
        <v>407452.56874866685</v>
      </c>
      <c r="G129" s="144"/>
      <c r="H129" s="485">
        <v>0</v>
      </c>
      <c r="I129" s="144">
        <f t="shared" si="31"/>
        <v>334598.16670219623</v>
      </c>
      <c r="J129" s="484">
        <f t="shared" si="24"/>
        <v>3069.7079513962949</v>
      </c>
      <c r="K129" s="144"/>
      <c r="L129" s="475">
        <f t="shared" si="19"/>
        <v>742050.73545086314</v>
      </c>
      <c r="M129" s="486">
        <f t="shared" si="25"/>
        <v>3401.0658708164556</v>
      </c>
      <c r="O129" s="487">
        <f t="shared" si="20"/>
        <v>-260.28565337881537</v>
      </c>
      <c r="AJ129" s="323">
        <f t="shared" si="21"/>
        <v>3395.438072905557</v>
      </c>
      <c r="AK129" s="323">
        <f t="shared" si="26"/>
        <v>0</v>
      </c>
      <c r="AL129" s="323">
        <f t="shared" si="22"/>
        <v>254.65785546791679</v>
      </c>
      <c r="AM129" s="323">
        <f t="shared" si="27"/>
        <v>0</v>
      </c>
      <c r="AN129" s="323">
        <f t="shared" si="28"/>
        <v>254.65785546791679</v>
      </c>
      <c r="AO129" s="323">
        <f t="shared" si="29"/>
        <v>3140.7802174376402</v>
      </c>
    </row>
    <row r="130" spans="1:42" ht="17.75" customHeight="1" thickBot="1" x14ac:dyDescent="0.4">
      <c r="B130">
        <f t="shared" si="30"/>
        <v>110</v>
      </c>
      <c r="E130" s="475">
        <f t="shared" si="18"/>
        <v>3140.7802174376402</v>
      </c>
      <c r="F130" s="484">
        <f t="shared" si="23"/>
        <v>407452.56874866685</v>
      </c>
      <c r="G130" s="144"/>
      <c r="H130" s="485">
        <v>0</v>
      </c>
      <c r="I130" s="144">
        <f t="shared" si="31"/>
        <v>337667.87465359253</v>
      </c>
      <c r="J130" s="484">
        <f t="shared" si="24"/>
        <v>3069.7079513962949</v>
      </c>
      <c r="K130" s="144"/>
      <c r="L130" s="475">
        <f t="shared" si="19"/>
        <v>745120.44340225938</v>
      </c>
      <c r="M130" s="486">
        <f t="shared" si="25"/>
        <v>3415.1353655936882</v>
      </c>
      <c r="O130" s="487">
        <f t="shared" si="20"/>
        <v>-274.35514815604802</v>
      </c>
      <c r="AJ130" s="323">
        <f t="shared" si="21"/>
        <v>3395.438072905557</v>
      </c>
      <c r="AK130" s="323">
        <f t="shared" si="26"/>
        <v>0</v>
      </c>
      <c r="AL130" s="323">
        <f t="shared" si="22"/>
        <v>254.65785546791679</v>
      </c>
      <c r="AM130" s="323">
        <f t="shared" si="27"/>
        <v>0</v>
      </c>
      <c r="AN130" s="323">
        <f t="shared" si="28"/>
        <v>254.65785546791679</v>
      </c>
      <c r="AO130" s="323">
        <f t="shared" si="29"/>
        <v>3140.7802174376402</v>
      </c>
    </row>
    <row r="131" spans="1:42" ht="14.65" thickBot="1" x14ac:dyDescent="0.5">
      <c r="B131">
        <f t="shared" si="30"/>
        <v>111</v>
      </c>
      <c r="E131" s="475">
        <f t="shared" si="18"/>
        <v>3140.7802174376402</v>
      </c>
      <c r="F131" s="484">
        <f t="shared" si="23"/>
        <v>407452.56874866685</v>
      </c>
      <c r="G131" s="144"/>
      <c r="H131" s="485">
        <v>0</v>
      </c>
      <c r="I131" s="144">
        <f t="shared" si="31"/>
        <v>340737.58260498883</v>
      </c>
      <c r="J131" s="484">
        <f t="shared" si="24"/>
        <v>3069.7079513962949</v>
      </c>
      <c r="K131" s="144"/>
      <c r="L131" s="475">
        <f t="shared" si="19"/>
        <v>748190.15135365562</v>
      </c>
      <c r="M131" s="486">
        <f t="shared" si="25"/>
        <v>3429.2048603709209</v>
      </c>
      <c r="O131" s="487">
        <f t="shared" si="20"/>
        <v>-288.42464293328067</v>
      </c>
      <c r="Q131" s="841" t="s">
        <v>229</v>
      </c>
      <c r="R131" s="842"/>
      <c r="AJ131" s="323">
        <f t="shared" si="21"/>
        <v>3395.438072905557</v>
      </c>
      <c r="AK131" s="323">
        <f t="shared" si="26"/>
        <v>0</v>
      </c>
      <c r="AL131" s="323">
        <f t="shared" si="22"/>
        <v>254.65785546791679</v>
      </c>
      <c r="AM131" s="323">
        <f t="shared" si="27"/>
        <v>0</v>
      </c>
      <c r="AN131" s="323">
        <f t="shared" si="28"/>
        <v>254.65785546791679</v>
      </c>
      <c r="AO131" s="323">
        <f t="shared" si="29"/>
        <v>3140.7802174376402</v>
      </c>
    </row>
    <row r="132" spans="1:42" ht="15" customHeight="1" x14ac:dyDescent="0.45">
      <c r="B132">
        <f t="shared" si="30"/>
        <v>112</v>
      </c>
      <c r="E132" s="475">
        <f t="shared" si="18"/>
        <v>3140.7802174376402</v>
      </c>
      <c r="F132" s="484">
        <f t="shared" si="23"/>
        <v>407452.56874866685</v>
      </c>
      <c r="G132" s="144"/>
      <c r="H132" s="485">
        <v>0</v>
      </c>
      <c r="I132" s="144">
        <f t="shared" si="31"/>
        <v>343807.29055638512</v>
      </c>
      <c r="J132" s="484">
        <f t="shared" si="24"/>
        <v>3069.7079513962949</v>
      </c>
      <c r="K132" s="144"/>
      <c r="L132" s="475">
        <f t="shared" si="19"/>
        <v>751259.85930505197</v>
      </c>
      <c r="M132" s="486">
        <f t="shared" si="25"/>
        <v>3443.2743551481544</v>
      </c>
      <c r="O132" s="487">
        <f t="shared" si="20"/>
        <v>-302.49413771051422</v>
      </c>
      <c r="Q132" s="504"/>
      <c r="R132" s="505"/>
      <c r="AJ132" s="323">
        <f t="shared" si="21"/>
        <v>3395.438072905557</v>
      </c>
      <c r="AK132" s="323">
        <f t="shared" si="26"/>
        <v>0</v>
      </c>
      <c r="AL132" s="323">
        <f t="shared" si="22"/>
        <v>254.65785546791679</v>
      </c>
      <c r="AM132" s="323">
        <f t="shared" si="27"/>
        <v>0</v>
      </c>
      <c r="AN132" s="323">
        <f t="shared" si="28"/>
        <v>254.65785546791679</v>
      </c>
      <c r="AO132" s="323">
        <f t="shared" si="29"/>
        <v>3140.7802174376402</v>
      </c>
    </row>
    <row r="133" spans="1:42" ht="14.25" x14ac:dyDescent="0.45">
      <c r="B133">
        <f t="shared" si="30"/>
        <v>113</v>
      </c>
      <c r="E133" s="475">
        <f t="shared" si="18"/>
        <v>3140.7802174376402</v>
      </c>
      <c r="F133" s="484">
        <f t="shared" si="23"/>
        <v>407452.56874866685</v>
      </c>
      <c r="G133" s="144"/>
      <c r="H133" s="485">
        <v>0</v>
      </c>
      <c r="I133" s="144">
        <f t="shared" si="31"/>
        <v>346876.99850778142</v>
      </c>
      <c r="J133" s="484">
        <f t="shared" si="24"/>
        <v>3069.7079513962949</v>
      </c>
      <c r="K133" s="144"/>
      <c r="L133" s="475">
        <f t="shared" si="19"/>
        <v>754329.56725644832</v>
      </c>
      <c r="M133" s="486">
        <f t="shared" si="25"/>
        <v>3457.3438499253875</v>
      </c>
      <c r="O133" s="487">
        <f t="shared" si="20"/>
        <v>-316.56363248774733</v>
      </c>
      <c r="Q133" s="506" t="s">
        <v>230</v>
      </c>
      <c r="R133" s="507">
        <f>FV($C$8,10,,-$C$5)</f>
        <v>1776293.1419020134</v>
      </c>
      <c r="T133" s="402"/>
      <c r="AJ133" s="323">
        <f t="shared" si="21"/>
        <v>3395.438072905557</v>
      </c>
      <c r="AK133" s="323">
        <f t="shared" si="26"/>
        <v>0</v>
      </c>
      <c r="AL133" s="323">
        <f t="shared" si="22"/>
        <v>254.65785546791679</v>
      </c>
      <c r="AM133" s="323">
        <f t="shared" si="27"/>
        <v>0</v>
      </c>
      <c r="AN133" s="323">
        <f t="shared" si="28"/>
        <v>254.65785546791679</v>
      </c>
      <c r="AO133" s="323">
        <f t="shared" si="29"/>
        <v>3140.7802174376402</v>
      </c>
    </row>
    <row r="134" spans="1:42" ht="14.25" x14ac:dyDescent="0.45">
      <c r="B134">
        <f t="shared" si="30"/>
        <v>114</v>
      </c>
      <c r="E134" s="475">
        <f t="shared" si="18"/>
        <v>3140.7802174376402</v>
      </c>
      <c r="F134" s="484">
        <f t="shared" si="23"/>
        <v>407452.56874866685</v>
      </c>
      <c r="G134" s="144"/>
      <c r="H134" s="485">
        <v>0</v>
      </c>
      <c r="I134" s="144">
        <f t="shared" si="31"/>
        <v>349946.70645917772</v>
      </c>
      <c r="J134" s="484">
        <f t="shared" si="24"/>
        <v>3069.7079513962949</v>
      </c>
      <c r="K134" s="144"/>
      <c r="L134" s="475">
        <f t="shared" si="19"/>
        <v>757399.27520784456</v>
      </c>
      <c r="M134" s="486">
        <f t="shared" si="25"/>
        <v>3471.4133447026202</v>
      </c>
      <c r="O134" s="487">
        <f t="shared" si="20"/>
        <v>-330.63312726497998</v>
      </c>
      <c r="Q134" s="506" t="s">
        <v>226</v>
      </c>
      <c r="R134" s="508">
        <f>-$C$7</f>
        <v>-960000</v>
      </c>
      <c r="T134" s="402"/>
      <c r="AJ134" s="323">
        <f t="shared" si="21"/>
        <v>3395.438072905557</v>
      </c>
      <c r="AK134" s="323">
        <f t="shared" si="26"/>
        <v>0</v>
      </c>
      <c r="AL134" s="323">
        <f t="shared" si="22"/>
        <v>254.65785546791679</v>
      </c>
      <c r="AM134" s="323">
        <f t="shared" si="27"/>
        <v>0</v>
      </c>
      <c r="AN134" s="323">
        <f t="shared" si="28"/>
        <v>254.65785546791679</v>
      </c>
      <c r="AO134" s="323">
        <f t="shared" si="29"/>
        <v>3140.7802174376402</v>
      </c>
    </row>
    <row r="135" spans="1:42" ht="14.25" x14ac:dyDescent="0.45">
      <c r="B135">
        <f t="shared" si="30"/>
        <v>115</v>
      </c>
      <c r="E135" s="475">
        <f t="shared" si="18"/>
        <v>3140.7802174376402</v>
      </c>
      <c r="F135" s="484">
        <f t="shared" si="23"/>
        <v>407452.56874866685</v>
      </c>
      <c r="G135" s="144"/>
      <c r="H135" s="485">
        <v>0</v>
      </c>
      <c r="I135" s="144">
        <f t="shared" si="31"/>
        <v>353016.41441057401</v>
      </c>
      <c r="J135" s="484">
        <f t="shared" si="24"/>
        <v>3069.7079513962949</v>
      </c>
      <c r="K135" s="144"/>
      <c r="L135" s="475">
        <f t="shared" si="19"/>
        <v>760468.9831592408</v>
      </c>
      <c r="M135" s="486">
        <f t="shared" si="25"/>
        <v>3485.4828394798528</v>
      </c>
      <c r="O135" s="487">
        <f t="shared" si="20"/>
        <v>-344.70262204221262</v>
      </c>
      <c r="Q135" s="506" t="s">
        <v>227</v>
      </c>
      <c r="R135" s="507">
        <f>F140</f>
        <v>407452.56874866685</v>
      </c>
      <c r="T135" s="402"/>
      <c r="AJ135" s="323">
        <f t="shared" si="21"/>
        <v>3395.438072905557</v>
      </c>
      <c r="AK135" s="323">
        <f t="shared" si="26"/>
        <v>0</v>
      </c>
      <c r="AL135" s="323">
        <f t="shared" si="22"/>
        <v>254.65785546791679</v>
      </c>
      <c r="AM135" s="323">
        <f t="shared" si="27"/>
        <v>0</v>
      </c>
      <c r="AN135" s="323">
        <f t="shared" si="28"/>
        <v>254.65785546791679</v>
      </c>
      <c r="AO135" s="323">
        <f t="shared" si="29"/>
        <v>3140.7802174376402</v>
      </c>
    </row>
    <row r="136" spans="1:42" ht="14.65" thickBot="1" x14ac:dyDescent="0.5">
      <c r="B136">
        <f t="shared" si="30"/>
        <v>116</v>
      </c>
      <c r="E136" s="475">
        <f t="shared" si="18"/>
        <v>3140.7802174376402</v>
      </c>
      <c r="F136" s="484">
        <f t="shared" si="23"/>
        <v>407452.56874866685</v>
      </c>
      <c r="G136" s="144"/>
      <c r="H136" s="485">
        <v>0</v>
      </c>
      <c r="I136" s="144">
        <f t="shared" si="31"/>
        <v>356086.12236197031</v>
      </c>
      <c r="J136" s="484">
        <f t="shared" si="24"/>
        <v>3069.7079513962949</v>
      </c>
      <c r="K136" s="144"/>
      <c r="L136" s="475">
        <f t="shared" si="19"/>
        <v>763538.69111063716</v>
      </c>
      <c r="M136" s="486">
        <f t="shared" si="25"/>
        <v>3499.5523342570864</v>
      </c>
      <c r="O136" s="487">
        <f t="shared" si="20"/>
        <v>-358.77211681944618</v>
      </c>
      <c r="Q136" s="506" t="s">
        <v>228</v>
      </c>
      <c r="R136" s="507">
        <f>$I$18-(SUM(J21:J140))</f>
        <v>184182.47708377725</v>
      </c>
      <c r="T136" s="402"/>
      <c r="AJ136" s="323">
        <f t="shared" si="21"/>
        <v>3395.438072905557</v>
      </c>
      <c r="AK136" s="323">
        <f t="shared" si="26"/>
        <v>0</v>
      </c>
      <c r="AL136" s="323">
        <f t="shared" si="22"/>
        <v>254.65785546791679</v>
      </c>
      <c r="AM136" s="323">
        <f t="shared" si="27"/>
        <v>0</v>
      </c>
      <c r="AN136" s="323">
        <f t="shared" si="28"/>
        <v>254.65785546791679</v>
      </c>
      <c r="AO136" s="323">
        <f t="shared" si="29"/>
        <v>3140.7802174376402</v>
      </c>
    </row>
    <row r="137" spans="1:42" ht="14.65" thickBot="1" x14ac:dyDescent="0.5">
      <c r="B137">
        <f t="shared" si="30"/>
        <v>117</v>
      </c>
      <c r="E137" s="475">
        <f t="shared" si="18"/>
        <v>3140.7802174376402</v>
      </c>
      <c r="F137" s="484">
        <f t="shared" si="23"/>
        <v>407452.56874866685</v>
      </c>
      <c r="G137" s="144"/>
      <c r="H137" s="485">
        <v>0</v>
      </c>
      <c r="I137" s="144">
        <f t="shared" si="31"/>
        <v>359155.8303133666</v>
      </c>
      <c r="J137" s="484">
        <f t="shared" si="24"/>
        <v>3069.7079513962949</v>
      </c>
      <c r="K137" s="144"/>
      <c r="L137" s="475">
        <f t="shared" si="19"/>
        <v>766608.39906203351</v>
      </c>
      <c r="M137" s="486">
        <f t="shared" si="25"/>
        <v>3513.6218290343195</v>
      </c>
      <c r="O137" s="487">
        <f t="shared" si="20"/>
        <v>-372.84161159667929</v>
      </c>
      <c r="Q137" s="506" t="s">
        <v>175</v>
      </c>
      <c r="R137" s="509">
        <f>SUM(R133:R136)</f>
        <v>1407928.1877344577</v>
      </c>
      <c r="T137" s="402"/>
      <c r="AJ137" s="323">
        <f t="shared" si="21"/>
        <v>3395.438072905557</v>
      </c>
      <c r="AK137" s="323">
        <f t="shared" si="26"/>
        <v>0</v>
      </c>
      <c r="AL137" s="323">
        <f t="shared" si="22"/>
        <v>254.65785546791679</v>
      </c>
      <c r="AM137" s="323">
        <f t="shared" si="27"/>
        <v>0</v>
      </c>
      <c r="AN137" s="323">
        <f t="shared" si="28"/>
        <v>254.65785546791679</v>
      </c>
      <c r="AO137" s="323">
        <f t="shared" si="29"/>
        <v>3140.7802174376402</v>
      </c>
    </row>
    <row r="138" spans="1:42" ht="14.25" x14ac:dyDescent="0.45">
      <c r="B138">
        <f t="shared" si="30"/>
        <v>118</v>
      </c>
      <c r="E138" s="475">
        <f t="shared" si="18"/>
        <v>3140.7802174376402</v>
      </c>
      <c r="F138" s="484">
        <f t="shared" si="23"/>
        <v>407452.56874866685</v>
      </c>
      <c r="G138" s="144"/>
      <c r="H138" s="485">
        <v>0</v>
      </c>
      <c r="I138" s="144">
        <f t="shared" si="31"/>
        <v>362225.5382647629</v>
      </c>
      <c r="J138" s="484">
        <f t="shared" si="24"/>
        <v>3069.7079513962949</v>
      </c>
      <c r="K138" s="144"/>
      <c r="L138" s="475">
        <f t="shared" si="19"/>
        <v>769678.10701342975</v>
      </c>
      <c r="M138" s="486">
        <f t="shared" si="25"/>
        <v>3527.6913238115521</v>
      </c>
      <c r="O138" s="487">
        <f t="shared" si="20"/>
        <v>-386.91110637391193</v>
      </c>
      <c r="Q138" s="506"/>
      <c r="R138" s="510">
        <f>(R137-$C$5)/$C$5</f>
        <v>0.17327348977871471</v>
      </c>
      <c r="T138" s="402"/>
      <c r="AJ138" s="323">
        <f t="shared" si="21"/>
        <v>3395.438072905557</v>
      </c>
      <c r="AK138" s="323">
        <f t="shared" si="26"/>
        <v>0</v>
      </c>
      <c r="AL138" s="323">
        <f t="shared" si="22"/>
        <v>254.65785546791679</v>
      </c>
      <c r="AM138" s="323">
        <f t="shared" si="27"/>
        <v>0</v>
      </c>
      <c r="AN138" s="323">
        <f t="shared" si="28"/>
        <v>254.65785546791679</v>
      </c>
      <c r="AO138" s="323">
        <f t="shared" si="29"/>
        <v>3140.7802174376402</v>
      </c>
    </row>
    <row r="139" spans="1:42" ht="28.5" x14ac:dyDescent="0.45">
      <c r="B139">
        <f t="shared" si="30"/>
        <v>119</v>
      </c>
      <c r="E139" s="475">
        <f t="shared" si="18"/>
        <v>3140.7802174376402</v>
      </c>
      <c r="F139" s="484">
        <f t="shared" si="23"/>
        <v>407452.56874866685</v>
      </c>
      <c r="G139" s="144"/>
      <c r="H139" s="485">
        <v>0</v>
      </c>
      <c r="I139" s="144">
        <f t="shared" si="31"/>
        <v>365295.2462161592</v>
      </c>
      <c r="J139" s="484">
        <f t="shared" si="24"/>
        <v>3069.7079513962949</v>
      </c>
      <c r="K139" s="144"/>
      <c r="L139" s="475">
        <f t="shared" si="19"/>
        <v>772747.81496482599</v>
      </c>
      <c r="M139" s="486">
        <f t="shared" si="25"/>
        <v>3541.7608185887852</v>
      </c>
      <c r="O139" s="487">
        <f t="shared" si="20"/>
        <v>-400.98060115114504</v>
      </c>
      <c r="Q139" s="511" t="s">
        <v>178</v>
      </c>
      <c r="R139" s="507">
        <f>SUM(J21:J140)</f>
        <v>368364.95416755549</v>
      </c>
      <c r="AJ139" s="323">
        <f t="shared" si="21"/>
        <v>3395.438072905557</v>
      </c>
      <c r="AK139" s="323">
        <f t="shared" si="26"/>
        <v>0</v>
      </c>
      <c r="AL139" s="323">
        <f t="shared" si="22"/>
        <v>254.65785546791679</v>
      </c>
      <c r="AM139" s="323">
        <f t="shared" si="27"/>
        <v>0</v>
      </c>
      <c r="AN139" s="323">
        <f t="shared" si="28"/>
        <v>254.65785546791679</v>
      </c>
      <c r="AO139" s="323">
        <f t="shared" si="29"/>
        <v>3140.7802174376402</v>
      </c>
    </row>
    <row r="140" spans="1:42" ht="14.65" thickBot="1" x14ac:dyDescent="0.5">
      <c r="B140" s="512">
        <f t="shared" si="30"/>
        <v>120</v>
      </c>
      <c r="C140" s="512"/>
      <c r="D140" s="512"/>
      <c r="E140" s="513">
        <f t="shared" si="18"/>
        <v>3140.7802174376402</v>
      </c>
      <c r="F140" s="514">
        <f t="shared" si="23"/>
        <v>407452.56874866685</v>
      </c>
      <c r="G140" s="515"/>
      <c r="H140" s="516">
        <v>0</v>
      </c>
      <c r="I140" s="515">
        <f t="shared" si="31"/>
        <v>368364.95416755549</v>
      </c>
      <c r="J140" s="514">
        <f t="shared" si="24"/>
        <v>3069.7079513962949</v>
      </c>
      <c r="K140" s="515"/>
      <c r="L140" s="513">
        <f>$F$17+I140</f>
        <v>775817.52291622234</v>
      </c>
      <c r="M140" s="517">
        <f t="shared" si="25"/>
        <v>3555.8303133660183</v>
      </c>
      <c r="N140" s="512"/>
      <c r="O140" s="518">
        <f t="shared" si="20"/>
        <v>-415.05009592837814</v>
      </c>
      <c r="Q140" s="519" t="s">
        <v>182</v>
      </c>
      <c r="R140" s="520">
        <f>SUM(O21:O140)</f>
        <v>50650.181198038394</v>
      </c>
      <c r="AJ140" s="323">
        <f t="shared" si="21"/>
        <v>3395.438072905557</v>
      </c>
      <c r="AK140" s="323">
        <f t="shared" si="26"/>
        <v>0</v>
      </c>
      <c r="AL140" s="323">
        <f t="shared" si="22"/>
        <v>254.65785546791679</v>
      </c>
      <c r="AM140" s="323">
        <f t="shared" si="27"/>
        <v>0</v>
      </c>
      <c r="AN140" s="323">
        <f t="shared" si="28"/>
        <v>254.65785546791679</v>
      </c>
      <c r="AO140" s="323">
        <f t="shared" si="29"/>
        <v>3140.7802174376402</v>
      </c>
      <c r="AP140" s="387">
        <f>SUM(AO129:AO140)-Y29</f>
        <v>0</v>
      </c>
    </row>
    <row r="141" spans="1:42" x14ac:dyDescent="0.35">
      <c r="A141">
        <f>A129+1</f>
        <v>11</v>
      </c>
      <c r="B141">
        <f t="shared" si="30"/>
        <v>121</v>
      </c>
      <c r="E141" s="475">
        <f t="shared" si="18"/>
        <v>3140.7802174376402</v>
      </c>
      <c r="F141" s="484">
        <f t="shared" si="23"/>
        <v>407452.56874866685</v>
      </c>
      <c r="G141" s="144"/>
      <c r="H141" s="485">
        <v>0</v>
      </c>
      <c r="I141" s="144">
        <f t="shared" si="31"/>
        <v>371434.66211895179</v>
      </c>
      <c r="J141" s="484">
        <f t="shared" si="24"/>
        <v>3069.7079513962949</v>
      </c>
      <c r="K141" s="144"/>
      <c r="L141" s="475">
        <f t="shared" si="19"/>
        <v>778887.23086761869</v>
      </c>
      <c r="M141" s="486">
        <f t="shared" si="25"/>
        <v>3569.8998081432519</v>
      </c>
      <c r="O141" s="487">
        <f t="shared" si="20"/>
        <v>-429.1195907056117</v>
      </c>
      <c r="AJ141" s="323">
        <f t="shared" si="21"/>
        <v>3395.438072905557</v>
      </c>
      <c r="AK141" s="323">
        <f t="shared" si="26"/>
        <v>0</v>
      </c>
      <c r="AL141" s="323">
        <f t="shared" si="22"/>
        <v>254.65785546791679</v>
      </c>
      <c r="AM141" s="323">
        <f t="shared" si="27"/>
        <v>0</v>
      </c>
      <c r="AN141" s="323">
        <f t="shared" si="28"/>
        <v>254.65785546791679</v>
      </c>
      <c r="AO141" s="323">
        <f t="shared" si="29"/>
        <v>3140.7802174376402</v>
      </c>
    </row>
    <row r="142" spans="1:42" x14ac:dyDescent="0.35">
      <c r="B142">
        <f t="shared" si="30"/>
        <v>122</v>
      </c>
      <c r="E142" s="475">
        <f t="shared" si="18"/>
        <v>3140.7802174376402</v>
      </c>
      <c r="F142" s="484">
        <f t="shared" si="23"/>
        <v>407452.56874866685</v>
      </c>
      <c r="G142" s="144"/>
      <c r="H142" s="485">
        <v>0</v>
      </c>
      <c r="I142" s="144">
        <f t="shared" si="31"/>
        <v>374504.37007034809</v>
      </c>
      <c r="J142" s="484">
        <f t="shared" si="24"/>
        <v>3069.7079513962949</v>
      </c>
      <c r="K142" s="144"/>
      <c r="L142" s="475">
        <f t="shared" si="19"/>
        <v>781956.93881901493</v>
      </c>
      <c r="M142" s="486">
        <f t="shared" si="25"/>
        <v>3583.9693029204846</v>
      </c>
      <c r="O142" s="487">
        <f t="shared" si="20"/>
        <v>-443.18908548284435</v>
      </c>
      <c r="AJ142" s="323">
        <f t="shared" si="21"/>
        <v>3395.438072905557</v>
      </c>
      <c r="AK142" s="323">
        <f t="shared" si="26"/>
        <v>0</v>
      </c>
      <c r="AL142" s="323">
        <f t="shared" si="22"/>
        <v>254.65785546791679</v>
      </c>
      <c r="AM142" s="323">
        <f t="shared" si="27"/>
        <v>0</v>
      </c>
      <c r="AN142" s="323">
        <f t="shared" si="28"/>
        <v>254.65785546791679</v>
      </c>
      <c r="AO142" s="323">
        <f t="shared" si="29"/>
        <v>3140.7802174376402</v>
      </c>
    </row>
    <row r="143" spans="1:42" x14ac:dyDescent="0.35">
      <c r="B143">
        <f t="shared" si="30"/>
        <v>123</v>
      </c>
      <c r="E143" s="475">
        <f t="shared" si="18"/>
        <v>3140.7802174376402</v>
      </c>
      <c r="F143" s="484">
        <f t="shared" si="23"/>
        <v>407452.56874866685</v>
      </c>
      <c r="G143" s="144"/>
      <c r="H143" s="485">
        <v>0</v>
      </c>
      <c r="I143" s="144">
        <f t="shared" si="31"/>
        <v>377574.07802174438</v>
      </c>
      <c r="J143" s="484">
        <f t="shared" si="24"/>
        <v>3069.7079513962949</v>
      </c>
      <c r="K143" s="144"/>
      <c r="L143" s="475">
        <f t="shared" si="19"/>
        <v>785026.64677041117</v>
      </c>
      <c r="M143" s="486">
        <f t="shared" si="25"/>
        <v>3598.0387976977172</v>
      </c>
      <c r="O143" s="487">
        <f t="shared" si="20"/>
        <v>-457.258580260077</v>
      </c>
      <c r="AJ143" s="323">
        <f t="shared" si="21"/>
        <v>3395.438072905557</v>
      </c>
      <c r="AK143" s="323">
        <f t="shared" si="26"/>
        <v>0</v>
      </c>
      <c r="AL143" s="323">
        <f t="shared" si="22"/>
        <v>254.65785546791679</v>
      </c>
      <c r="AM143" s="323">
        <f t="shared" si="27"/>
        <v>0</v>
      </c>
      <c r="AN143" s="323">
        <f t="shared" si="28"/>
        <v>254.65785546791679</v>
      </c>
      <c r="AO143" s="323">
        <f t="shared" si="29"/>
        <v>3140.7802174376402</v>
      </c>
    </row>
    <row r="144" spans="1:42" x14ac:dyDescent="0.35">
      <c r="B144">
        <f t="shared" si="30"/>
        <v>124</v>
      </c>
      <c r="E144" s="475">
        <f t="shared" si="18"/>
        <v>3140.7802174376402</v>
      </c>
      <c r="F144" s="484">
        <f t="shared" si="23"/>
        <v>407452.56874866685</v>
      </c>
      <c r="G144" s="144"/>
      <c r="H144" s="485">
        <v>0</v>
      </c>
      <c r="I144" s="144">
        <f t="shared" si="31"/>
        <v>380643.78597314068</v>
      </c>
      <c r="J144" s="484">
        <f t="shared" si="24"/>
        <v>3069.7079513962949</v>
      </c>
      <c r="K144" s="144"/>
      <c r="L144" s="475">
        <f t="shared" si="19"/>
        <v>788096.35472180753</v>
      </c>
      <c r="M144" s="486">
        <f t="shared" si="25"/>
        <v>3612.1082924749503</v>
      </c>
      <c r="O144" s="487">
        <f t="shared" si="20"/>
        <v>-471.3280750373101</v>
      </c>
      <c r="AJ144" s="323">
        <f t="shared" si="21"/>
        <v>3395.438072905557</v>
      </c>
      <c r="AK144" s="323">
        <f t="shared" si="26"/>
        <v>0</v>
      </c>
      <c r="AL144" s="323">
        <f t="shared" si="22"/>
        <v>254.65785546791679</v>
      </c>
      <c r="AM144" s="323">
        <f t="shared" si="27"/>
        <v>0</v>
      </c>
      <c r="AN144" s="323">
        <f t="shared" si="28"/>
        <v>254.65785546791679</v>
      </c>
      <c r="AO144" s="323">
        <f t="shared" si="29"/>
        <v>3140.7802174376402</v>
      </c>
    </row>
    <row r="145" spans="1:42" x14ac:dyDescent="0.35">
      <c r="B145">
        <f t="shared" si="30"/>
        <v>125</v>
      </c>
      <c r="E145" s="475">
        <f t="shared" si="18"/>
        <v>3140.7802174376402</v>
      </c>
      <c r="F145" s="484">
        <f t="shared" si="23"/>
        <v>407452.56874866685</v>
      </c>
      <c r="G145" s="144"/>
      <c r="H145" s="485">
        <v>0</v>
      </c>
      <c r="I145" s="144">
        <f t="shared" si="31"/>
        <v>383713.49392453698</v>
      </c>
      <c r="J145" s="484">
        <f t="shared" si="24"/>
        <v>3069.7079513962949</v>
      </c>
      <c r="K145" s="144"/>
      <c r="L145" s="475">
        <f t="shared" si="19"/>
        <v>791166.06267320388</v>
      </c>
      <c r="M145" s="486">
        <f t="shared" si="25"/>
        <v>3626.1777872521839</v>
      </c>
      <c r="O145" s="487">
        <f t="shared" si="20"/>
        <v>-485.39756981454366</v>
      </c>
      <c r="AJ145" s="323">
        <f t="shared" si="21"/>
        <v>3395.438072905557</v>
      </c>
      <c r="AK145" s="323">
        <f t="shared" si="26"/>
        <v>0</v>
      </c>
      <c r="AL145" s="323">
        <f t="shared" si="22"/>
        <v>254.65785546791679</v>
      </c>
      <c r="AM145" s="323">
        <f t="shared" si="27"/>
        <v>0</v>
      </c>
      <c r="AN145" s="323">
        <f t="shared" si="28"/>
        <v>254.65785546791679</v>
      </c>
      <c r="AO145" s="323">
        <f t="shared" si="29"/>
        <v>3140.7802174376402</v>
      </c>
    </row>
    <row r="146" spans="1:42" x14ac:dyDescent="0.35">
      <c r="B146">
        <f t="shared" si="30"/>
        <v>126</v>
      </c>
      <c r="E146" s="475">
        <f t="shared" si="18"/>
        <v>3140.7802174376402</v>
      </c>
      <c r="F146" s="484">
        <f t="shared" si="23"/>
        <v>407452.56874866685</v>
      </c>
      <c r="G146" s="144"/>
      <c r="H146" s="485">
        <v>0</v>
      </c>
      <c r="I146" s="144">
        <f t="shared" si="31"/>
        <v>386783.20187593327</v>
      </c>
      <c r="J146" s="484">
        <f t="shared" si="24"/>
        <v>3069.7079513962949</v>
      </c>
      <c r="K146" s="144"/>
      <c r="L146" s="475">
        <f t="shared" si="19"/>
        <v>794235.77062460012</v>
      </c>
      <c r="M146" s="486">
        <f t="shared" si="25"/>
        <v>3640.2472820294165</v>
      </c>
      <c r="O146" s="487">
        <f t="shared" si="20"/>
        <v>-499.46706459177631</v>
      </c>
      <c r="AJ146" s="323">
        <f t="shared" si="21"/>
        <v>3395.438072905557</v>
      </c>
      <c r="AK146" s="323">
        <f t="shared" si="26"/>
        <v>0</v>
      </c>
      <c r="AL146" s="323">
        <f t="shared" si="22"/>
        <v>254.65785546791679</v>
      </c>
      <c r="AM146" s="323">
        <f t="shared" si="27"/>
        <v>0</v>
      </c>
      <c r="AN146" s="323">
        <f t="shared" si="28"/>
        <v>254.65785546791679</v>
      </c>
      <c r="AO146" s="323">
        <f t="shared" si="29"/>
        <v>3140.7802174376402</v>
      </c>
    </row>
    <row r="147" spans="1:42" x14ac:dyDescent="0.35">
      <c r="B147">
        <f t="shared" si="30"/>
        <v>127</v>
      </c>
      <c r="E147" s="475">
        <f t="shared" si="18"/>
        <v>3140.7802174376402</v>
      </c>
      <c r="F147" s="484">
        <f t="shared" si="23"/>
        <v>407452.56874866685</v>
      </c>
      <c r="G147" s="144"/>
      <c r="H147" s="485">
        <v>0</v>
      </c>
      <c r="I147" s="144">
        <f t="shared" si="31"/>
        <v>389852.90982732957</v>
      </c>
      <c r="J147" s="484">
        <f t="shared" si="24"/>
        <v>3069.7079513962949</v>
      </c>
      <c r="K147" s="144"/>
      <c r="L147" s="475">
        <f t="shared" si="19"/>
        <v>797305.47857599636</v>
      </c>
      <c r="M147" s="486">
        <f t="shared" si="25"/>
        <v>3654.3167768066492</v>
      </c>
      <c r="O147" s="487">
        <f t="shared" si="20"/>
        <v>-513.53655936900896</v>
      </c>
      <c r="AJ147" s="323">
        <f t="shared" si="21"/>
        <v>3395.438072905557</v>
      </c>
      <c r="AK147" s="323">
        <f t="shared" si="26"/>
        <v>0</v>
      </c>
      <c r="AL147" s="323">
        <f t="shared" si="22"/>
        <v>254.65785546791679</v>
      </c>
      <c r="AM147" s="323">
        <f t="shared" si="27"/>
        <v>0</v>
      </c>
      <c r="AN147" s="323">
        <f t="shared" si="28"/>
        <v>254.65785546791679</v>
      </c>
      <c r="AO147" s="323">
        <f t="shared" si="29"/>
        <v>3140.7802174376402</v>
      </c>
    </row>
    <row r="148" spans="1:42" x14ac:dyDescent="0.35">
      <c r="B148">
        <f t="shared" si="30"/>
        <v>128</v>
      </c>
      <c r="E148" s="475">
        <f t="shared" si="18"/>
        <v>3140.7802174376402</v>
      </c>
      <c r="F148" s="484">
        <f t="shared" si="23"/>
        <v>407452.56874866685</v>
      </c>
      <c r="G148" s="144"/>
      <c r="H148" s="485">
        <v>0</v>
      </c>
      <c r="I148" s="144">
        <f t="shared" si="31"/>
        <v>392922.61777872586</v>
      </c>
      <c r="J148" s="484">
        <f t="shared" si="24"/>
        <v>3069.7079513962949</v>
      </c>
      <c r="K148" s="144"/>
      <c r="L148" s="475">
        <f t="shared" si="19"/>
        <v>800375.18652739271</v>
      </c>
      <c r="M148" s="486">
        <f t="shared" si="25"/>
        <v>3668.3862715838827</v>
      </c>
      <c r="O148" s="487">
        <f t="shared" si="20"/>
        <v>-527.60605414624251</v>
      </c>
      <c r="AJ148" s="323">
        <f t="shared" si="21"/>
        <v>3395.438072905557</v>
      </c>
      <c r="AK148" s="323">
        <f t="shared" si="26"/>
        <v>0</v>
      </c>
      <c r="AL148" s="323">
        <f t="shared" si="22"/>
        <v>254.65785546791679</v>
      </c>
      <c r="AM148" s="323">
        <f t="shared" si="27"/>
        <v>0</v>
      </c>
      <c r="AN148" s="323">
        <f t="shared" si="28"/>
        <v>254.65785546791679</v>
      </c>
      <c r="AO148" s="323">
        <f t="shared" si="29"/>
        <v>3140.7802174376402</v>
      </c>
    </row>
    <row r="149" spans="1:42" x14ac:dyDescent="0.35">
      <c r="B149">
        <f t="shared" si="30"/>
        <v>129</v>
      </c>
      <c r="E149" s="475">
        <f t="shared" ref="E149:E200" si="32">(F149*($E$12/12))</f>
        <v>3140.7802174376402</v>
      </c>
      <c r="F149" s="484">
        <f t="shared" si="23"/>
        <v>407452.56874866685</v>
      </c>
      <c r="G149" s="144"/>
      <c r="H149" s="485">
        <v>0</v>
      </c>
      <c r="I149" s="144">
        <f t="shared" si="31"/>
        <v>395992.32573012216</v>
      </c>
      <c r="J149" s="484">
        <f t="shared" si="24"/>
        <v>3069.7079513962949</v>
      </c>
      <c r="K149" s="144"/>
      <c r="L149" s="475">
        <f t="shared" ref="L149:L200" si="33">$F$17+I149</f>
        <v>803444.89447878907</v>
      </c>
      <c r="M149" s="486">
        <f t="shared" si="25"/>
        <v>3682.4557663611158</v>
      </c>
      <c r="O149" s="487">
        <f t="shared" ref="O149:O200" si="34">E149+H149-M149</f>
        <v>-541.67554892347562</v>
      </c>
      <c r="AJ149" s="323">
        <f t="shared" ref="AJ149:AJ200" si="35">F149*(($E$9+$E$10)/12)</f>
        <v>3395.438072905557</v>
      </c>
      <c r="AK149" s="323">
        <f t="shared" si="26"/>
        <v>0</v>
      </c>
      <c r="AL149" s="323">
        <f t="shared" ref="AL149:AL200" si="36">F149*(-$E$11/12)</f>
        <v>254.65785546791679</v>
      </c>
      <c r="AM149" s="323">
        <f t="shared" si="27"/>
        <v>0</v>
      </c>
      <c r="AN149" s="323">
        <f t="shared" si="28"/>
        <v>254.65785546791679</v>
      </c>
      <c r="AO149" s="323">
        <f t="shared" si="29"/>
        <v>3140.7802174376402</v>
      </c>
    </row>
    <row r="150" spans="1:42" x14ac:dyDescent="0.35">
      <c r="B150">
        <f t="shared" si="30"/>
        <v>130</v>
      </c>
      <c r="E150" s="475">
        <f t="shared" si="32"/>
        <v>3140.7802174376402</v>
      </c>
      <c r="F150" s="484">
        <f t="shared" ref="F150:F200" si="37">$E$6</f>
        <v>407452.56874866685</v>
      </c>
      <c r="G150" s="144"/>
      <c r="H150" s="485">
        <v>0</v>
      </c>
      <c r="I150" s="144">
        <f t="shared" si="31"/>
        <v>399062.03368151846</v>
      </c>
      <c r="J150" s="484">
        <f t="shared" ref="J150:J200" si="38">$H$6/180</f>
        <v>3069.7079513962949</v>
      </c>
      <c r="K150" s="144"/>
      <c r="L150" s="475">
        <f t="shared" si="33"/>
        <v>806514.6024301853</v>
      </c>
      <c r="M150" s="486">
        <f t="shared" ref="M150:M200" si="39">(L150*(($M$9+$M$10+$M$11)/12))+($M$14)/12</f>
        <v>3696.5252611383485</v>
      </c>
      <c r="O150" s="487">
        <f t="shared" si="34"/>
        <v>-555.74504370070827</v>
      </c>
      <c r="AJ150" s="323">
        <f t="shared" si="35"/>
        <v>3395.438072905557</v>
      </c>
      <c r="AK150" s="323">
        <f t="shared" ref="AK150:AK200" si="40">$I$17*(($H$9+$H$10)/12)</f>
        <v>0</v>
      </c>
      <c r="AL150" s="323">
        <f t="shared" si="36"/>
        <v>254.65785546791679</v>
      </c>
      <c r="AM150" s="323">
        <f t="shared" ref="AM150:AM200" si="41">$I$17*(-$H$11/12)</f>
        <v>0</v>
      </c>
      <c r="AN150" s="323">
        <f t="shared" ref="AN150:AN200" si="42">AL150+AM150</f>
        <v>254.65785546791679</v>
      </c>
      <c r="AO150" s="323">
        <f t="shared" ref="AO150:AO200" si="43">AJ150+AK150-AN150</f>
        <v>3140.7802174376402</v>
      </c>
    </row>
    <row r="151" spans="1:42" x14ac:dyDescent="0.35">
      <c r="B151">
        <f t="shared" ref="B151:B200" si="44">B150+1</f>
        <v>131</v>
      </c>
      <c r="E151" s="475">
        <f t="shared" si="32"/>
        <v>3140.7802174376402</v>
      </c>
      <c r="F151" s="484">
        <f t="shared" si="37"/>
        <v>407452.56874866685</v>
      </c>
      <c r="G151" s="144"/>
      <c r="H151" s="485">
        <v>0</v>
      </c>
      <c r="I151" s="144">
        <f t="shared" si="31"/>
        <v>402131.74163291475</v>
      </c>
      <c r="J151" s="484">
        <f t="shared" si="38"/>
        <v>3069.7079513962949</v>
      </c>
      <c r="K151" s="144"/>
      <c r="L151" s="475">
        <f t="shared" si="33"/>
        <v>809584.31038158154</v>
      </c>
      <c r="M151" s="486">
        <f t="shared" si="39"/>
        <v>3710.5947559155816</v>
      </c>
      <c r="O151" s="487">
        <f t="shared" si="34"/>
        <v>-569.81453847794137</v>
      </c>
      <c r="AJ151" s="323">
        <f t="shared" si="35"/>
        <v>3395.438072905557</v>
      </c>
      <c r="AK151" s="323">
        <f t="shared" si="40"/>
        <v>0</v>
      </c>
      <c r="AL151" s="323">
        <f t="shared" si="36"/>
        <v>254.65785546791679</v>
      </c>
      <c r="AM151" s="323">
        <f t="shared" si="41"/>
        <v>0</v>
      </c>
      <c r="AN151" s="323">
        <f t="shared" si="42"/>
        <v>254.65785546791679</v>
      </c>
      <c r="AO151" s="323">
        <f t="shared" si="43"/>
        <v>3140.7802174376402</v>
      </c>
    </row>
    <row r="152" spans="1:42" x14ac:dyDescent="0.35">
      <c r="B152">
        <f t="shared" si="44"/>
        <v>132</v>
      </c>
      <c r="E152" s="475">
        <f t="shared" si="32"/>
        <v>3140.7802174376402</v>
      </c>
      <c r="F152" s="484">
        <f t="shared" si="37"/>
        <v>407452.56874866685</v>
      </c>
      <c r="G152" s="144"/>
      <c r="H152" s="485">
        <v>0</v>
      </c>
      <c r="I152" s="144">
        <f t="shared" ref="I152:I200" si="45">I151+J152</f>
        <v>405201.44958431105</v>
      </c>
      <c r="J152" s="484">
        <f t="shared" si="38"/>
        <v>3069.7079513962949</v>
      </c>
      <c r="K152" s="144"/>
      <c r="L152" s="475">
        <f t="shared" si="33"/>
        <v>812654.0183329779</v>
      </c>
      <c r="M152" s="486">
        <f t="shared" si="39"/>
        <v>3724.6642506928147</v>
      </c>
      <c r="O152" s="487">
        <f t="shared" si="34"/>
        <v>-583.88403325517447</v>
      </c>
      <c r="AJ152" s="323">
        <f t="shared" si="35"/>
        <v>3395.438072905557</v>
      </c>
      <c r="AK152" s="323">
        <f t="shared" si="40"/>
        <v>0</v>
      </c>
      <c r="AL152" s="323">
        <f t="shared" si="36"/>
        <v>254.65785546791679</v>
      </c>
      <c r="AM152" s="323">
        <f t="shared" si="41"/>
        <v>0</v>
      </c>
      <c r="AN152" s="323">
        <f t="shared" si="42"/>
        <v>254.65785546791679</v>
      </c>
      <c r="AO152" s="323">
        <f t="shared" si="43"/>
        <v>3140.7802174376402</v>
      </c>
      <c r="AP152" s="387">
        <f>SUM(AO141:AO152)-Y30</f>
        <v>0</v>
      </c>
    </row>
    <row r="153" spans="1:42" x14ac:dyDescent="0.35">
      <c r="A153">
        <f>A141+1</f>
        <v>12</v>
      </c>
      <c r="B153">
        <f t="shared" si="44"/>
        <v>133</v>
      </c>
      <c r="E153" s="475">
        <f t="shared" si="32"/>
        <v>3140.7802174376402</v>
      </c>
      <c r="F153" s="484">
        <f t="shared" si="37"/>
        <v>407452.56874866685</v>
      </c>
      <c r="G153" s="144"/>
      <c r="H153" s="485">
        <v>0</v>
      </c>
      <c r="I153" s="144">
        <f t="shared" si="45"/>
        <v>408271.15753570735</v>
      </c>
      <c r="J153" s="484">
        <f t="shared" si="38"/>
        <v>3069.7079513962949</v>
      </c>
      <c r="K153" s="144"/>
      <c r="L153" s="475">
        <f t="shared" si="33"/>
        <v>815723.72628437425</v>
      </c>
      <c r="M153" s="486">
        <f t="shared" si="39"/>
        <v>3738.7337454700478</v>
      </c>
      <c r="O153" s="487">
        <f t="shared" si="34"/>
        <v>-597.95352803240758</v>
      </c>
      <c r="AJ153" s="323">
        <f t="shared" si="35"/>
        <v>3395.438072905557</v>
      </c>
      <c r="AK153" s="323">
        <f t="shared" si="40"/>
        <v>0</v>
      </c>
      <c r="AL153" s="323">
        <f t="shared" si="36"/>
        <v>254.65785546791679</v>
      </c>
      <c r="AM153" s="323">
        <f t="shared" si="41"/>
        <v>0</v>
      </c>
      <c r="AN153" s="323">
        <f t="shared" si="42"/>
        <v>254.65785546791679</v>
      </c>
      <c r="AO153" s="323">
        <f t="shared" si="43"/>
        <v>3140.7802174376402</v>
      </c>
    </row>
    <row r="154" spans="1:42" x14ac:dyDescent="0.35">
      <c r="B154">
        <f t="shared" si="44"/>
        <v>134</v>
      </c>
      <c r="E154" s="475">
        <f t="shared" si="32"/>
        <v>3140.7802174376402</v>
      </c>
      <c r="F154" s="484">
        <f t="shared" si="37"/>
        <v>407452.56874866685</v>
      </c>
      <c r="G154" s="144"/>
      <c r="H154" s="485">
        <v>0</v>
      </c>
      <c r="I154" s="144">
        <f t="shared" si="45"/>
        <v>411340.86548710364</v>
      </c>
      <c r="J154" s="484">
        <f t="shared" si="38"/>
        <v>3069.7079513962949</v>
      </c>
      <c r="K154" s="144"/>
      <c r="L154" s="475">
        <f t="shared" si="33"/>
        <v>818793.43423577049</v>
      </c>
      <c r="M154" s="486">
        <f t="shared" si="39"/>
        <v>3752.8032402472809</v>
      </c>
      <c r="O154" s="487">
        <f t="shared" si="34"/>
        <v>-612.02302280964068</v>
      </c>
      <c r="AJ154" s="323">
        <f t="shared" si="35"/>
        <v>3395.438072905557</v>
      </c>
      <c r="AK154" s="323">
        <f t="shared" si="40"/>
        <v>0</v>
      </c>
      <c r="AL154" s="323">
        <f t="shared" si="36"/>
        <v>254.65785546791679</v>
      </c>
      <c r="AM154" s="323">
        <f t="shared" si="41"/>
        <v>0</v>
      </c>
      <c r="AN154" s="323">
        <f t="shared" si="42"/>
        <v>254.65785546791679</v>
      </c>
      <c r="AO154" s="323">
        <f t="shared" si="43"/>
        <v>3140.7802174376402</v>
      </c>
    </row>
    <row r="155" spans="1:42" x14ac:dyDescent="0.35">
      <c r="B155">
        <f t="shared" si="44"/>
        <v>135</v>
      </c>
      <c r="E155" s="475">
        <f t="shared" si="32"/>
        <v>3140.7802174376402</v>
      </c>
      <c r="F155" s="484">
        <f t="shared" si="37"/>
        <v>407452.56874866685</v>
      </c>
      <c r="G155" s="144"/>
      <c r="H155" s="485">
        <v>0</v>
      </c>
      <c r="I155" s="144">
        <f t="shared" si="45"/>
        <v>414410.57343849994</v>
      </c>
      <c r="J155" s="484">
        <f t="shared" si="38"/>
        <v>3069.7079513962949</v>
      </c>
      <c r="K155" s="144"/>
      <c r="L155" s="475">
        <f t="shared" si="33"/>
        <v>821863.14218716673</v>
      </c>
      <c r="M155" s="486">
        <f t="shared" si="39"/>
        <v>3766.8727350245135</v>
      </c>
      <c r="O155" s="487">
        <f t="shared" si="34"/>
        <v>-626.09251758687333</v>
      </c>
      <c r="AJ155" s="323">
        <f t="shared" si="35"/>
        <v>3395.438072905557</v>
      </c>
      <c r="AK155" s="323">
        <f t="shared" si="40"/>
        <v>0</v>
      </c>
      <c r="AL155" s="323">
        <f t="shared" si="36"/>
        <v>254.65785546791679</v>
      </c>
      <c r="AM155" s="323">
        <f t="shared" si="41"/>
        <v>0</v>
      </c>
      <c r="AN155" s="323">
        <f t="shared" si="42"/>
        <v>254.65785546791679</v>
      </c>
      <c r="AO155" s="323">
        <f t="shared" si="43"/>
        <v>3140.7802174376402</v>
      </c>
    </row>
    <row r="156" spans="1:42" x14ac:dyDescent="0.35">
      <c r="B156">
        <f t="shared" si="44"/>
        <v>136</v>
      </c>
      <c r="E156" s="475">
        <f t="shared" si="32"/>
        <v>3140.7802174376402</v>
      </c>
      <c r="F156" s="484">
        <f t="shared" si="37"/>
        <v>407452.56874866685</v>
      </c>
      <c r="G156" s="144"/>
      <c r="H156" s="485">
        <v>0</v>
      </c>
      <c r="I156" s="144">
        <f t="shared" si="45"/>
        <v>417480.28138989623</v>
      </c>
      <c r="J156" s="484">
        <f t="shared" si="38"/>
        <v>3069.7079513962949</v>
      </c>
      <c r="K156" s="144"/>
      <c r="L156" s="475">
        <f t="shared" si="33"/>
        <v>824932.85013856308</v>
      </c>
      <c r="M156" s="486">
        <f t="shared" si="39"/>
        <v>3780.9422298017466</v>
      </c>
      <c r="O156" s="487">
        <f t="shared" si="34"/>
        <v>-640.16201236410643</v>
      </c>
      <c r="AJ156" s="323">
        <f t="shared" si="35"/>
        <v>3395.438072905557</v>
      </c>
      <c r="AK156" s="323">
        <f t="shared" si="40"/>
        <v>0</v>
      </c>
      <c r="AL156" s="323">
        <f t="shared" si="36"/>
        <v>254.65785546791679</v>
      </c>
      <c r="AM156" s="323">
        <f t="shared" si="41"/>
        <v>0</v>
      </c>
      <c r="AN156" s="323">
        <f t="shared" si="42"/>
        <v>254.65785546791679</v>
      </c>
      <c r="AO156" s="323">
        <f t="shared" si="43"/>
        <v>3140.7802174376402</v>
      </c>
    </row>
    <row r="157" spans="1:42" x14ac:dyDescent="0.35">
      <c r="B157">
        <f t="shared" si="44"/>
        <v>137</v>
      </c>
      <c r="E157" s="475">
        <f t="shared" si="32"/>
        <v>3140.7802174376402</v>
      </c>
      <c r="F157" s="484">
        <f t="shared" si="37"/>
        <v>407452.56874866685</v>
      </c>
      <c r="G157" s="144"/>
      <c r="H157" s="485">
        <v>0</v>
      </c>
      <c r="I157" s="144">
        <f t="shared" si="45"/>
        <v>420549.98934129253</v>
      </c>
      <c r="J157" s="484">
        <f t="shared" si="38"/>
        <v>3069.7079513962949</v>
      </c>
      <c r="K157" s="144"/>
      <c r="L157" s="475">
        <f t="shared" si="33"/>
        <v>828002.55808995944</v>
      </c>
      <c r="M157" s="486">
        <f t="shared" si="39"/>
        <v>3795.0117245789802</v>
      </c>
      <c r="O157" s="487">
        <f t="shared" si="34"/>
        <v>-654.23150714133999</v>
      </c>
      <c r="AJ157" s="323">
        <f t="shared" si="35"/>
        <v>3395.438072905557</v>
      </c>
      <c r="AK157" s="323">
        <f t="shared" si="40"/>
        <v>0</v>
      </c>
      <c r="AL157" s="323">
        <f t="shared" si="36"/>
        <v>254.65785546791679</v>
      </c>
      <c r="AM157" s="323">
        <f t="shared" si="41"/>
        <v>0</v>
      </c>
      <c r="AN157" s="323">
        <f t="shared" si="42"/>
        <v>254.65785546791679</v>
      </c>
      <c r="AO157" s="323">
        <f t="shared" si="43"/>
        <v>3140.7802174376402</v>
      </c>
    </row>
    <row r="158" spans="1:42" x14ac:dyDescent="0.35">
      <c r="B158">
        <f t="shared" si="44"/>
        <v>138</v>
      </c>
      <c r="E158" s="475">
        <f t="shared" si="32"/>
        <v>3140.7802174376402</v>
      </c>
      <c r="F158" s="484">
        <f t="shared" si="37"/>
        <v>407452.56874866685</v>
      </c>
      <c r="G158" s="144"/>
      <c r="H158" s="485">
        <v>0</v>
      </c>
      <c r="I158" s="144">
        <f t="shared" si="45"/>
        <v>423619.69729268883</v>
      </c>
      <c r="J158" s="484">
        <f t="shared" si="38"/>
        <v>3069.7079513962949</v>
      </c>
      <c r="K158" s="144"/>
      <c r="L158" s="475">
        <f t="shared" si="33"/>
        <v>831072.26604135567</v>
      </c>
      <c r="M158" s="486">
        <f t="shared" si="39"/>
        <v>3809.0812193562128</v>
      </c>
      <c r="O158" s="487">
        <f t="shared" si="34"/>
        <v>-668.30100191857264</v>
      </c>
      <c r="AJ158" s="323">
        <f t="shared" si="35"/>
        <v>3395.438072905557</v>
      </c>
      <c r="AK158" s="323">
        <f t="shared" si="40"/>
        <v>0</v>
      </c>
      <c r="AL158" s="323">
        <f t="shared" si="36"/>
        <v>254.65785546791679</v>
      </c>
      <c r="AM158" s="323">
        <f t="shared" si="41"/>
        <v>0</v>
      </c>
      <c r="AN158" s="323">
        <f t="shared" si="42"/>
        <v>254.65785546791679</v>
      </c>
      <c r="AO158" s="323">
        <f t="shared" si="43"/>
        <v>3140.7802174376402</v>
      </c>
    </row>
    <row r="159" spans="1:42" x14ac:dyDescent="0.35">
      <c r="B159">
        <f t="shared" si="44"/>
        <v>139</v>
      </c>
      <c r="E159" s="475">
        <f t="shared" si="32"/>
        <v>3140.7802174376402</v>
      </c>
      <c r="F159" s="484">
        <f t="shared" si="37"/>
        <v>407452.56874866685</v>
      </c>
      <c r="G159" s="144"/>
      <c r="H159" s="485">
        <v>0</v>
      </c>
      <c r="I159" s="144">
        <f t="shared" si="45"/>
        <v>426689.40524408512</v>
      </c>
      <c r="J159" s="484">
        <f t="shared" si="38"/>
        <v>3069.7079513962949</v>
      </c>
      <c r="K159" s="144"/>
      <c r="L159" s="475">
        <f t="shared" si="33"/>
        <v>834141.97399275191</v>
      </c>
      <c r="M159" s="486">
        <f t="shared" si="39"/>
        <v>3823.1507141334455</v>
      </c>
      <c r="O159" s="487">
        <f t="shared" si="34"/>
        <v>-682.37049669580529</v>
      </c>
      <c r="AJ159" s="323">
        <f t="shared" si="35"/>
        <v>3395.438072905557</v>
      </c>
      <c r="AK159" s="323">
        <f t="shared" si="40"/>
        <v>0</v>
      </c>
      <c r="AL159" s="323">
        <f t="shared" si="36"/>
        <v>254.65785546791679</v>
      </c>
      <c r="AM159" s="323">
        <f t="shared" si="41"/>
        <v>0</v>
      </c>
      <c r="AN159" s="323">
        <f t="shared" si="42"/>
        <v>254.65785546791679</v>
      </c>
      <c r="AO159" s="323">
        <f t="shared" si="43"/>
        <v>3140.7802174376402</v>
      </c>
    </row>
    <row r="160" spans="1:42" x14ac:dyDescent="0.35">
      <c r="B160">
        <f t="shared" si="44"/>
        <v>140</v>
      </c>
      <c r="E160" s="475">
        <f t="shared" si="32"/>
        <v>3140.7802174376402</v>
      </c>
      <c r="F160" s="484">
        <f t="shared" si="37"/>
        <v>407452.56874866685</v>
      </c>
      <c r="G160" s="144"/>
      <c r="H160" s="485">
        <v>0</v>
      </c>
      <c r="I160" s="144">
        <f t="shared" si="45"/>
        <v>429759.11319548142</v>
      </c>
      <c r="J160" s="484">
        <f t="shared" si="38"/>
        <v>3069.7079513962949</v>
      </c>
      <c r="K160" s="144"/>
      <c r="L160" s="475">
        <f t="shared" si="33"/>
        <v>837211.68194414827</v>
      </c>
      <c r="M160" s="486">
        <f t="shared" si="39"/>
        <v>3837.220208910679</v>
      </c>
      <c r="O160" s="487">
        <f t="shared" si="34"/>
        <v>-696.43999147303884</v>
      </c>
      <c r="AJ160" s="323">
        <f t="shared" si="35"/>
        <v>3395.438072905557</v>
      </c>
      <c r="AK160" s="323">
        <f t="shared" si="40"/>
        <v>0</v>
      </c>
      <c r="AL160" s="323">
        <f t="shared" si="36"/>
        <v>254.65785546791679</v>
      </c>
      <c r="AM160" s="323">
        <f t="shared" si="41"/>
        <v>0</v>
      </c>
      <c r="AN160" s="323">
        <f t="shared" si="42"/>
        <v>254.65785546791679</v>
      </c>
      <c r="AO160" s="323">
        <f t="shared" si="43"/>
        <v>3140.7802174376402</v>
      </c>
    </row>
    <row r="161" spans="1:42" x14ac:dyDescent="0.35">
      <c r="B161">
        <f t="shared" si="44"/>
        <v>141</v>
      </c>
      <c r="E161" s="475">
        <f t="shared" si="32"/>
        <v>3140.7802174376402</v>
      </c>
      <c r="F161" s="484">
        <f t="shared" si="37"/>
        <v>407452.56874866685</v>
      </c>
      <c r="G161" s="144"/>
      <c r="H161" s="485">
        <v>0</v>
      </c>
      <c r="I161" s="144">
        <f t="shared" si="45"/>
        <v>432828.82114687772</v>
      </c>
      <c r="J161" s="484">
        <f t="shared" si="38"/>
        <v>3069.7079513962949</v>
      </c>
      <c r="K161" s="144"/>
      <c r="L161" s="475">
        <f t="shared" si="33"/>
        <v>840281.38989554462</v>
      </c>
      <c r="M161" s="486">
        <f t="shared" si="39"/>
        <v>3851.2897036879122</v>
      </c>
      <c r="O161" s="487">
        <f t="shared" si="34"/>
        <v>-710.50948625027195</v>
      </c>
      <c r="AJ161" s="323">
        <f t="shared" si="35"/>
        <v>3395.438072905557</v>
      </c>
      <c r="AK161" s="323">
        <f t="shared" si="40"/>
        <v>0</v>
      </c>
      <c r="AL161" s="323">
        <f t="shared" si="36"/>
        <v>254.65785546791679</v>
      </c>
      <c r="AM161" s="323">
        <f t="shared" si="41"/>
        <v>0</v>
      </c>
      <c r="AN161" s="323">
        <f t="shared" si="42"/>
        <v>254.65785546791679</v>
      </c>
      <c r="AO161" s="323">
        <f t="shared" si="43"/>
        <v>3140.7802174376402</v>
      </c>
    </row>
    <row r="162" spans="1:42" x14ac:dyDescent="0.35">
      <c r="B162">
        <f t="shared" si="44"/>
        <v>142</v>
      </c>
      <c r="E162" s="475">
        <f t="shared" si="32"/>
        <v>3140.7802174376402</v>
      </c>
      <c r="F162" s="484">
        <f t="shared" si="37"/>
        <v>407452.56874866685</v>
      </c>
      <c r="G162" s="144"/>
      <c r="H162" s="485">
        <v>0</v>
      </c>
      <c r="I162" s="144">
        <f t="shared" si="45"/>
        <v>435898.52909827401</v>
      </c>
      <c r="J162" s="484">
        <f t="shared" si="38"/>
        <v>3069.7079513962949</v>
      </c>
      <c r="K162" s="144"/>
      <c r="L162" s="475">
        <f t="shared" si="33"/>
        <v>843351.09784694086</v>
      </c>
      <c r="M162" s="486">
        <f t="shared" si="39"/>
        <v>3865.3591984651448</v>
      </c>
      <c r="O162" s="487">
        <f t="shared" si="34"/>
        <v>-724.5789810275046</v>
      </c>
      <c r="AJ162" s="323">
        <f t="shared" si="35"/>
        <v>3395.438072905557</v>
      </c>
      <c r="AK162" s="323">
        <f t="shared" si="40"/>
        <v>0</v>
      </c>
      <c r="AL162" s="323">
        <f t="shared" si="36"/>
        <v>254.65785546791679</v>
      </c>
      <c r="AM162" s="323">
        <f t="shared" si="41"/>
        <v>0</v>
      </c>
      <c r="AN162" s="323">
        <f t="shared" si="42"/>
        <v>254.65785546791679</v>
      </c>
      <c r="AO162" s="323">
        <f t="shared" si="43"/>
        <v>3140.7802174376402</v>
      </c>
    </row>
    <row r="163" spans="1:42" x14ac:dyDescent="0.35">
      <c r="B163">
        <f t="shared" si="44"/>
        <v>143</v>
      </c>
      <c r="E163" s="475">
        <f t="shared" si="32"/>
        <v>3140.7802174376402</v>
      </c>
      <c r="F163" s="484">
        <f t="shared" si="37"/>
        <v>407452.56874866685</v>
      </c>
      <c r="G163" s="144"/>
      <c r="H163" s="485">
        <v>0</v>
      </c>
      <c r="I163" s="144">
        <f t="shared" si="45"/>
        <v>438968.23704967031</v>
      </c>
      <c r="J163" s="484">
        <f t="shared" si="38"/>
        <v>3069.7079513962949</v>
      </c>
      <c r="K163" s="144"/>
      <c r="L163" s="475">
        <f t="shared" si="33"/>
        <v>846420.8057983371</v>
      </c>
      <c r="M163" s="486">
        <f t="shared" si="39"/>
        <v>3879.4286932423774</v>
      </c>
      <c r="O163" s="487">
        <f t="shared" si="34"/>
        <v>-738.64847580473725</v>
      </c>
      <c r="AJ163" s="323">
        <f t="shared" si="35"/>
        <v>3395.438072905557</v>
      </c>
      <c r="AK163" s="323">
        <f t="shared" si="40"/>
        <v>0</v>
      </c>
      <c r="AL163" s="323">
        <f t="shared" si="36"/>
        <v>254.65785546791679</v>
      </c>
      <c r="AM163" s="323">
        <f t="shared" si="41"/>
        <v>0</v>
      </c>
      <c r="AN163" s="323">
        <f t="shared" si="42"/>
        <v>254.65785546791679</v>
      </c>
      <c r="AO163" s="323">
        <f t="shared" si="43"/>
        <v>3140.7802174376402</v>
      </c>
    </row>
    <row r="164" spans="1:42" x14ac:dyDescent="0.35">
      <c r="B164">
        <f t="shared" si="44"/>
        <v>144</v>
      </c>
      <c r="E164" s="475">
        <f t="shared" si="32"/>
        <v>3140.7802174376402</v>
      </c>
      <c r="F164" s="484">
        <f t="shared" si="37"/>
        <v>407452.56874866685</v>
      </c>
      <c r="G164" s="144"/>
      <c r="H164" s="485">
        <v>0</v>
      </c>
      <c r="I164" s="144">
        <f t="shared" si="45"/>
        <v>442037.9450010666</v>
      </c>
      <c r="J164" s="484">
        <f t="shared" si="38"/>
        <v>3069.7079513962949</v>
      </c>
      <c r="K164" s="144"/>
      <c r="L164" s="475">
        <f t="shared" si="33"/>
        <v>849490.51374973345</v>
      </c>
      <c r="M164" s="486">
        <f t="shared" si="39"/>
        <v>3893.498188019611</v>
      </c>
      <c r="O164" s="487">
        <f t="shared" si="34"/>
        <v>-752.7179705819708</v>
      </c>
      <c r="AJ164" s="323">
        <f t="shared" si="35"/>
        <v>3395.438072905557</v>
      </c>
      <c r="AK164" s="323">
        <f t="shared" si="40"/>
        <v>0</v>
      </c>
      <c r="AL164" s="323">
        <f t="shared" si="36"/>
        <v>254.65785546791679</v>
      </c>
      <c r="AM164" s="323">
        <f t="shared" si="41"/>
        <v>0</v>
      </c>
      <c r="AN164" s="323">
        <f t="shared" si="42"/>
        <v>254.65785546791679</v>
      </c>
      <c r="AO164" s="323">
        <f t="shared" si="43"/>
        <v>3140.7802174376402</v>
      </c>
      <c r="AP164" s="387">
        <f>SUM(AO153:AO164)-Y31</f>
        <v>0</v>
      </c>
    </row>
    <row r="165" spans="1:42" x14ac:dyDescent="0.35">
      <c r="A165">
        <f>A153+1</f>
        <v>13</v>
      </c>
      <c r="B165">
        <f t="shared" si="44"/>
        <v>145</v>
      </c>
      <c r="E165" s="475">
        <f t="shared" si="32"/>
        <v>3140.7802174376402</v>
      </c>
      <c r="F165" s="484">
        <f t="shared" si="37"/>
        <v>407452.56874866685</v>
      </c>
      <c r="G165" s="144"/>
      <c r="H165" s="485">
        <v>0</v>
      </c>
      <c r="I165" s="144">
        <f t="shared" si="45"/>
        <v>445107.6529524629</v>
      </c>
      <c r="J165" s="484">
        <f t="shared" si="38"/>
        <v>3069.7079513962949</v>
      </c>
      <c r="K165" s="144"/>
      <c r="L165" s="475">
        <f t="shared" si="33"/>
        <v>852560.22170112981</v>
      </c>
      <c r="M165" s="486">
        <f t="shared" si="39"/>
        <v>3907.5676827968441</v>
      </c>
      <c r="O165" s="487">
        <f t="shared" si="34"/>
        <v>-766.78746535920391</v>
      </c>
      <c r="AJ165" s="323">
        <f t="shared" si="35"/>
        <v>3395.438072905557</v>
      </c>
      <c r="AK165" s="323">
        <f t="shared" si="40"/>
        <v>0</v>
      </c>
      <c r="AL165" s="323">
        <f t="shared" si="36"/>
        <v>254.65785546791679</v>
      </c>
      <c r="AM165" s="323">
        <f t="shared" si="41"/>
        <v>0</v>
      </c>
      <c r="AN165" s="323">
        <f t="shared" si="42"/>
        <v>254.65785546791679</v>
      </c>
      <c r="AO165" s="323">
        <f t="shared" si="43"/>
        <v>3140.7802174376402</v>
      </c>
    </row>
    <row r="166" spans="1:42" x14ac:dyDescent="0.35">
      <c r="B166">
        <f t="shared" si="44"/>
        <v>146</v>
      </c>
      <c r="E166" s="475">
        <f t="shared" si="32"/>
        <v>3140.7802174376402</v>
      </c>
      <c r="F166" s="484">
        <f t="shared" si="37"/>
        <v>407452.56874866685</v>
      </c>
      <c r="G166" s="144"/>
      <c r="H166" s="485">
        <v>0</v>
      </c>
      <c r="I166" s="144">
        <f t="shared" si="45"/>
        <v>448177.3609038592</v>
      </c>
      <c r="J166" s="484">
        <f t="shared" si="38"/>
        <v>3069.7079513962949</v>
      </c>
      <c r="K166" s="144"/>
      <c r="L166" s="475">
        <f t="shared" si="33"/>
        <v>855629.92965252604</v>
      </c>
      <c r="M166" s="486">
        <f t="shared" si="39"/>
        <v>3921.6371775740768</v>
      </c>
      <c r="O166" s="487">
        <f t="shared" si="34"/>
        <v>-780.85696013643656</v>
      </c>
      <c r="AJ166" s="323">
        <f t="shared" si="35"/>
        <v>3395.438072905557</v>
      </c>
      <c r="AK166" s="323">
        <f t="shared" si="40"/>
        <v>0</v>
      </c>
      <c r="AL166" s="323">
        <f t="shared" si="36"/>
        <v>254.65785546791679</v>
      </c>
      <c r="AM166" s="323">
        <f t="shared" si="41"/>
        <v>0</v>
      </c>
      <c r="AN166" s="323">
        <f t="shared" si="42"/>
        <v>254.65785546791679</v>
      </c>
      <c r="AO166" s="323">
        <f t="shared" si="43"/>
        <v>3140.7802174376402</v>
      </c>
    </row>
    <row r="167" spans="1:42" x14ac:dyDescent="0.35">
      <c r="B167">
        <f t="shared" si="44"/>
        <v>147</v>
      </c>
      <c r="E167" s="475">
        <f t="shared" si="32"/>
        <v>3140.7802174376402</v>
      </c>
      <c r="F167" s="484">
        <f t="shared" si="37"/>
        <v>407452.56874866685</v>
      </c>
      <c r="G167" s="144"/>
      <c r="H167" s="485">
        <v>0</v>
      </c>
      <c r="I167" s="144">
        <f t="shared" si="45"/>
        <v>451247.06885525549</v>
      </c>
      <c r="J167" s="484">
        <f t="shared" si="38"/>
        <v>3069.7079513962949</v>
      </c>
      <c r="K167" s="144"/>
      <c r="L167" s="475">
        <f t="shared" si="33"/>
        <v>858699.63760392228</v>
      </c>
      <c r="M167" s="486">
        <f t="shared" si="39"/>
        <v>3935.7066723513099</v>
      </c>
      <c r="O167" s="487">
        <f t="shared" si="34"/>
        <v>-794.92645491366966</v>
      </c>
      <c r="AJ167" s="323">
        <f t="shared" si="35"/>
        <v>3395.438072905557</v>
      </c>
      <c r="AK167" s="323">
        <f t="shared" si="40"/>
        <v>0</v>
      </c>
      <c r="AL167" s="323">
        <f t="shared" si="36"/>
        <v>254.65785546791679</v>
      </c>
      <c r="AM167" s="323">
        <f t="shared" si="41"/>
        <v>0</v>
      </c>
      <c r="AN167" s="323">
        <f t="shared" si="42"/>
        <v>254.65785546791679</v>
      </c>
      <c r="AO167" s="323">
        <f t="shared" si="43"/>
        <v>3140.7802174376402</v>
      </c>
    </row>
    <row r="168" spans="1:42" x14ac:dyDescent="0.35">
      <c r="B168">
        <f t="shared" si="44"/>
        <v>148</v>
      </c>
      <c r="E168" s="475">
        <f t="shared" si="32"/>
        <v>3140.7802174376402</v>
      </c>
      <c r="F168" s="484">
        <f t="shared" si="37"/>
        <v>407452.56874866685</v>
      </c>
      <c r="G168" s="144"/>
      <c r="H168" s="485">
        <v>0</v>
      </c>
      <c r="I168" s="144">
        <f t="shared" si="45"/>
        <v>454316.77680665179</v>
      </c>
      <c r="J168" s="484">
        <f t="shared" si="38"/>
        <v>3069.7079513962949</v>
      </c>
      <c r="K168" s="144"/>
      <c r="L168" s="475">
        <f t="shared" si="33"/>
        <v>861769.34555531864</v>
      </c>
      <c r="M168" s="486">
        <f t="shared" si="39"/>
        <v>3949.776167128543</v>
      </c>
      <c r="O168" s="487">
        <f t="shared" si="34"/>
        <v>-808.99594969090276</v>
      </c>
      <c r="AJ168" s="323">
        <f t="shared" si="35"/>
        <v>3395.438072905557</v>
      </c>
      <c r="AK168" s="323">
        <f t="shared" si="40"/>
        <v>0</v>
      </c>
      <c r="AL168" s="323">
        <f t="shared" si="36"/>
        <v>254.65785546791679</v>
      </c>
      <c r="AM168" s="323">
        <f t="shared" si="41"/>
        <v>0</v>
      </c>
      <c r="AN168" s="323">
        <f t="shared" si="42"/>
        <v>254.65785546791679</v>
      </c>
      <c r="AO168" s="323">
        <f t="shared" si="43"/>
        <v>3140.7802174376402</v>
      </c>
    </row>
    <row r="169" spans="1:42" x14ac:dyDescent="0.35">
      <c r="B169">
        <f t="shared" si="44"/>
        <v>149</v>
      </c>
      <c r="E169" s="475">
        <f t="shared" si="32"/>
        <v>3140.7802174376402</v>
      </c>
      <c r="F169" s="484">
        <f t="shared" si="37"/>
        <v>407452.56874866685</v>
      </c>
      <c r="G169" s="144"/>
      <c r="H169" s="485">
        <v>0</v>
      </c>
      <c r="I169" s="144">
        <f t="shared" si="45"/>
        <v>457386.48475804809</v>
      </c>
      <c r="J169" s="484">
        <f t="shared" si="38"/>
        <v>3069.7079513962949</v>
      </c>
      <c r="K169" s="144"/>
      <c r="L169" s="475">
        <f t="shared" si="33"/>
        <v>864839.05350671499</v>
      </c>
      <c r="M169" s="486">
        <f t="shared" si="39"/>
        <v>3963.8456619057765</v>
      </c>
      <c r="O169" s="487">
        <f t="shared" si="34"/>
        <v>-823.06544446813632</v>
      </c>
      <c r="AJ169" s="323">
        <f t="shared" si="35"/>
        <v>3395.438072905557</v>
      </c>
      <c r="AK169" s="323">
        <f t="shared" si="40"/>
        <v>0</v>
      </c>
      <c r="AL169" s="323">
        <f t="shared" si="36"/>
        <v>254.65785546791679</v>
      </c>
      <c r="AM169" s="323">
        <f t="shared" si="41"/>
        <v>0</v>
      </c>
      <c r="AN169" s="323">
        <f t="shared" si="42"/>
        <v>254.65785546791679</v>
      </c>
      <c r="AO169" s="323">
        <f t="shared" si="43"/>
        <v>3140.7802174376402</v>
      </c>
    </row>
    <row r="170" spans="1:42" x14ac:dyDescent="0.35">
      <c r="B170">
        <f t="shared" si="44"/>
        <v>150</v>
      </c>
      <c r="E170" s="475">
        <f t="shared" si="32"/>
        <v>3140.7802174376402</v>
      </c>
      <c r="F170" s="484">
        <f t="shared" si="37"/>
        <v>407452.56874866685</v>
      </c>
      <c r="G170" s="144"/>
      <c r="H170" s="485">
        <v>0</v>
      </c>
      <c r="I170" s="144">
        <f t="shared" si="45"/>
        <v>460456.19270944438</v>
      </c>
      <c r="J170" s="484">
        <f t="shared" si="38"/>
        <v>3069.7079513962949</v>
      </c>
      <c r="K170" s="144"/>
      <c r="L170" s="475">
        <f t="shared" si="33"/>
        <v>867908.76145811123</v>
      </c>
      <c r="M170" s="486">
        <f t="shared" si="39"/>
        <v>3977.9151566830092</v>
      </c>
      <c r="O170" s="487">
        <f t="shared" si="34"/>
        <v>-837.13493924536897</v>
      </c>
      <c r="AJ170" s="323">
        <f t="shared" si="35"/>
        <v>3395.438072905557</v>
      </c>
      <c r="AK170" s="323">
        <f t="shared" si="40"/>
        <v>0</v>
      </c>
      <c r="AL170" s="323">
        <f t="shared" si="36"/>
        <v>254.65785546791679</v>
      </c>
      <c r="AM170" s="323">
        <f t="shared" si="41"/>
        <v>0</v>
      </c>
      <c r="AN170" s="323">
        <f t="shared" si="42"/>
        <v>254.65785546791679</v>
      </c>
      <c r="AO170" s="323">
        <f t="shared" si="43"/>
        <v>3140.7802174376402</v>
      </c>
    </row>
    <row r="171" spans="1:42" x14ac:dyDescent="0.35">
      <c r="B171">
        <f t="shared" si="44"/>
        <v>151</v>
      </c>
      <c r="E171" s="475">
        <f t="shared" si="32"/>
        <v>3140.7802174376402</v>
      </c>
      <c r="F171" s="484">
        <f t="shared" si="37"/>
        <v>407452.56874866685</v>
      </c>
      <c r="G171" s="144"/>
      <c r="H171" s="485">
        <v>0</v>
      </c>
      <c r="I171" s="144">
        <f t="shared" si="45"/>
        <v>463525.90066084068</v>
      </c>
      <c r="J171" s="484">
        <f t="shared" si="38"/>
        <v>3069.7079513962949</v>
      </c>
      <c r="K171" s="144"/>
      <c r="L171" s="475">
        <f t="shared" si="33"/>
        <v>870978.46940950747</v>
      </c>
      <c r="M171" s="486">
        <f t="shared" si="39"/>
        <v>3991.9846514602418</v>
      </c>
      <c r="O171" s="487">
        <f t="shared" si="34"/>
        <v>-851.20443402260162</v>
      </c>
      <c r="AJ171" s="323">
        <f t="shared" si="35"/>
        <v>3395.438072905557</v>
      </c>
      <c r="AK171" s="323">
        <f t="shared" si="40"/>
        <v>0</v>
      </c>
      <c r="AL171" s="323">
        <f t="shared" si="36"/>
        <v>254.65785546791679</v>
      </c>
      <c r="AM171" s="323">
        <f t="shared" si="41"/>
        <v>0</v>
      </c>
      <c r="AN171" s="323">
        <f t="shared" si="42"/>
        <v>254.65785546791679</v>
      </c>
      <c r="AO171" s="323">
        <f t="shared" si="43"/>
        <v>3140.7802174376402</v>
      </c>
    </row>
    <row r="172" spans="1:42" x14ac:dyDescent="0.35">
      <c r="B172">
        <f t="shared" si="44"/>
        <v>152</v>
      </c>
      <c r="E172" s="475">
        <f t="shared" si="32"/>
        <v>3140.7802174376402</v>
      </c>
      <c r="F172" s="484">
        <f t="shared" si="37"/>
        <v>407452.56874866685</v>
      </c>
      <c r="G172" s="144"/>
      <c r="H172" s="485">
        <v>0</v>
      </c>
      <c r="I172" s="144">
        <f t="shared" si="45"/>
        <v>466595.60861223697</v>
      </c>
      <c r="J172" s="484">
        <f t="shared" si="38"/>
        <v>3069.7079513962949</v>
      </c>
      <c r="K172" s="144"/>
      <c r="L172" s="475">
        <f t="shared" si="33"/>
        <v>874048.17736090382</v>
      </c>
      <c r="M172" s="486">
        <f t="shared" si="39"/>
        <v>4006.0541462374749</v>
      </c>
      <c r="O172" s="487">
        <f t="shared" si="34"/>
        <v>-865.27392879983472</v>
      </c>
      <c r="AJ172" s="323">
        <f t="shared" si="35"/>
        <v>3395.438072905557</v>
      </c>
      <c r="AK172" s="323">
        <f t="shared" si="40"/>
        <v>0</v>
      </c>
      <c r="AL172" s="323">
        <f t="shared" si="36"/>
        <v>254.65785546791679</v>
      </c>
      <c r="AM172" s="323">
        <f t="shared" si="41"/>
        <v>0</v>
      </c>
      <c r="AN172" s="323">
        <f t="shared" si="42"/>
        <v>254.65785546791679</v>
      </c>
      <c r="AO172" s="323">
        <f t="shared" si="43"/>
        <v>3140.7802174376402</v>
      </c>
    </row>
    <row r="173" spans="1:42" x14ac:dyDescent="0.35">
      <c r="B173">
        <f t="shared" si="44"/>
        <v>153</v>
      </c>
      <c r="E173" s="475">
        <f t="shared" si="32"/>
        <v>3140.7802174376402</v>
      </c>
      <c r="F173" s="484">
        <f t="shared" si="37"/>
        <v>407452.56874866685</v>
      </c>
      <c r="G173" s="144"/>
      <c r="H173" s="485">
        <v>0</v>
      </c>
      <c r="I173" s="144">
        <f t="shared" si="45"/>
        <v>469665.31656363327</v>
      </c>
      <c r="J173" s="484">
        <f t="shared" si="38"/>
        <v>3069.7079513962949</v>
      </c>
      <c r="K173" s="144"/>
      <c r="L173" s="475">
        <f t="shared" si="33"/>
        <v>877117.88531230018</v>
      </c>
      <c r="M173" s="486">
        <f t="shared" si="39"/>
        <v>4020.1236410147085</v>
      </c>
      <c r="O173" s="487">
        <f t="shared" si="34"/>
        <v>-879.34342357706828</v>
      </c>
      <c r="AJ173" s="323">
        <f t="shared" si="35"/>
        <v>3395.438072905557</v>
      </c>
      <c r="AK173" s="323">
        <f t="shared" si="40"/>
        <v>0</v>
      </c>
      <c r="AL173" s="323">
        <f t="shared" si="36"/>
        <v>254.65785546791679</v>
      </c>
      <c r="AM173" s="323">
        <f t="shared" si="41"/>
        <v>0</v>
      </c>
      <c r="AN173" s="323">
        <f t="shared" si="42"/>
        <v>254.65785546791679</v>
      </c>
      <c r="AO173" s="323">
        <f t="shared" si="43"/>
        <v>3140.7802174376402</v>
      </c>
    </row>
    <row r="174" spans="1:42" x14ac:dyDescent="0.35">
      <c r="B174">
        <f t="shared" si="44"/>
        <v>154</v>
      </c>
      <c r="E174" s="475">
        <f t="shared" si="32"/>
        <v>3140.7802174376402</v>
      </c>
      <c r="F174" s="484">
        <f t="shared" si="37"/>
        <v>407452.56874866685</v>
      </c>
      <c r="G174" s="144"/>
      <c r="H174" s="485">
        <v>0</v>
      </c>
      <c r="I174" s="144">
        <f t="shared" si="45"/>
        <v>472735.02451502957</v>
      </c>
      <c r="J174" s="484">
        <f t="shared" si="38"/>
        <v>3069.7079513962949</v>
      </c>
      <c r="K174" s="144"/>
      <c r="L174" s="475">
        <f t="shared" si="33"/>
        <v>880187.59326369641</v>
      </c>
      <c r="M174" s="486">
        <f t="shared" si="39"/>
        <v>4034.1931357919411</v>
      </c>
      <c r="O174" s="487">
        <f t="shared" si="34"/>
        <v>-893.41291835430093</v>
      </c>
      <c r="AJ174" s="323">
        <f t="shared" si="35"/>
        <v>3395.438072905557</v>
      </c>
      <c r="AK174" s="323">
        <f t="shared" si="40"/>
        <v>0</v>
      </c>
      <c r="AL174" s="323">
        <f t="shared" si="36"/>
        <v>254.65785546791679</v>
      </c>
      <c r="AM174" s="323">
        <f t="shared" si="41"/>
        <v>0</v>
      </c>
      <c r="AN174" s="323">
        <f t="shared" si="42"/>
        <v>254.65785546791679</v>
      </c>
      <c r="AO174" s="323">
        <f t="shared" si="43"/>
        <v>3140.7802174376402</v>
      </c>
    </row>
    <row r="175" spans="1:42" x14ac:dyDescent="0.35">
      <c r="B175">
        <f t="shared" si="44"/>
        <v>155</v>
      </c>
      <c r="E175" s="475">
        <f t="shared" si="32"/>
        <v>3140.7802174376402</v>
      </c>
      <c r="F175" s="484">
        <f t="shared" si="37"/>
        <v>407452.56874866685</v>
      </c>
      <c r="G175" s="144"/>
      <c r="H175" s="485">
        <v>0</v>
      </c>
      <c r="I175" s="144">
        <f t="shared" si="45"/>
        <v>475804.73246642586</v>
      </c>
      <c r="J175" s="484">
        <f t="shared" si="38"/>
        <v>3069.7079513962949</v>
      </c>
      <c r="K175" s="144"/>
      <c r="L175" s="475">
        <f t="shared" si="33"/>
        <v>883257.30121509265</v>
      </c>
      <c r="M175" s="486">
        <f t="shared" si="39"/>
        <v>4048.2626305691738</v>
      </c>
      <c r="O175" s="487">
        <f t="shared" si="34"/>
        <v>-907.48241313153358</v>
      </c>
      <c r="AJ175" s="323">
        <f t="shared" si="35"/>
        <v>3395.438072905557</v>
      </c>
      <c r="AK175" s="323">
        <f t="shared" si="40"/>
        <v>0</v>
      </c>
      <c r="AL175" s="323">
        <f t="shared" si="36"/>
        <v>254.65785546791679</v>
      </c>
      <c r="AM175" s="323">
        <f t="shared" si="41"/>
        <v>0</v>
      </c>
      <c r="AN175" s="323">
        <f t="shared" si="42"/>
        <v>254.65785546791679</v>
      </c>
      <c r="AO175" s="323">
        <f t="shared" si="43"/>
        <v>3140.7802174376402</v>
      </c>
    </row>
    <row r="176" spans="1:42" x14ac:dyDescent="0.35">
      <c r="B176">
        <f t="shared" si="44"/>
        <v>156</v>
      </c>
      <c r="E176" s="475">
        <f t="shared" si="32"/>
        <v>3140.7802174376402</v>
      </c>
      <c r="F176" s="484">
        <f t="shared" si="37"/>
        <v>407452.56874866685</v>
      </c>
      <c r="G176" s="144"/>
      <c r="H176" s="485">
        <v>0</v>
      </c>
      <c r="I176" s="144">
        <f t="shared" si="45"/>
        <v>478874.44041782216</v>
      </c>
      <c r="J176" s="484">
        <f t="shared" si="38"/>
        <v>3069.7079513962949</v>
      </c>
      <c r="K176" s="144"/>
      <c r="L176" s="475">
        <f t="shared" si="33"/>
        <v>886327.00916648901</v>
      </c>
      <c r="M176" s="486">
        <f t="shared" si="39"/>
        <v>4062.3321253464073</v>
      </c>
      <c r="O176" s="487">
        <f t="shared" si="34"/>
        <v>-921.55190790876713</v>
      </c>
      <c r="AJ176" s="323">
        <f t="shared" si="35"/>
        <v>3395.438072905557</v>
      </c>
      <c r="AK176" s="323">
        <f t="shared" si="40"/>
        <v>0</v>
      </c>
      <c r="AL176" s="323">
        <f t="shared" si="36"/>
        <v>254.65785546791679</v>
      </c>
      <c r="AM176" s="323">
        <f t="shared" si="41"/>
        <v>0</v>
      </c>
      <c r="AN176" s="323">
        <f t="shared" si="42"/>
        <v>254.65785546791679</v>
      </c>
      <c r="AO176" s="323">
        <f t="shared" si="43"/>
        <v>3140.7802174376402</v>
      </c>
      <c r="AP176" s="387">
        <f>SUM(AO165:AO176)-Y32</f>
        <v>0</v>
      </c>
    </row>
    <row r="177" spans="1:42" x14ac:dyDescent="0.35">
      <c r="A177">
        <f>A165+1</f>
        <v>14</v>
      </c>
      <c r="B177">
        <f t="shared" si="44"/>
        <v>157</v>
      </c>
      <c r="E177" s="475">
        <f t="shared" si="32"/>
        <v>3140.7802174376402</v>
      </c>
      <c r="F177" s="484">
        <f t="shared" si="37"/>
        <v>407452.56874866685</v>
      </c>
      <c r="G177" s="144"/>
      <c r="H177" s="485">
        <v>0</v>
      </c>
      <c r="I177" s="144">
        <f t="shared" si="45"/>
        <v>481944.14836921846</v>
      </c>
      <c r="J177" s="484">
        <f t="shared" si="38"/>
        <v>3069.7079513962949</v>
      </c>
      <c r="K177" s="144"/>
      <c r="L177" s="475">
        <f t="shared" si="33"/>
        <v>889396.71711788536</v>
      </c>
      <c r="M177" s="486">
        <f t="shared" si="39"/>
        <v>4076.4016201236404</v>
      </c>
      <c r="O177" s="487">
        <f t="shared" si="34"/>
        <v>-935.62140268600024</v>
      </c>
      <c r="AJ177" s="323">
        <f t="shared" si="35"/>
        <v>3395.438072905557</v>
      </c>
      <c r="AK177" s="323">
        <f t="shared" si="40"/>
        <v>0</v>
      </c>
      <c r="AL177" s="323">
        <f t="shared" si="36"/>
        <v>254.65785546791679</v>
      </c>
      <c r="AM177" s="323">
        <f t="shared" si="41"/>
        <v>0</v>
      </c>
      <c r="AN177" s="323">
        <f t="shared" si="42"/>
        <v>254.65785546791679</v>
      </c>
      <c r="AO177" s="323">
        <f t="shared" si="43"/>
        <v>3140.7802174376402</v>
      </c>
    </row>
    <row r="178" spans="1:42" ht="17.2" customHeight="1" thickBot="1" x14ac:dyDescent="0.4">
      <c r="B178">
        <f t="shared" si="44"/>
        <v>158</v>
      </c>
      <c r="E178" s="475">
        <f t="shared" si="32"/>
        <v>3140.7802174376402</v>
      </c>
      <c r="F178" s="484">
        <f t="shared" si="37"/>
        <v>407452.56874866685</v>
      </c>
      <c r="G178" s="144"/>
      <c r="H178" s="485">
        <v>0</v>
      </c>
      <c r="I178" s="144">
        <f t="shared" si="45"/>
        <v>485013.85632061475</v>
      </c>
      <c r="J178" s="484">
        <f t="shared" si="38"/>
        <v>3069.7079513962949</v>
      </c>
      <c r="K178" s="144"/>
      <c r="L178" s="475">
        <f t="shared" si="33"/>
        <v>892466.4250692816</v>
      </c>
      <c r="M178" s="486">
        <f t="shared" si="39"/>
        <v>4090.4711149008731</v>
      </c>
      <c r="O178" s="487">
        <f t="shared" si="34"/>
        <v>-949.69089746323289</v>
      </c>
      <c r="T178" s="402"/>
      <c r="AJ178" s="323">
        <f t="shared" si="35"/>
        <v>3395.438072905557</v>
      </c>
      <c r="AK178" s="323">
        <f t="shared" si="40"/>
        <v>0</v>
      </c>
      <c r="AL178" s="323">
        <f t="shared" si="36"/>
        <v>254.65785546791679</v>
      </c>
      <c r="AM178" s="323">
        <f t="shared" si="41"/>
        <v>0</v>
      </c>
      <c r="AN178" s="323">
        <f t="shared" si="42"/>
        <v>254.65785546791679</v>
      </c>
      <c r="AO178" s="323">
        <f t="shared" si="43"/>
        <v>3140.7802174376402</v>
      </c>
    </row>
    <row r="179" spans="1:42" ht="15" customHeight="1" thickBot="1" x14ac:dyDescent="0.5">
      <c r="B179">
        <f t="shared" si="44"/>
        <v>159</v>
      </c>
      <c r="E179" s="475">
        <f t="shared" si="32"/>
        <v>3140.7802174376402</v>
      </c>
      <c r="F179" s="484">
        <f t="shared" si="37"/>
        <v>407452.56874866685</v>
      </c>
      <c r="G179" s="144"/>
      <c r="H179" s="485">
        <v>0</v>
      </c>
      <c r="I179" s="144">
        <f t="shared" si="45"/>
        <v>488083.56427201105</v>
      </c>
      <c r="J179" s="484">
        <f t="shared" si="38"/>
        <v>3069.7079513962949</v>
      </c>
      <c r="K179" s="144"/>
      <c r="L179" s="475">
        <f t="shared" si="33"/>
        <v>895536.13302067784</v>
      </c>
      <c r="M179" s="486">
        <f t="shared" si="39"/>
        <v>4104.5406096781062</v>
      </c>
      <c r="O179" s="487">
        <f t="shared" si="34"/>
        <v>-963.76039224046599</v>
      </c>
      <c r="Q179" s="841" t="s">
        <v>231</v>
      </c>
      <c r="R179" s="842"/>
      <c r="T179" s="402"/>
      <c r="AJ179" s="323">
        <f t="shared" si="35"/>
        <v>3395.438072905557</v>
      </c>
      <c r="AK179" s="323">
        <f t="shared" si="40"/>
        <v>0</v>
      </c>
      <c r="AL179" s="323">
        <f t="shared" si="36"/>
        <v>254.65785546791679</v>
      </c>
      <c r="AM179" s="323">
        <f t="shared" si="41"/>
        <v>0</v>
      </c>
      <c r="AN179" s="323">
        <f t="shared" si="42"/>
        <v>254.65785546791679</v>
      </c>
      <c r="AO179" s="323">
        <f t="shared" si="43"/>
        <v>3140.7802174376402</v>
      </c>
    </row>
    <row r="180" spans="1:42" ht="14.25" x14ac:dyDescent="0.45">
      <c r="B180">
        <f t="shared" si="44"/>
        <v>160</v>
      </c>
      <c r="E180" s="475">
        <f t="shared" si="32"/>
        <v>3140.7802174376402</v>
      </c>
      <c r="F180" s="484">
        <f t="shared" si="37"/>
        <v>407452.56874866685</v>
      </c>
      <c r="G180" s="144"/>
      <c r="H180" s="485">
        <v>0</v>
      </c>
      <c r="I180" s="144">
        <f t="shared" si="45"/>
        <v>491153.27222340734</v>
      </c>
      <c r="J180" s="484">
        <f t="shared" si="38"/>
        <v>3069.7079513962949</v>
      </c>
      <c r="K180" s="144"/>
      <c r="L180" s="475">
        <f t="shared" si="33"/>
        <v>898605.84097207419</v>
      </c>
      <c r="M180" s="486">
        <f t="shared" si="39"/>
        <v>4118.6101044553388</v>
      </c>
      <c r="O180" s="487">
        <f t="shared" si="34"/>
        <v>-977.82988701769864</v>
      </c>
      <c r="Q180" s="504"/>
      <c r="R180" s="505"/>
      <c r="T180" s="402"/>
      <c r="AJ180" s="323">
        <f t="shared" si="35"/>
        <v>3395.438072905557</v>
      </c>
      <c r="AK180" s="323">
        <f t="shared" si="40"/>
        <v>0</v>
      </c>
      <c r="AL180" s="323">
        <f t="shared" si="36"/>
        <v>254.65785546791679</v>
      </c>
      <c r="AM180" s="323">
        <f t="shared" si="41"/>
        <v>0</v>
      </c>
      <c r="AN180" s="323">
        <f t="shared" si="42"/>
        <v>254.65785546791679</v>
      </c>
      <c r="AO180" s="323">
        <f t="shared" si="43"/>
        <v>3140.7802174376402</v>
      </c>
    </row>
    <row r="181" spans="1:42" ht="15" customHeight="1" x14ac:dyDescent="0.45">
      <c r="B181">
        <f t="shared" si="44"/>
        <v>161</v>
      </c>
      <c r="E181" s="475">
        <f t="shared" si="32"/>
        <v>3140.7802174376402</v>
      </c>
      <c r="F181" s="484">
        <f t="shared" si="37"/>
        <v>407452.56874866685</v>
      </c>
      <c r="G181" s="144"/>
      <c r="H181" s="485">
        <v>0</v>
      </c>
      <c r="I181" s="144">
        <f t="shared" si="45"/>
        <v>494222.98017480364</v>
      </c>
      <c r="J181" s="484">
        <f t="shared" si="38"/>
        <v>3069.7079513962949</v>
      </c>
      <c r="K181" s="144"/>
      <c r="L181" s="475">
        <f t="shared" si="33"/>
        <v>901675.54892347055</v>
      </c>
      <c r="M181" s="486">
        <f t="shared" si="39"/>
        <v>4132.6795992325724</v>
      </c>
      <c r="O181" s="487">
        <f t="shared" si="34"/>
        <v>-991.8993817949322</v>
      </c>
      <c r="Q181" s="506" t="s">
        <v>232</v>
      </c>
      <c r="R181" s="507">
        <f>FV($C$8,14,,-$C$5)</f>
        <v>2078011.7371233655</v>
      </c>
      <c r="T181" s="402"/>
      <c r="AJ181" s="323">
        <f t="shared" si="35"/>
        <v>3395.438072905557</v>
      </c>
      <c r="AK181" s="323">
        <f t="shared" si="40"/>
        <v>0</v>
      </c>
      <c r="AL181" s="323">
        <f t="shared" si="36"/>
        <v>254.65785546791679</v>
      </c>
      <c r="AM181" s="323">
        <f t="shared" si="41"/>
        <v>0</v>
      </c>
      <c r="AN181" s="323">
        <f t="shared" si="42"/>
        <v>254.65785546791679</v>
      </c>
      <c r="AO181" s="323">
        <f t="shared" si="43"/>
        <v>3140.7802174376402</v>
      </c>
    </row>
    <row r="182" spans="1:42" ht="14.25" x14ac:dyDescent="0.45">
      <c r="B182">
        <f t="shared" si="44"/>
        <v>162</v>
      </c>
      <c r="E182" s="475">
        <f t="shared" si="32"/>
        <v>3140.7802174376402</v>
      </c>
      <c r="F182" s="484">
        <f t="shared" si="37"/>
        <v>407452.56874866685</v>
      </c>
      <c r="G182" s="144"/>
      <c r="H182" s="485">
        <v>0</v>
      </c>
      <c r="I182" s="144">
        <f t="shared" si="45"/>
        <v>497292.68812619994</v>
      </c>
      <c r="J182" s="484">
        <f t="shared" si="38"/>
        <v>3069.7079513962949</v>
      </c>
      <c r="K182" s="144"/>
      <c r="L182" s="475">
        <f t="shared" si="33"/>
        <v>904745.25687486678</v>
      </c>
      <c r="M182" s="486">
        <f t="shared" si="39"/>
        <v>4146.749094009805</v>
      </c>
      <c r="O182" s="487">
        <f t="shared" si="34"/>
        <v>-1005.9688765721648</v>
      </c>
      <c r="Q182" s="506" t="s">
        <v>226</v>
      </c>
      <c r="R182" s="508">
        <f>-$C$7</f>
        <v>-960000</v>
      </c>
      <c r="T182" s="402"/>
      <c r="AJ182" s="323">
        <f t="shared" si="35"/>
        <v>3395.438072905557</v>
      </c>
      <c r="AK182" s="323">
        <f t="shared" si="40"/>
        <v>0</v>
      </c>
      <c r="AL182" s="323">
        <f t="shared" si="36"/>
        <v>254.65785546791679</v>
      </c>
      <c r="AM182" s="323">
        <f t="shared" si="41"/>
        <v>0</v>
      </c>
      <c r="AN182" s="323">
        <f t="shared" si="42"/>
        <v>254.65785546791679</v>
      </c>
      <c r="AO182" s="323">
        <f t="shared" si="43"/>
        <v>3140.7802174376402</v>
      </c>
    </row>
    <row r="183" spans="1:42" ht="14.25" x14ac:dyDescent="0.45">
      <c r="B183">
        <f t="shared" si="44"/>
        <v>163</v>
      </c>
      <c r="E183" s="475">
        <f t="shared" si="32"/>
        <v>3140.7802174376402</v>
      </c>
      <c r="F183" s="484">
        <f t="shared" si="37"/>
        <v>407452.56874866685</v>
      </c>
      <c r="G183" s="144"/>
      <c r="H183" s="485">
        <v>0</v>
      </c>
      <c r="I183" s="144">
        <f t="shared" si="45"/>
        <v>500362.39607759623</v>
      </c>
      <c r="J183" s="484">
        <f t="shared" si="38"/>
        <v>3069.7079513962949</v>
      </c>
      <c r="K183" s="144"/>
      <c r="L183" s="475">
        <f t="shared" si="33"/>
        <v>907814.96482626302</v>
      </c>
      <c r="M183" s="486">
        <f t="shared" si="39"/>
        <v>4160.8185887870377</v>
      </c>
      <c r="O183" s="487">
        <f t="shared" si="34"/>
        <v>-1020.0383713493975</v>
      </c>
      <c r="Q183" s="506" t="s">
        <v>227</v>
      </c>
      <c r="R183" s="507">
        <f>F188</f>
        <v>407452.56874866685</v>
      </c>
      <c r="T183" s="402"/>
      <c r="AJ183" s="323">
        <f t="shared" si="35"/>
        <v>3395.438072905557</v>
      </c>
      <c r="AK183" s="323">
        <f t="shared" si="40"/>
        <v>0</v>
      </c>
      <c r="AL183" s="323">
        <f t="shared" si="36"/>
        <v>254.65785546791679</v>
      </c>
      <c r="AM183" s="323">
        <f t="shared" si="41"/>
        <v>0</v>
      </c>
      <c r="AN183" s="323">
        <f t="shared" si="42"/>
        <v>254.65785546791679</v>
      </c>
      <c r="AO183" s="323">
        <f t="shared" si="43"/>
        <v>3140.7802174376402</v>
      </c>
    </row>
    <row r="184" spans="1:42" ht="14.65" thickBot="1" x14ac:dyDescent="0.5">
      <c r="B184">
        <f t="shared" si="44"/>
        <v>164</v>
      </c>
      <c r="E184" s="475">
        <f t="shared" si="32"/>
        <v>3140.7802174376402</v>
      </c>
      <c r="F184" s="484">
        <f t="shared" si="37"/>
        <v>407452.56874866685</v>
      </c>
      <c r="G184" s="144"/>
      <c r="H184" s="485">
        <v>0</v>
      </c>
      <c r="I184" s="144">
        <f t="shared" si="45"/>
        <v>503432.10402899253</v>
      </c>
      <c r="J184" s="484">
        <f t="shared" si="38"/>
        <v>3069.7079513962949</v>
      </c>
      <c r="K184" s="144"/>
      <c r="L184" s="475">
        <f t="shared" si="33"/>
        <v>910884.67277765938</v>
      </c>
      <c r="M184" s="486">
        <f t="shared" si="39"/>
        <v>4174.8880835642713</v>
      </c>
      <c r="O184" s="487">
        <f t="shared" si="34"/>
        <v>-1034.1078661266311</v>
      </c>
      <c r="Q184" s="506" t="s">
        <v>228</v>
      </c>
      <c r="R184" s="507">
        <f>$I$18-(SUM(J21:J188))</f>
        <v>36836.495416755031</v>
      </c>
      <c r="AJ184" s="323">
        <f t="shared" si="35"/>
        <v>3395.438072905557</v>
      </c>
      <c r="AK184" s="323">
        <f t="shared" si="40"/>
        <v>0</v>
      </c>
      <c r="AL184" s="323">
        <f t="shared" si="36"/>
        <v>254.65785546791679</v>
      </c>
      <c r="AM184" s="323">
        <f t="shared" si="41"/>
        <v>0</v>
      </c>
      <c r="AN184" s="323">
        <f t="shared" si="42"/>
        <v>254.65785546791679</v>
      </c>
      <c r="AO184" s="323">
        <f t="shared" si="43"/>
        <v>3140.7802174376402</v>
      </c>
    </row>
    <row r="185" spans="1:42" ht="14.65" thickBot="1" x14ac:dyDescent="0.5">
      <c r="B185">
        <f t="shared" si="44"/>
        <v>165</v>
      </c>
      <c r="E185" s="475">
        <f t="shared" si="32"/>
        <v>3140.7802174376402</v>
      </c>
      <c r="F185" s="484">
        <f t="shared" si="37"/>
        <v>407452.56874866685</v>
      </c>
      <c r="G185" s="144"/>
      <c r="H185" s="485">
        <v>0</v>
      </c>
      <c r="I185" s="144">
        <f t="shared" si="45"/>
        <v>506501.81198038883</v>
      </c>
      <c r="J185" s="484">
        <f t="shared" si="38"/>
        <v>3069.7079513962949</v>
      </c>
      <c r="K185" s="144"/>
      <c r="L185" s="475">
        <f t="shared" si="33"/>
        <v>913954.38072905573</v>
      </c>
      <c r="M185" s="486">
        <f t="shared" si="39"/>
        <v>4188.9575783415048</v>
      </c>
      <c r="O185" s="487">
        <f t="shared" si="34"/>
        <v>-1048.1773609038646</v>
      </c>
      <c r="Q185" s="506" t="s">
        <v>175</v>
      </c>
      <c r="R185" s="509">
        <f>SUM(R181:R184)</f>
        <v>1562300.8012887875</v>
      </c>
      <c r="AJ185" s="323">
        <f t="shared" si="35"/>
        <v>3395.438072905557</v>
      </c>
      <c r="AK185" s="323">
        <f t="shared" si="40"/>
        <v>0</v>
      </c>
      <c r="AL185" s="323">
        <f t="shared" si="36"/>
        <v>254.65785546791679</v>
      </c>
      <c r="AM185" s="323">
        <f t="shared" si="41"/>
        <v>0</v>
      </c>
      <c r="AN185" s="323">
        <f t="shared" si="42"/>
        <v>254.65785546791679</v>
      </c>
      <c r="AO185" s="323">
        <f t="shared" si="43"/>
        <v>3140.7802174376402</v>
      </c>
    </row>
    <row r="186" spans="1:42" ht="14.25" x14ac:dyDescent="0.45">
      <c r="B186">
        <f t="shared" si="44"/>
        <v>166</v>
      </c>
      <c r="E186" s="475">
        <f t="shared" si="32"/>
        <v>3140.7802174376402</v>
      </c>
      <c r="F186" s="484">
        <f t="shared" si="37"/>
        <v>407452.56874866685</v>
      </c>
      <c r="G186" s="144"/>
      <c r="H186" s="485">
        <v>0</v>
      </c>
      <c r="I186" s="144">
        <f t="shared" si="45"/>
        <v>509571.51993178512</v>
      </c>
      <c r="J186" s="484">
        <f t="shared" si="38"/>
        <v>3069.7079513962949</v>
      </c>
      <c r="K186" s="144"/>
      <c r="L186" s="475">
        <f t="shared" si="33"/>
        <v>917024.08868045197</v>
      </c>
      <c r="M186" s="486">
        <f t="shared" si="39"/>
        <v>4203.0270731187375</v>
      </c>
      <c r="O186" s="487">
        <f t="shared" si="34"/>
        <v>-1062.2468556810973</v>
      </c>
      <c r="Q186" s="506"/>
      <c r="R186" s="510">
        <f>(R185-$C$5)/$C$5</f>
        <v>0.30191733440732293</v>
      </c>
      <c r="AJ186" s="323">
        <f t="shared" si="35"/>
        <v>3395.438072905557</v>
      </c>
      <c r="AK186" s="323">
        <f t="shared" si="40"/>
        <v>0</v>
      </c>
      <c r="AL186" s="323">
        <f t="shared" si="36"/>
        <v>254.65785546791679</v>
      </c>
      <c r="AM186" s="323">
        <f t="shared" si="41"/>
        <v>0</v>
      </c>
      <c r="AN186" s="323">
        <f t="shared" si="42"/>
        <v>254.65785546791679</v>
      </c>
      <c r="AO186" s="323">
        <f t="shared" si="43"/>
        <v>3140.7802174376402</v>
      </c>
    </row>
    <row r="187" spans="1:42" ht="28.5" x14ac:dyDescent="0.45">
      <c r="B187">
        <f t="shared" si="44"/>
        <v>167</v>
      </c>
      <c r="E187" s="475">
        <f t="shared" si="32"/>
        <v>3140.7802174376402</v>
      </c>
      <c r="F187" s="484">
        <f t="shared" si="37"/>
        <v>407452.56874866685</v>
      </c>
      <c r="G187" s="144"/>
      <c r="H187" s="485">
        <v>0</v>
      </c>
      <c r="I187" s="144">
        <f t="shared" si="45"/>
        <v>512641.22788318142</v>
      </c>
      <c r="J187" s="484">
        <f t="shared" si="38"/>
        <v>3069.7079513962949</v>
      </c>
      <c r="K187" s="144"/>
      <c r="L187" s="475">
        <f t="shared" si="33"/>
        <v>920093.79663184821</v>
      </c>
      <c r="M187" s="486">
        <f t="shared" si="39"/>
        <v>4217.0965678959701</v>
      </c>
      <c r="O187" s="487">
        <f t="shared" si="34"/>
        <v>-1076.3163504583299</v>
      </c>
      <c r="Q187" s="511" t="s">
        <v>178</v>
      </c>
      <c r="R187" s="507">
        <f>SUM(J21:J188)</f>
        <v>515710.93583457771</v>
      </c>
      <c r="AJ187" s="323">
        <f t="shared" si="35"/>
        <v>3395.438072905557</v>
      </c>
      <c r="AK187" s="323">
        <f t="shared" si="40"/>
        <v>0</v>
      </c>
      <c r="AL187" s="323">
        <f t="shared" si="36"/>
        <v>254.65785546791679</v>
      </c>
      <c r="AM187" s="323">
        <f t="shared" si="41"/>
        <v>0</v>
      </c>
      <c r="AN187" s="323">
        <f t="shared" si="42"/>
        <v>254.65785546791679</v>
      </c>
      <c r="AO187" s="323">
        <f t="shared" si="43"/>
        <v>3140.7802174376402</v>
      </c>
    </row>
    <row r="188" spans="1:42" ht="14.65" thickBot="1" x14ac:dyDescent="0.5">
      <c r="B188" s="512">
        <f t="shared" si="44"/>
        <v>168</v>
      </c>
      <c r="C188" s="512"/>
      <c r="D188" s="512"/>
      <c r="E188" s="513">
        <f t="shared" si="32"/>
        <v>3140.7802174376402</v>
      </c>
      <c r="F188" s="514">
        <f t="shared" si="37"/>
        <v>407452.56874866685</v>
      </c>
      <c r="G188" s="515"/>
      <c r="H188" s="516">
        <v>0</v>
      </c>
      <c r="I188" s="515">
        <f t="shared" si="45"/>
        <v>515710.93583457771</v>
      </c>
      <c r="J188" s="514">
        <f t="shared" si="38"/>
        <v>3069.7079513962949</v>
      </c>
      <c r="K188" s="515"/>
      <c r="L188" s="513">
        <f t="shared" si="33"/>
        <v>923163.50458324456</v>
      </c>
      <c r="M188" s="517">
        <f t="shared" si="39"/>
        <v>4231.1660626732037</v>
      </c>
      <c r="N188" s="512"/>
      <c r="O188" s="518">
        <f t="shared" si="34"/>
        <v>-1090.3858452355635</v>
      </c>
      <c r="Q188" s="519" t="s">
        <v>182</v>
      </c>
      <c r="R188" s="520">
        <f>SUM(O21:O188)</f>
        <v>14182.050735450213</v>
      </c>
      <c r="AJ188" s="323">
        <f t="shared" si="35"/>
        <v>3395.438072905557</v>
      </c>
      <c r="AK188" s="323">
        <f t="shared" si="40"/>
        <v>0</v>
      </c>
      <c r="AL188" s="323">
        <f t="shared" si="36"/>
        <v>254.65785546791679</v>
      </c>
      <c r="AM188" s="323">
        <f t="shared" si="41"/>
        <v>0</v>
      </c>
      <c r="AN188" s="323">
        <f t="shared" si="42"/>
        <v>254.65785546791679</v>
      </c>
      <c r="AO188" s="323">
        <f t="shared" si="43"/>
        <v>3140.7802174376402</v>
      </c>
      <c r="AP188" s="387">
        <f>SUM(AO177:AO188)-Y33</f>
        <v>0</v>
      </c>
    </row>
    <row r="189" spans="1:42" x14ac:dyDescent="0.35">
      <c r="A189">
        <f>A177+1</f>
        <v>15</v>
      </c>
      <c r="B189">
        <f t="shared" si="44"/>
        <v>169</v>
      </c>
      <c r="E189" s="475">
        <f t="shared" si="32"/>
        <v>3140.7802174376402</v>
      </c>
      <c r="F189" s="484">
        <f t="shared" si="37"/>
        <v>407452.56874866685</v>
      </c>
      <c r="G189" s="144"/>
      <c r="H189" s="485">
        <v>0</v>
      </c>
      <c r="I189" s="144">
        <f t="shared" si="45"/>
        <v>518780.64378597401</v>
      </c>
      <c r="J189" s="484">
        <f t="shared" si="38"/>
        <v>3069.7079513962949</v>
      </c>
      <c r="K189" s="144"/>
      <c r="L189" s="475">
        <f t="shared" si="33"/>
        <v>926233.21253464092</v>
      </c>
      <c r="M189" s="486">
        <f t="shared" si="39"/>
        <v>4245.2355574504363</v>
      </c>
      <c r="O189" s="487">
        <f t="shared" si="34"/>
        <v>-1104.4553400127961</v>
      </c>
      <c r="AJ189" s="323">
        <f t="shared" si="35"/>
        <v>3395.438072905557</v>
      </c>
      <c r="AK189" s="323">
        <f t="shared" si="40"/>
        <v>0</v>
      </c>
      <c r="AL189" s="323">
        <f t="shared" si="36"/>
        <v>254.65785546791679</v>
      </c>
      <c r="AM189" s="323">
        <f t="shared" si="41"/>
        <v>0</v>
      </c>
      <c r="AN189" s="323">
        <f t="shared" si="42"/>
        <v>254.65785546791679</v>
      </c>
      <c r="AO189" s="323">
        <f t="shared" si="43"/>
        <v>3140.7802174376402</v>
      </c>
    </row>
    <row r="190" spans="1:42" x14ac:dyDescent="0.35">
      <c r="B190">
        <f t="shared" si="44"/>
        <v>170</v>
      </c>
      <c r="E190" s="475">
        <f t="shared" si="32"/>
        <v>3140.7802174376402</v>
      </c>
      <c r="F190" s="484">
        <f t="shared" si="37"/>
        <v>407452.56874866685</v>
      </c>
      <c r="G190" s="144"/>
      <c r="H190" s="485">
        <v>0</v>
      </c>
      <c r="I190" s="144">
        <f t="shared" si="45"/>
        <v>521850.35173737031</v>
      </c>
      <c r="J190" s="484">
        <f t="shared" si="38"/>
        <v>3069.7079513962949</v>
      </c>
      <c r="K190" s="144"/>
      <c r="L190" s="475">
        <f t="shared" si="33"/>
        <v>929302.92048603715</v>
      </c>
      <c r="M190" s="486">
        <f t="shared" si="39"/>
        <v>4259.3050522276699</v>
      </c>
      <c r="O190" s="487">
        <f t="shared" si="34"/>
        <v>-1118.5248347900297</v>
      </c>
      <c r="AJ190" s="323">
        <f t="shared" si="35"/>
        <v>3395.438072905557</v>
      </c>
      <c r="AK190" s="323">
        <f t="shared" si="40"/>
        <v>0</v>
      </c>
      <c r="AL190" s="323">
        <f t="shared" si="36"/>
        <v>254.65785546791679</v>
      </c>
      <c r="AM190" s="323">
        <f t="shared" si="41"/>
        <v>0</v>
      </c>
      <c r="AN190" s="323">
        <f t="shared" si="42"/>
        <v>254.65785546791679</v>
      </c>
      <c r="AO190" s="323">
        <f t="shared" si="43"/>
        <v>3140.7802174376402</v>
      </c>
    </row>
    <row r="191" spans="1:42" x14ac:dyDescent="0.35">
      <c r="B191">
        <f t="shared" si="44"/>
        <v>171</v>
      </c>
      <c r="E191" s="475">
        <f t="shared" si="32"/>
        <v>3140.7802174376402</v>
      </c>
      <c r="F191" s="484">
        <f t="shared" si="37"/>
        <v>407452.56874866685</v>
      </c>
      <c r="G191" s="144"/>
      <c r="H191" s="485">
        <v>0</v>
      </c>
      <c r="I191" s="144">
        <f t="shared" si="45"/>
        <v>524920.0596887666</v>
      </c>
      <c r="J191" s="484">
        <f t="shared" si="38"/>
        <v>3069.7079513962949</v>
      </c>
      <c r="K191" s="144"/>
      <c r="L191" s="475">
        <f t="shared" si="33"/>
        <v>932372.62843743339</v>
      </c>
      <c r="M191" s="486">
        <f t="shared" si="39"/>
        <v>4273.3745470049025</v>
      </c>
      <c r="O191" s="487">
        <f t="shared" si="34"/>
        <v>-1132.5943295672623</v>
      </c>
      <c r="AJ191" s="323">
        <f t="shared" si="35"/>
        <v>3395.438072905557</v>
      </c>
      <c r="AK191" s="323">
        <f t="shared" si="40"/>
        <v>0</v>
      </c>
      <c r="AL191" s="323">
        <f t="shared" si="36"/>
        <v>254.65785546791679</v>
      </c>
      <c r="AM191" s="323">
        <f t="shared" si="41"/>
        <v>0</v>
      </c>
      <c r="AN191" s="323">
        <f t="shared" si="42"/>
        <v>254.65785546791679</v>
      </c>
      <c r="AO191" s="323">
        <f t="shared" si="43"/>
        <v>3140.7802174376402</v>
      </c>
    </row>
    <row r="192" spans="1:42" x14ac:dyDescent="0.35">
      <c r="B192">
        <f t="shared" si="44"/>
        <v>172</v>
      </c>
      <c r="E192" s="475">
        <f t="shared" si="32"/>
        <v>3140.7802174376402</v>
      </c>
      <c r="F192" s="484">
        <f t="shared" si="37"/>
        <v>407452.56874866685</v>
      </c>
      <c r="G192" s="144"/>
      <c r="H192" s="485">
        <v>0</v>
      </c>
      <c r="I192" s="144">
        <f t="shared" si="45"/>
        <v>527989.76764016284</v>
      </c>
      <c r="J192" s="484">
        <f t="shared" si="38"/>
        <v>3069.7079513962949</v>
      </c>
      <c r="K192" s="144"/>
      <c r="L192" s="475">
        <f t="shared" si="33"/>
        <v>935442.33638882963</v>
      </c>
      <c r="M192" s="486">
        <f t="shared" si="39"/>
        <v>4287.4440417821352</v>
      </c>
      <c r="O192" s="487">
        <f t="shared" si="34"/>
        <v>-1146.663824344495</v>
      </c>
      <c r="AJ192" s="323">
        <f t="shared" si="35"/>
        <v>3395.438072905557</v>
      </c>
      <c r="AK192" s="323">
        <f t="shared" si="40"/>
        <v>0</v>
      </c>
      <c r="AL192" s="323">
        <f t="shared" si="36"/>
        <v>254.65785546791679</v>
      </c>
      <c r="AM192" s="323">
        <f t="shared" si="41"/>
        <v>0</v>
      </c>
      <c r="AN192" s="323">
        <f t="shared" si="42"/>
        <v>254.65785546791679</v>
      </c>
      <c r="AO192" s="323">
        <f t="shared" si="43"/>
        <v>3140.7802174376402</v>
      </c>
    </row>
    <row r="193" spans="2:42" x14ac:dyDescent="0.35">
      <c r="B193">
        <f t="shared" si="44"/>
        <v>173</v>
      </c>
      <c r="E193" s="475">
        <f t="shared" si="32"/>
        <v>3140.7802174376402</v>
      </c>
      <c r="F193" s="484">
        <f t="shared" si="37"/>
        <v>407452.56874866685</v>
      </c>
      <c r="G193" s="144"/>
      <c r="H193" s="485">
        <v>0</v>
      </c>
      <c r="I193" s="144">
        <f t="shared" si="45"/>
        <v>531059.47559155908</v>
      </c>
      <c r="J193" s="484">
        <f t="shared" si="38"/>
        <v>3069.7079513962949</v>
      </c>
      <c r="K193" s="144"/>
      <c r="L193" s="475">
        <f t="shared" si="33"/>
        <v>938512.04434022587</v>
      </c>
      <c r="M193" s="486">
        <f t="shared" si="39"/>
        <v>4301.5135365593678</v>
      </c>
      <c r="O193" s="487">
        <f t="shared" si="34"/>
        <v>-1160.7333191217276</v>
      </c>
      <c r="AJ193" s="323">
        <f t="shared" si="35"/>
        <v>3395.438072905557</v>
      </c>
      <c r="AK193" s="323">
        <f t="shared" si="40"/>
        <v>0</v>
      </c>
      <c r="AL193" s="323">
        <f t="shared" si="36"/>
        <v>254.65785546791679</v>
      </c>
      <c r="AM193" s="323">
        <f t="shared" si="41"/>
        <v>0</v>
      </c>
      <c r="AN193" s="323">
        <f t="shared" si="42"/>
        <v>254.65785546791679</v>
      </c>
      <c r="AO193" s="323">
        <f t="shared" si="43"/>
        <v>3140.7802174376402</v>
      </c>
    </row>
    <row r="194" spans="2:42" x14ac:dyDescent="0.35">
      <c r="B194">
        <f t="shared" si="44"/>
        <v>174</v>
      </c>
      <c r="E194" s="475">
        <f t="shared" si="32"/>
        <v>3140.7802174376402</v>
      </c>
      <c r="F194" s="484">
        <f t="shared" si="37"/>
        <v>407452.56874866685</v>
      </c>
      <c r="G194" s="144"/>
      <c r="H194" s="485">
        <v>0</v>
      </c>
      <c r="I194" s="144">
        <f t="shared" si="45"/>
        <v>534129.18354295532</v>
      </c>
      <c r="J194" s="484">
        <f t="shared" si="38"/>
        <v>3069.7079513962949</v>
      </c>
      <c r="K194" s="144"/>
      <c r="L194" s="475">
        <f t="shared" si="33"/>
        <v>941581.75229162211</v>
      </c>
      <c r="M194" s="486">
        <f t="shared" si="39"/>
        <v>4315.5830313366005</v>
      </c>
      <c r="O194" s="487">
        <f t="shared" si="34"/>
        <v>-1174.8028138989603</v>
      </c>
      <c r="AJ194" s="323">
        <f t="shared" si="35"/>
        <v>3395.438072905557</v>
      </c>
      <c r="AK194" s="323">
        <f t="shared" si="40"/>
        <v>0</v>
      </c>
      <c r="AL194" s="323">
        <f t="shared" si="36"/>
        <v>254.65785546791679</v>
      </c>
      <c r="AM194" s="323">
        <f t="shared" si="41"/>
        <v>0</v>
      </c>
      <c r="AN194" s="323">
        <f t="shared" si="42"/>
        <v>254.65785546791679</v>
      </c>
      <c r="AO194" s="323">
        <f t="shared" si="43"/>
        <v>3140.7802174376402</v>
      </c>
    </row>
    <row r="195" spans="2:42" x14ac:dyDescent="0.35">
      <c r="B195">
        <f t="shared" si="44"/>
        <v>175</v>
      </c>
      <c r="E195" s="475">
        <f t="shared" si="32"/>
        <v>3140.7802174376402</v>
      </c>
      <c r="F195" s="484">
        <f t="shared" si="37"/>
        <v>407452.56874866685</v>
      </c>
      <c r="G195" s="144"/>
      <c r="H195" s="485">
        <v>0</v>
      </c>
      <c r="I195" s="144">
        <f t="shared" si="45"/>
        <v>537198.89149435156</v>
      </c>
      <c r="J195" s="484">
        <f t="shared" si="38"/>
        <v>3069.7079513962949</v>
      </c>
      <c r="K195" s="144"/>
      <c r="L195" s="475">
        <f t="shared" si="33"/>
        <v>944651.46024301834</v>
      </c>
      <c r="M195" s="486">
        <f t="shared" si="39"/>
        <v>4329.6525261138331</v>
      </c>
      <c r="O195" s="487">
        <f t="shared" si="34"/>
        <v>-1188.8723086761929</v>
      </c>
      <c r="AJ195" s="323">
        <f t="shared" si="35"/>
        <v>3395.438072905557</v>
      </c>
      <c r="AK195" s="323">
        <f t="shared" si="40"/>
        <v>0</v>
      </c>
      <c r="AL195" s="323">
        <f t="shared" si="36"/>
        <v>254.65785546791679</v>
      </c>
      <c r="AM195" s="323">
        <f t="shared" si="41"/>
        <v>0</v>
      </c>
      <c r="AN195" s="323">
        <f t="shared" si="42"/>
        <v>254.65785546791679</v>
      </c>
      <c r="AO195" s="323">
        <f t="shared" si="43"/>
        <v>3140.7802174376402</v>
      </c>
    </row>
    <row r="196" spans="2:42" x14ac:dyDescent="0.35">
      <c r="B196">
        <f t="shared" si="44"/>
        <v>176</v>
      </c>
      <c r="E196" s="475">
        <f t="shared" si="32"/>
        <v>3140.7802174376402</v>
      </c>
      <c r="F196" s="484">
        <f t="shared" si="37"/>
        <v>407452.56874866685</v>
      </c>
      <c r="G196" s="144"/>
      <c r="H196" s="485">
        <v>0</v>
      </c>
      <c r="I196" s="144">
        <f t="shared" si="45"/>
        <v>540268.59944574779</v>
      </c>
      <c r="J196" s="484">
        <f t="shared" si="38"/>
        <v>3069.7079513962949</v>
      </c>
      <c r="K196" s="144"/>
      <c r="L196" s="475">
        <f t="shared" si="33"/>
        <v>947721.16819441458</v>
      </c>
      <c r="M196" s="486">
        <f t="shared" si="39"/>
        <v>4343.7220208910658</v>
      </c>
      <c r="O196" s="487">
        <f t="shared" si="34"/>
        <v>-1202.9418034534256</v>
      </c>
      <c r="AJ196" s="323">
        <f t="shared" si="35"/>
        <v>3395.438072905557</v>
      </c>
      <c r="AK196" s="323">
        <f t="shared" si="40"/>
        <v>0</v>
      </c>
      <c r="AL196" s="323">
        <f t="shared" si="36"/>
        <v>254.65785546791679</v>
      </c>
      <c r="AM196" s="323">
        <f t="shared" si="41"/>
        <v>0</v>
      </c>
      <c r="AN196" s="323">
        <f t="shared" si="42"/>
        <v>254.65785546791679</v>
      </c>
      <c r="AO196" s="323">
        <f t="shared" si="43"/>
        <v>3140.7802174376402</v>
      </c>
    </row>
    <row r="197" spans="2:42" x14ac:dyDescent="0.35">
      <c r="B197">
        <f t="shared" si="44"/>
        <v>177</v>
      </c>
      <c r="E197" s="475">
        <f t="shared" si="32"/>
        <v>3140.7802174376402</v>
      </c>
      <c r="F197" s="484">
        <f t="shared" si="37"/>
        <v>407452.56874866685</v>
      </c>
      <c r="G197" s="144"/>
      <c r="H197" s="485">
        <v>0</v>
      </c>
      <c r="I197" s="144">
        <f t="shared" si="45"/>
        <v>543338.30739714403</v>
      </c>
      <c r="J197" s="484">
        <f t="shared" si="38"/>
        <v>3069.7079513962949</v>
      </c>
      <c r="K197" s="144"/>
      <c r="L197" s="475">
        <f t="shared" si="33"/>
        <v>950790.87614581082</v>
      </c>
      <c r="M197" s="486">
        <f t="shared" si="39"/>
        <v>4357.7915156682984</v>
      </c>
      <c r="O197" s="487">
        <f t="shared" si="34"/>
        <v>-1217.0112982306582</v>
      </c>
      <c r="AJ197" s="323">
        <f t="shared" si="35"/>
        <v>3395.438072905557</v>
      </c>
      <c r="AK197" s="323">
        <f t="shared" si="40"/>
        <v>0</v>
      </c>
      <c r="AL197" s="323">
        <f t="shared" si="36"/>
        <v>254.65785546791679</v>
      </c>
      <c r="AM197" s="323">
        <f t="shared" si="41"/>
        <v>0</v>
      </c>
      <c r="AN197" s="323">
        <f t="shared" si="42"/>
        <v>254.65785546791679</v>
      </c>
      <c r="AO197" s="323">
        <f t="shared" si="43"/>
        <v>3140.7802174376402</v>
      </c>
    </row>
    <row r="198" spans="2:42" x14ac:dyDescent="0.35">
      <c r="B198">
        <f t="shared" si="44"/>
        <v>178</v>
      </c>
      <c r="E198" s="475">
        <f t="shared" si="32"/>
        <v>3140.7802174376402</v>
      </c>
      <c r="F198" s="484">
        <f t="shared" si="37"/>
        <v>407452.56874866685</v>
      </c>
      <c r="G198" s="144"/>
      <c r="H198" s="485">
        <v>0</v>
      </c>
      <c r="I198" s="144">
        <f t="shared" si="45"/>
        <v>546408.01534854027</v>
      </c>
      <c r="J198" s="484">
        <f t="shared" si="38"/>
        <v>3069.7079513962949</v>
      </c>
      <c r="K198" s="144"/>
      <c r="L198" s="475">
        <f t="shared" si="33"/>
        <v>953860.58409720706</v>
      </c>
      <c r="M198" s="486">
        <f t="shared" si="39"/>
        <v>4371.861010445532</v>
      </c>
      <c r="O198" s="487">
        <f t="shared" si="34"/>
        <v>-1231.0807930078918</v>
      </c>
      <c r="AJ198" s="323">
        <f t="shared" si="35"/>
        <v>3395.438072905557</v>
      </c>
      <c r="AK198" s="323">
        <f t="shared" si="40"/>
        <v>0</v>
      </c>
      <c r="AL198" s="323">
        <f t="shared" si="36"/>
        <v>254.65785546791679</v>
      </c>
      <c r="AM198" s="323">
        <f t="shared" si="41"/>
        <v>0</v>
      </c>
      <c r="AN198" s="323">
        <f t="shared" si="42"/>
        <v>254.65785546791679</v>
      </c>
      <c r="AO198" s="323">
        <f t="shared" si="43"/>
        <v>3140.7802174376402</v>
      </c>
    </row>
    <row r="199" spans="2:42" x14ac:dyDescent="0.35">
      <c r="B199">
        <f t="shared" si="44"/>
        <v>179</v>
      </c>
      <c r="E199" s="475">
        <f t="shared" si="32"/>
        <v>3140.7802174376402</v>
      </c>
      <c r="F199" s="484">
        <f t="shared" si="37"/>
        <v>407452.56874866685</v>
      </c>
      <c r="G199" s="144"/>
      <c r="H199" s="485">
        <v>0</v>
      </c>
      <c r="I199" s="144">
        <f t="shared" si="45"/>
        <v>549477.72329993651</v>
      </c>
      <c r="J199" s="484">
        <f t="shared" si="38"/>
        <v>3069.7079513962949</v>
      </c>
      <c r="K199" s="144"/>
      <c r="L199" s="475">
        <f t="shared" si="33"/>
        <v>956930.2920486033</v>
      </c>
      <c r="M199" s="486">
        <f t="shared" si="39"/>
        <v>4385.9305052227646</v>
      </c>
      <c r="O199" s="487">
        <f t="shared" si="34"/>
        <v>-1245.1502877851244</v>
      </c>
      <c r="AJ199" s="323">
        <f t="shared" si="35"/>
        <v>3395.438072905557</v>
      </c>
      <c r="AK199" s="323">
        <f t="shared" si="40"/>
        <v>0</v>
      </c>
      <c r="AL199" s="323">
        <f t="shared" si="36"/>
        <v>254.65785546791679</v>
      </c>
      <c r="AM199" s="323">
        <f t="shared" si="41"/>
        <v>0</v>
      </c>
      <c r="AN199" s="323">
        <f t="shared" si="42"/>
        <v>254.65785546791679</v>
      </c>
      <c r="AO199" s="323">
        <f t="shared" si="43"/>
        <v>3140.7802174376402</v>
      </c>
    </row>
    <row r="200" spans="2:42" x14ac:dyDescent="0.35">
      <c r="B200">
        <f t="shared" si="44"/>
        <v>180</v>
      </c>
      <c r="E200" s="521">
        <f t="shared" si="32"/>
        <v>3140.7802174376402</v>
      </c>
      <c r="F200" s="522">
        <f t="shared" si="37"/>
        <v>407452.56874866685</v>
      </c>
      <c r="G200" s="144"/>
      <c r="H200" s="523">
        <v>0</v>
      </c>
      <c r="I200" s="524">
        <f t="shared" si="45"/>
        <v>552547.43125133275</v>
      </c>
      <c r="J200" s="522">
        <f t="shared" si="38"/>
        <v>3069.7079513962949</v>
      </c>
      <c r="K200" s="144"/>
      <c r="L200" s="521">
        <f t="shared" si="33"/>
        <v>959999.99999999953</v>
      </c>
      <c r="M200" s="525">
        <f t="shared" si="39"/>
        <v>4399.9999999999973</v>
      </c>
      <c r="O200" s="526">
        <f t="shared" si="34"/>
        <v>-1259.2197825623571</v>
      </c>
      <c r="AJ200" s="323">
        <f t="shared" si="35"/>
        <v>3395.438072905557</v>
      </c>
      <c r="AK200" s="323">
        <f t="shared" si="40"/>
        <v>0</v>
      </c>
      <c r="AL200" s="323">
        <f t="shared" si="36"/>
        <v>254.65785546791679</v>
      </c>
      <c r="AM200" s="323">
        <f t="shared" si="41"/>
        <v>0</v>
      </c>
      <c r="AN200" s="323">
        <f t="shared" si="42"/>
        <v>254.65785546791679</v>
      </c>
      <c r="AO200" s="323">
        <f t="shared" si="43"/>
        <v>3140.7802174376402</v>
      </c>
      <c r="AP200" s="387">
        <f>SUM(AO189:AO200)-Y34</f>
        <v>0</v>
      </c>
    </row>
    <row r="201" spans="2:42" x14ac:dyDescent="0.35">
      <c r="O201" s="323"/>
      <c r="AJ201" s="323"/>
      <c r="AK201" s="323"/>
      <c r="AL201" s="323"/>
      <c r="AM201" s="323"/>
      <c r="AN201" s="323"/>
    </row>
    <row r="202" spans="2:42" x14ac:dyDescent="0.35">
      <c r="AJ202" s="323"/>
      <c r="AK202" s="323"/>
      <c r="AL202" s="323"/>
      <c r="AM202" s="323"/>
      <c r="AN202" s="323"/>
    </row>
    <row r="203" spans="2:42" x14ac:dyDescent="0.35">
      <c r="AJ203" s="323"/>
      <c r="AK203" s="323"/>
      <c r="AL203" s="323"/>
      <c r="AM203" s="323"/>
      <c r="AN203" s="323"/>
    </row>
    <row r="204" spans="2:42" x14ac:dyDescent="0.35">
      <c r="AJ204" s="323"/>
      <c r="AK204" s="323"/>
      <c r="AL204" s="323"/>
      <c r="AM204" s="323"/>
      <c r="AN204" s="323"/>
    </row>
    <row r="205" spans="2:42" x14ac:dyDescent="0.35">
      <c r="AJ205" s="323"/>
      <c r="AK205" s="323"/>
      <c r="AL205" s="323"/>
      <c r="AM205" s="323"/>
      <c r="AN205" s="323"/>
    </row>
    <row r="206" spans="2:42" x14ac:dyDescent="0.35">
      <c r="AJ206" s="323"/>
      <c r="AK206" s="323"/>
      <c r="AL206" s="323"/>
      <c r="AM206" s="323"/>
      <c r="AN206" s="323"/>
    </row>
    <row r="207" spans="2:42" x14ac:dyDescent="0.35">
      <c r="AJ207" s="323"/>
      <c r="AK207" s="323"/>
      <c r="AL207" s="323"/>
      <c r="AM207" s="323"/>
      <c r="AN207" s="323"/>
    </row>
    <row r="208" spans="2:42" x14ac:dyDescent="0.35">
      <c r="AJ208" s="323"/>
      <c r="AK208" s="323"/>
      <c r="AL208" s="323"/>
      <c r="AM208" s="323"/>
      <c r="AN208" s="323"/>
    </row>
    <row r="209" spans="36:40" x14ac:dyDescent="0.35">
      <c r="AJ209" s="323"/>
      <c r="AK209" s="323"/>
      <c r="AL209" s="323"/>
      <c r="AM209" s="323"/>
      <c r="AN209" s="323"/>
    </row>
    <row r="210" spans="36:40" x14ac:dyDescent="0.35">
      <c r="AJ210" s="323"/>
      <c r="AK210" s="323"/>
      <c r="AL210" s="323"/>
      <c r="AM210" s="323"/>
      <c r="AN210" s="323"/>
    </row>
    <row r="211" spans="36:40" x14ac:dyDescent="0.35">
      <c r="AJ211" s="323"/>
      <c r="AK211" s="323"/>
      <c r="AL211" s="323"/>
      <c r="AM211" s="323"/>
      <c r="AN211" s="323"/>
    </row>
    <row r="212" spans="36:40" x14ac:dyDescent="0.35">
      <c r="AJ212" s="323"/>
      <c r="AK212" s="323"/>
      <c r="AL212" s="323"/>
      <c r="AM212" s="323"/>
      <c r="AN212" s="323"/>
    </row>
    <row r="213" spans="36:40" x14ac:dyDescent="0.35">
      <c r="AJ213" s="323"/>
      <c r="AK213" s="323"/>
      <c r="AL213" s="323"/>
      <c r="AM213" s="323"/>
      <c r="AN213" s="323"/>
    </row>
    <row r="214" spans="36:40" x14ac:dyDescent="0.35">
      <c r="AJ214" s="323"/>
      <c r="AK214" s="323"/>
      <c r="AL214" s="323"/>
      <c r="AM214" s="323"/>
      <c r="AN214" s="323"/>
    </row>
    <row r="215" spans="36:40" x14ac:dyDescent="0.35">
      <c r="AJ215" s="323"/>
      <c r="AK215" s="323"/>
      <c r="AL215" s="323"/>
      <c r="AM215" s="323"/>
      <c r="AN215" s="323"/>
    </row>
    <row r="216" spans="36:40" x14ac:dyDescent="0.35">
      <c r="AJ216" s="323"/>
      <c r="AK216" s="323"/>
      <c r="AL216" s="323"/>
      <c r="AM216" s="323"/>
      <c r="AN216" s="323"/>
    </row>
    <row r="217" spans="36:40" x14ac:dyDescent="0.35">
      <c r="AJ217" s="323"/>
      <c r="AK217" s="323"/>
      <c r="AL217" s="323"/>
      <c r="AM217" s="323"/>
      <c r="AN217" s="323"/>
    </row>
    <row r="218" spans="36:40" x14ac:dyDescent="0.35">
      <c r="AJ218" s="323"/>
      <c r="AK218" s="323"/>
      <c r="AL218" s="323"/>
      <c r="AM218" s="323"/>
      <c r="AN218" s="323"/>
    </row>
    <row r="219" spans="36:40" x14ac:dyDescent="0.35">
      <c r="AJ219" s="323"/>
      <c r="AK219" s="323"/>
      <c r="AL219" s="323"/>
      <c r="AM219" s="323"/>
      <c r="AN219" s="323"/>
    </row>
    <row r="220" spans="36:40" x14ac:dyDescent="0.35">
      <c r="AJ220" s="323"/>
      <c r="AK220" s="323"/>
      <c r="AL220" s="323"/>
      <c r="AM220" s="323"/>
      <c r="AN220" s="323"/>
    </row>
    <row r="221" spans="36:40" x14ac:dyDescent="0.35">
      <c r="AJ221" s="323"/>
      <c r="AK221" s="323"/>
      <c r="AL221" s="323"/>
      <c r="AM221" s="323"/>
      <c r="AN221" s="323"/>
    </row>
    <row r="222" spans="36:40" x14ac:dyDescent="0.35">
      <c r="AJ222" s="323"/>
      <c r="AK222" s="323"/>
      <c r="AL222" s="323"/>
      <c r="AM222" s="323"/>
      <c r="AN222" s="323"/>
    </row>
    <row r="223" spans="36:40" x14ac:dyDescent="0.35">
      <c r="AJ223" s="323"/>
      <c r="AK223" s="323"/>
      <c r="AL223" s="323"/>
      <c r="AM223" s="323"/>
      <c r="AN223" s="323"/>
    </row>
    <row r="224" spans="36:40" x14ac:dyDescent="0.35">
      <c r="AJ224" s="323"/>
      <c r="AK224" s="323"/>
      <c r="AL224" s="323"/>
      <c r="AM224" s="323"/>
      <c r="AN224" s="323"/>
    </row>
    <row r="225" spans="36:40" x14ac:dyDescent="0.35">
      <c r="AJ225" s="323"/>
      <c r="AK225" s="323"/>
      <c r="AL225" s="323"/>
      <c r="AM225" s="323"/>
      <c r="AN225" s="323"/>
    </row>
    <row r="226" spans="36:40" x14ac:dyDescent="0.35">
      <c r="AJ226" s="323"/>
      <c r="AK226" s="323"/>
      <c r="AL226" s="323"/>
      <c r="AM226" s="323"/>
      <c r="AN226" s="323"/>
    </row>
    <row r="227" spans="36:40" x14ac:dyDescent="0.35">
      <c r="AJ227" s="323"/>
      <c r="AK227" s="323"/>
      <c r="AL227" s="323"/>
      <c r="AM227" s="323"/>
      <c r="AN227" s="323"/>
    </row>
    <row r="228" spans="36:40" x14ac:dyDescent="0.35">
      <c r="AJ228" s="323"/>
      <c r="AK228" s="323"/>
      <c r="AL228" s="323"/>
      <c r="AM228" s="323"/>
      <c r="AN228" s="323"/>
    </row>
    <row r="229" spans="36:40" x14ac:dyDescent="0.35">
      <c r="AJ229" s="323"/>
      <c r="AK229" s="323"/>
      <c r="AL229" s="323"/>
      <c r="AM229" s="323"/>
      <c r="AN229" s="323"/>
    </row>
    <row r="230" spans="36:40" x14ac:dyDescent="0.35">
      <c r="AJ230" s="323"/>
      <c r="AK230" s="323"/>
      <c r="AL230" s="323"/>
      <c r="AM230" s="323"/>
      <c r="AN230" s="323"/>
    </row>
    <row r="231" spans="36:40" x14ac:dyDescent="0.35">
      <c r="AJ231" s="323"/>
      <c r="AK231" s="323"/>
      <c r="AL231" s="323"/>
      <c r="AM231" s="323"/>
      <c r="AN231" s="323"/>
    </row>
    <row r="232" spans="36:40" x14ac:dyDescent="0.35">
      <c r="AJ232" s="323"/>
      <c r="AK232" s="323"/>
      <c r="AL232" s="323"/>
      <c r="AM232" s="323"/>
      <c r="AN232" s="323"/>
    </row>
    <row r="233" spans="36:40" x14ac:dyDescent="0.35">
      <c r="AJ233" s="323"/>
      <c r="AK233" s="323"/>
      <c r="AL233" s="323"/>
      <c r="AM233" s="323"/>
      <c r="AN233" s="323"/>
    </row>
    <row r="234" spans="36:40" x14ac:dyDescent="0.35">
      <c r="AJ234" s="323"/>
      <c r="AK234" s="323"/>
      <c r="AL234" s="323"/>
      <c r="AM234" s="323"/>
      <c r="AN234" s="323"/>
    </row>
    <row r="235" spans="36:40" x14ac:dyDescent="0.35">
      <c r="AJ235" s="323"/>
      <c r="AK235" s="323"/>
      <c r="AL235" s="323"/>
      <c r="AM235" s="323"/>
      <c r="AN235" s="323"/>
    </row>
    <row r="236" spans="36:40" x14ac:dyDescent="0.35">
      <c r="AJ236" s="323"/>
      <c r="AK236" s="323"/>
      <c r="AL236" s="323"/>
      <c r="AM236" s="323"/>
      <c r="AN236" s="323"/>
    </row>
    <row r="237" spans="36:40" x14ac:dyDescent="0.35">
      <c r="AJ237" s="323"/>
      <c r="AK237" s="323"/>
      <c r="AL237" s="323"/>
      <c r="AM237" s="323"/>
      <c r="AN237" s="323"/>
    </row>
    <row r="238" spans="36:40" x14ac:dyDescent="0.35">
      <c r="AJ238" s="323"/>
      <c r="AK238" s="323"/>
      <c r="AL238" s="323"/>
      <c r="AM238" s="323"/>
      <c r="AN238" s="323"/>
    </row>
    <row r="239" spans="36:40" x14ac:dyDescent="0.35">
      <c r="AJ239" s="323"/>
      <c r="AK239" s="323"/>
      <c r="AL239" s="323"/>
      <c r="AM239" s="323"/>
      <c r="AN239" s="323"/>
    </row>
    <row r="240" spans="36:40" x14ac:dyDescent="0.35">
      <c r="AJ240" s="323"/>
      <c r="AK240" s="323"/>
      <c r="AL240" s="323"/>
      <c r="AM240" s="323"/>
      <c r="AN240" s="323"/>
    </row>
    <row r="241" spans="36:40" x14ac:dyDescent="0.35">
      <c r="AJ241" s="323"/>
      <c r="AK241" s="323"/>
      <c r="AL241" s="323"/>
      <c r="AM241" s="323"/>
      <c r="AN241" s="323"/>
    </row>
    <row r="242" spans="36:40" x14ac:dyDescent="0.35">
      <c r="AJ242" s="323"/>
      <c r="AK242" s="323"/>
      <c r="AL242" s="323"/>
      <c r="AM242" s="323"/>
      <c r="AN242" s="323"/>
    </row>
    <row r="243" spans="36:40" x14ac:dyDescent="0.35">
      <c r="AJ243" s="323"/>
      <c r="AK243" s="323"/>
      <c r="AL243" s="323"/>
      <c r="AM243" s="323"/>
      <c r="AN243" s="323"/>
    </row>
    <row r="244" spans="36:40" x14ac:dyDescent="0.35">
      <c r="AJ244" s="323"/>
      <c r="AK244" s="323"/>
      <c r="AL244" s="323"/>
      <c r="AM244" s="323"/>
      <c r="AN244" s="323"/>
    </row>
    <row r="245" spans="36:40" x14ac:dyDescent="0.35">
      <c r="AJ245" s="323"/>
      <c r="AK245" s="323"/>
      <c r="AL245" s="323"/>
      <c r="AM245" s="323"/>
      <c r="AN245" s="323"/>
    </row>
    <row r="246" spans="36:40" x14ac:dyDescent="0.35">
      <c r="AJ246" s="323"/>
      <c r="AK246" s="323"/>
      <c r="AL246" s="323"/>
      <c r="AM246" s="323"/>
      <c r="AN246" s="323"/>
    </row>
    <row r="247" spans="36:40" x14ac:dyDescent="0.35">
      <c r="AJ247" s="323"/>
      <c r="AK247" s="323"/>
      <c r="AL247" s="323"/>
      <c r="AM247" s="323"/>
      <c r="AN247" s="323"/>
    </row>
    <row r="248" spans="36:40" x14ac:dyDescent="0.35">
      <c r="AJ248" s="323"/>
      <c r="AK248" s="323"/>
      <c r="AL248" s="323"/>
      <c r="AM248" s="323"/>
      <c r="AN248" s="323"/>
    </row>
    <row r="249" spans="36:40" x14ac:dyDescent="0.35">
      <c r="AJ249" s="323"/>
      <c r="AK249" s="323"/>
      <c r="AL249" s="323"/>
      <c r="AM249" s="323"/>
      <c r="AN249" s="323"/>
    </row>
    <row r="250" spans="36:40" x14ac:dyDescent="0.35">
      <c r="AJ250" s="323"/>
      <c r="AK250" s="323"/>
      <c r="AL250" s="323"/>
      <c r="AM250" s="323"/>
      <c r="AN250" s="323"/>
    </row>
    <row r="251" spans="36:40" x14ac:dyDescent="0.35">
      <c r="AJ251" s="323"/>
      <c r="AK251" s="323"/>
      <c r="AL251" s="323"/>
      <c r="AM251" s="323"/>
      <c r="AN251" s="323"/>
    </row>
    <row r="252" spans="36:40" x14ac:dyDescent="0.35">
      <c r="AJ252" s="323"/>
      <c r="AK252" s="323"/>
      <c r="AL252" s="323"/>
      <c r="AM252" s="323"/>
      <c r="AN252" s="323"/>
    </row>
    <row r="253" spans="36:40" x14ac:dyDescent="0.35">
      <c r="AJ253" s="323"/>
      <c r="AK253" s="323"/>
      <c r="AL253" s="323"/>
      <c r="AM253" s="323"/>
      <c r="AN253" s="323"/>
    </row>
    <row r="254" spans="36:40" x14ac:dyDescent="0.35">
      <c r="AJ254" s="323"/>
      <c r="AK254" s="323"/>
      <c r="AL254" s="323"/>
      <c r="AM254" s="323"/>
      <c r="AN254" s="323"/>
    </row>
    <row r="255" spans="36:40" x14ac:dyDescent="0.35">
      <c r="AJ255" s="323"/>
      <c r="AK255" s="323"/>
      <c r="AL255" s="323"/>
      <c r="AM255" s="323"/>
      <c r="AN255" s="323"/>
    </row>
    <row r="256" spans="36:40" x14ac:dyDescent="0.35">
      <c r="AJ256" s="323"/>
      <c r="AK256" s="323"/>
      <c r="AL256" s="323"/>
      <c r="AM256" s="323"/>
      <c r="AN256" s="323"/>
    </row>
    <row r="257" spans="36:40" x14ac:dyDescent="0.35">
      <c r="AJ257" s="323"/>
      <c r="AK257" s="323"/>
      <c r="AL257" s="323"/>
      <c r="AM257" s="323"/>
      <c r="AN257" s="323"/>
    </row>
    <row r="258" spans="36:40" x14ac:dyDescent="0.35">
      <c r="AJ258" s="323"/>
      <c r="AK258" s="323"/>
      <c r="AL258" s="323"/>
      <c r="AM258" s="323"/>
      <c r="AN258" s="323"/>
    </row>
    <row r="259" spans="36:40" x14ac:dyDescent="0.35">
      <c r="AJ259" s="323"/>
      <c r="AK259" s="323"/>
      <c r="AL259" s="323"/>
      <c r="AM259" s="323"/>
      <c r="AN259" s="323"/>
    </row>
    <row r="260" spans="36:40" x14ac:dyDescent="0.35">
      <c r="AJ260" s="323"/>
      <c r="AK260" s="323"/>
      <c r="AL260" s="323"/>
      <c r="AM260" s="323"/>
      <c r="AN260" s="323"/>
    </row>
    <row r="261" spans="36:40" x14ac:dyDescent="0.35">
      <c r="AJ261" s="323"/>
      <c r="AK261" s="323"/>
      <c r="AL261" s="323"/>
      <c r="AM261" s="323"/>
      <c r="AN261" s="323"/>
    </row>
    <row r="262" spans="36:40" x14ac:dyDescent="0.35">
      <c r="AJ262" s="323"/>
      <c r="AK262" s="323"/>
      <c r="AL262" s="323"/>
      <c r="AM262" s="323"/>
      <c r="AN262" s="323"/>
    </row>
    <row r="263" spans="36:40" x14ac:dyDescent="0.35">
      <c r="AJ263" s="323"/>
      <c r="AK263" s="323"/>
      <c r="AL263" s="323"/>
      <c r="AM263" s="323"/>
      <c r="AN263" s="323"/>
    </row>
    <row r="264" spans="36:40" x14ac:dyDescent="0.35">
      <c r="AJ264" s="323"/>
      <c r="AK264" s="323"/>
      <c r="AL264" s="323"/>
      <c r="AM264" s="323"/>
      <c r="AN264" s="323"/>
    </row>
    <row r="265" spans="36:40" x14ac:dyDescent="0.35">
      <c r="AJ265" s="323"/>
      <c r="AK265" s="323"/>
      <c r="AL265" s="323"/>
      <c r="AM265" s="323"/>
      <c r="AN265" s="323"/>
    </row>
    <row r="266" spans="36:40" x14ac:dyDescent="0.35">
      <c r="AJ266" s="323"/>
      <c r="AK266" s="323"/>
      <c r="AL266" s="323"/>
      <c r="AM266" s="323"/>
      <c r="AN266" s="323"/>
    </row>
    <row r="267" spans="36:40" x14ac:dyDescent="0.35">
      <c r="AJ267" s="323"/>
      <c r="AK267" s="323"/>
      <c r="AL267" s="323"/>
      <c r="AM267" s="323"/>
      <c r="AN267" s="323"/>
    </row>
    <row r="268" spans="36:40" x14ac:dyDescent="0.35">
      <c r="AJ268" s="323"/>
      <c r="AK268" s="323"/>
      <c r="AL268" s="323"/>
      <c r="AM268" s="323"/>
      <c r="AN268" s="323"/>
    </row>
    <row r="269" spans="36:40" x14ac:dyDescent="0.35">
      <c r="AJ269" s="323"/>
      <c r="AK269" s="323"/>
      <c r="AL269" s="323"/>
      <c r="AM269" s="323"/>
      <c r="AN269" s="323"/>
    </row>
    <row r="270" spans="36:40" x14ac:dyDescent="0.35">
      <c r="AJ270" s="323"/>
      <c r="AK270" s="323"/>
      <c r="AL270" s="323"/>
      <c r="AM270" s="323"/>
      <c r="AN270" s="323"/>
    </row>
    <row r="271" spans="36:40" x14ac:dyDescent="0.35">
      <c r="AJ271" s="323"/>
      <c r="AK271" s="323"/>
      <c r="AL271" s="323"/>
      <c r="AM271" s="323"/>
      <c r="AN271" s="323"/>
    </row>
    <row r="272" spans="36:40" x14ac:dyDescent="0.35">
      <c r="AJ272" s="323"/>
      <c r="AK272" s="323"/>
      <c r="AL272" s="323"/>
      <c r="AM272" s="323"/>
      <c r="AN272" s="323"/>
    </row>
    <row r="273" spans="36:40" x14ac:dyDescent="0.35">
      <c r="AJ273" s="323"/>
      <c r="AK273" s="323"/>
      <c r="AL273" s="323"/>
      <c r="AM273" s="323"/>
      <c r="AN273" s="323"/>
    </row>
    <row r="274" spans="36:40" x14ac:dyDescent="0.35">
      <c r="AJ274" s="323"/>
      <c r="AK274" s="323"/>
      <c r="AL274" s="323"/>
      <c r="AM274" s="323"/>
      <c r="AN274" s="323"/>
    </row>
    <row r="275" spans="36:40" x14ac:dyDescent="0.35">
      <c r="AJ275" s="323"/>
      <c r="AK275" s="323"/>
      <c r="AL275" s="323"/>
      <c r="AM275" s="323"/>
      <c r="AN275" s="323"/>
    </row>
    <row r="276" spans="36:40" x14ac:dyDescent="0.35">
      <c r="AJ276" s="323"/>
      <c r="AK276" s="323"/>
      <c r="AL276" s="323"/>
      <c r="AM276" s="323"/>
      <c r="AN276" s="323"/>
    </row>
    <row r="277" spans="36:40" x14ac:dyDescent="0.35">
      <c r="AJ277" s="323"/>
      <c r="AK277" s="323"/>
      <c r="AL277" s="323"/>
      <c r="AM277" s="323"/>
      <c r="AN277" s="323"/>
    </row>
    <row r="278" spans="36:40" x14ac:dyDescent="0.35">
      <c r="AJ278" s="323"/>
      <c r="AK278" s="323"/>
      <c r="AL278" s="323"/>
      <c r="AM278" s="323"/>
      <c r="AN278" s="323"/>
    </row>
    <row r="279" spans="36:40" x14ac:dyDescent="0.35">
      <c r="AJ279" s="323"/>
      <c r="AK279" s="323"/>
      <c r="AL279" s="323"/>
      <c r="AM279" s="323"/>
      <c r="AN279" s="323"/>
    </row>
    <row r="280" spans="36:40" x14ac:dyDescent="0.35">
      <c r="AJ280" s="323"/>
      <c r="AK280" s="323"/>
      <c r="AL280" s="323"/>
      <c r="AM280" s="323"/>
      <c r="AN280" s="323"/>
    </row>
    <row r="281" spans="36:40" x14ac:dyDescent="0.35">
      <c r="AJ281" s="323"/>
      <c r="AK281" s="323"/>
      <c r="AL281" s="323"/>
      <c r="AM281" s="323"/>
      <c r="AN281" s="323"/>
    </row>
    <row r="282" spans="36:40" x14ac:dyDescent="0.35">
      <c r="AJ282" s="323"/>
      <c r="AK282" s="323"/>
      <c r="AL282" s="323"/>
      <c r="AM282" s="323"/>
      <c r="AN282" s="323"/>
    </row>
    <row r="283" spans="36:40" x14ac:dyDescent="0.35">
      <c r="AJ283" s="323"/>
      <c r="AK283" s="323"/>
      <c r="AL283" s="323"/>
      <c r="AM283" s="323"/>
      <c r="AN283" s="323"/>
    </row>
    <row r="284" spans="36:40" x14ac:dyDescent="0.35">
      <c r="AJ284" s="323"/>
      <c r="AK284" s="323"/>
      <c r="AL284" s="323"/>
      <c r="AM284" s="323"/>
      <c r="AN284" s="323"/>
    </row>
    <row r="285" spans="36:40" x14ac:dyDescent="0.35">
      <c r="AJ285" s="323"/>
      <c r="AK285" s="323"/>
      <c r="AL285" s="323"/>
      <c r="AM285" s="323"/>
      <c r="AN285" s="323"/>
    </row>
    <row r="286" spans="36:40" x14ac:dyDescent="0.35">
      <c r="AJ286" s="323"/>
      <c r="AK286" s="323"/>
      <c r="AL286" s="323"/>
      <c r="AM286" s="323"/>
      <c r="AN286" s="323"/>
    </row>
    <row r="287" spans="36:40" x14ac:dyDescent="0.35">
      <c r="AJ287" s="323"/>
      <c r="AK287" s="323"/>
      <c r="AL287" s="323"/>
      <c r="AM287" s="323"/>
      <c r="AN287" s="323"/>
    </row>
    <row r="288" spans="36:40" x14ac:dyDescent="0.35">
      <c r="AJ288" s="323"/>
      <c r="AK288" s="323"/>
      <c r="AL288" s="323"/>
      <c r="AM288" s="323"/>
      <c r="AN288" s="323"/>
    </row>
    <row r="289" spans="36:40" x14ac:dyDescent="0.35">
      <c r="AJ289" s="323"/>
      <c r="AK289" s="323"/>
      <c r="AL289" s="323"/>
      <c r="AM289" s="323"/>
      <c r="AN289" s="323"/>
    </row>
    <row r="290" spans="36:40" x14ac:dyDescent="0.35">
      <c r="AJ290" s="323"/>
      <c r="AK290" s="323"/>
      <c r="AL290" s="323"/>
      <c r="AM290" s="323"/>
      <c r="AN290" s="323"/>
    </row>
    <row r="291" spans="36:40" x14ac:dyDescent="0.35">
      <c r="AJ291" s="323"/>
      <c r="AK291" s="323"/>
      <c r="AL291" s="323"/>
      <c r="AM291" s="323"/>
      <c r="AN291" s="323"/>
    </row>
  </sheetData>
  <protectedRanges>
    <protectedRange sqref="E5 E9:E11" name="Input for Interest Only"/>
    <protectedRange sqref="H10:H11" name="Input for Interest Only_1"/>
    <protectedRange sqref="M5:M11" name="Input for Interest Only_2"/>
  </protectedRanges>
  <scenarios current="0">
    <scenario name="EMP APAC" count="1" user="61411" comment="Created by 61411 on 3/21/2023">
      <inputCells r="AK11" val="0.0676527680179739" numFmtId="10"/>
    </scenario>
  </scenarios>
  <mergeCells count="26">
    <mergeCell ref="AE18:AE19"/>
    <mergeCell ref="Q71:R71"/>
    <mergeCell ref="Q131:R131"/>
    <mergeCell ref="Q179:R179"/>
    <mergeCell ref="T16:AG16"/>
    <mergeCell ref="T17:T19"/>
    <mergeCell ref="U17:U19"/>
    <mergeCell ref="V17:V18"/>
    <mergeCell ref="W17:Y17"/>
    <mergeCell ref="Z17:Z19"/>
    <mergeCell ref="AA17:AC17"/>
    <mergeCell ref="AG17:AG19"/>
    <mergeCell ref="Y18:Y19"/>
    <mergeCell ref="AD18:AD19"/>
    <mergeCell ref="Q11:Q12"/>
    <mergeCell ref="I12:J12"/>
    <mergeCell ref="I13:J13"/>
    <mergeCell ref="I14:J14"/>
    <mergeCell ref="E15:J15"/>
    <mergeCell ref="L15:M15"/>
    <mergeCell ref="Q3:R3"/>
    <mergeCell ref="C3:C4"/>
    <mergeCell ref="E3:F4"/>
    <mergeCell ref="H3:J4"/>
    <mergeCell ref="L3:M4"/>
    <mergeCell ref="O3:O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8">
    <pageSetUpPr fitToPage="1"/>
  </sheetPr>
  <dimension ref="B1:Q67"/>
  <sheetViews>
    <sheetView zoomScale="95" zoomScaleNormal="85" workbookViewId="0">
      <selection activeCell="L5" sqref="L5:L14"/>
    </sheetView>
  </sheetViews>
  <sheetFormatPr defaultColWidth="9.1328125" defaultRowHeight="12.75" x14ac:dyDescent="0.35"/>
  <cols>
    <col min="1" max="1" width="3.1328125" style="254" customWidth="1"/>
    <col min="2" max="2" width="24" style="254" customWidth="1"/>
    <col min="3" max="3" width="15.86328125" style="254" customWidth="1"/>
    <col min="4" max="4" width="15" style="254" customWidth="1"/>
    <col min="5" max="5" width="20" style="256" customWidth="1"/>
    <col min="6" max="6" width="32.86328125" style="254" customWidth="1"/>
    <col min="7" max="7" width="34.86328125" style="257" customWidth="1"/>
    <col min="8" max="8" width="11.53125" style="254" customWidth="1"/>
    <col min="9" max="9" width="10.86328125" style="254" bestFit="1" customWidth="1"/>
    <col min="10" max="10" width="9.1328125" style="254"/>
    <col min="11" max="12" width="9.19921875" style="254" bestFit="1" customWidth="1"/>
    <col min="13" max="13" width="9.1328125" style="254"/>
    <col min="14" max="14" width="10.86328125" style="255" bestFit="1" customWidth="1"/>
    <col min="15" max="16384" width="9.1328125" style="254"/>
  </cols>
  <sheetData>
    <row r="1" spans="2:17" ht="23.25" customHeight="1" x14ac:dyDescent="0.35">
      <c r="B1" s="140" t="s">
        <v>65</v>
      </c>
      <c r="C1" s="22"/>
      <c r="D1" s="21"/>
      <c r="E1" s="23"/>
      <c r="F1" s="21"/>
      <c r="G1" s="21"/>
    </row>
    <row r="2" spans="2:17" ht="6.75" customHeight="1" thickBot="1" x14ac:dyDescent="0.4"/>
    <row r="3" spans="2:17" ht="13.05" customHeight="1" x14ac:dyDescent="0.35">
      <c r="B3" s="15" t="s">
        <v>20</v>
      </c>
      <c r="C3" s="16" t="s">
        <v>49</v>
      </c>
      <c r="D3" s="16" t="s">
        <v>50</v>
      </c>
      <c r="E3" s="16" t="s">
        <v>51</v>
      </c>
      <c r="F3" s="16" t="s">
        <v>54</v>
      </c>
      <c r="G3" s="122" t="s">
        <v>56</v>
      </c>
    </row>
    <row r="4" spans="2:17" ht="13.05" customHeight="1" x14ac:dyDescent="0.35">
      <c r="B4" s="258" t="s">
        <v>135</v>
      </c>
      <c r="C4" s="259">
        <f>D4+E4*F4+G4*E4</f>
        <v>6000</v>
      </c>
      <c r="D4" s="260">
        <v>4000</v>
      </c>
      <c r="E4" s="261">
        <v>5</v>
      </c>
      <c r="F4" s="260">
        <v>240</v>
      </c>
      <c r="G4" s="262">
        <v>160</v>
      </c>
      <c r="I4" s="255"/>
      <c r="J4" s="255"/>
      <c r="K4" s="255"/>
      <c r="L4" s="255"/>
      <c r="P4" s="263"/>
      <c r="Q4" s="263"/>
    </row>
    <row r="5" spans="2:17" ht="13.05" customHeight="1" x14ac:dyDescent="0.35">
      <c r="B5" s="258"/>
      <c r="C5" s="259"/>
      <c r="D5" s="260"/>
      <c r="E5" s="261"/>
      <c r="F5" s="260"/>
      <c r="G5" s="262"/>
      <c r="I5" s="255"/>
      <c r="J5" s="255"/>
      <c r="K5" s="255"/>
      <c r="L5" s="255"/>
      <c r="P5" s="263"/>
      <c r="Q5" s="263"/>
    </row>
    <row r="6" spans="2:17" ht="13.05" customHeight="1" x14ac:dyDescent="0.35">
      <c r="B6" s="258" t="s">
        <v>134</v>
      </c>
      <c r="C6" s="259">
        <f>D6+E6*F6+G6*E6</f>
        <v>6000</v>
      </c>
      <c r="D6" s="260">
        <v>4000</v>
      </c>
      <c r="E6" s="261">
        <v>5</v>
      </c>
      <c r="F6" s="260">
        <v>240</v>
      </c>
      <c r="G6" s="262">
        <v>160</v>
      </c>
      <c r="I6" s="255"/>
      <c r="J6" s="255"/>
      <c r="K6" s="255"/>
      <c r="L6" s="255"/>
      <c r="P6" s="263"/>
      <c r="Q6" s="263"/>
    </row>
    <row r="7" spans="2:17" ht="13.05" customHeight="1" x14ac:dyDescent="0.35">
      <c r="B7" s="258"/>
      <c r="C7" s="259"/>
      <c r="D7" s="260"/>
      <c r="E7" s="261"/>
      <c r="F7" s="260"/>
      <c r="G7" s="262"/>
      <c r="I7" s="255"/>
      <c r="J7" s="255"/>
      <c r="K7" s="255"/>
      <c r="L7" s="255"/>
      <c r="P7" s="263"/>
      <c r="Q7" s="263"/>
    </row>
    <row r="8" spans="2:17" ht="13.05" customHeight="1" x14ac:dyDescent="0.35">
      <c r="B8" s="258"/>
      <c r="C8" s="259"/>
      <c r="D8" s="260"/>
      <c r="E8" s="261"/>
      <c r="F8" s="260"/>
      <c r="G8" s="262"/>
      <c r="I8" s="255"/>
      <c r="J8" s="255"/>
      <c r="K8" s="255"/>
      <c r="L8" s="255"/>
      <c r="P8" s="263"/>
      <c r="Q8" s="263"/>
    </row>
    <row r="9" spans="2:17" ht="13.05" customHeight="1" x14ac:dyDescent="0.35">
      <c r="B9" s="258"/>
      <c r="C9" s="259"/>
      <c r="D9" s="260"/>
      <c r="E9" s="261"/>
      <c r="F9" s="260"/>
      <c r="G9" s="262"/>
      <c r="I9" s="255"/>
      <c r="J9" s="255"/>
      <c r="K9" s="255"/>
      <c r="L9" s="255"/>
      <c r="P9" s="263"/>
      <c r="Q9" s="263"/>
    </row>
    <row r="10" spans="2:17" ht="13.05" customHeight="1" x14ac:dyDescent="0.35">
      <c r="B10" s="258" t="s">
        <v>136</v>
      </c>
      <c r="C10" s="118">
        <f t="shared" ref="C10:C25" si="0">D10+E10*F10+G10*E10</f>
        <v>5000</v>
      </c>
      <c r="D10" s="131">
        <v>3000</v>
      </c>
      <c r="E10" s="132">
        <v>5</v>
      </c>
      <c r="F10" s="131">
        <v>240</v>
      </c>
      <c r="G10" s="133">
        <v>160</v>
      </c>
      <c r="I10" s="255"/>
      <c r="J10" s="255"/>
      <c r="K10" s="255"/>
      <c r="L10" s="255"/>
      <c r="P10" s="263"/>
      <c r="Q10" s="263"/>
    </row>
    <row r="11" spans="2:17" ht="13.05" customHeight="1" x14ac:dyDescent="0.35">
      <c r="B11" s="18"/>
      <c r="C11" s="118"/>
      <c r="D11" s="131"/>
      <c r="E11" s="132"/>
      <c r="F11" s="131"/>
      <c r="G11" s="133"/>
      <c r="I11" s="255"/>
      <c r="J11" s="255"/>
      <c r="K11" s="255"/>
      <c r="L11" s="255"/>
      <c r="P11" s="263"/>
      <c r="Q11" s="263"/>
    </row>
    <row r="12" spans="2:17" ht="13.05" customHeight="1" x14ac:dyDescent="0.35">
      <c r="B12" s="258"/>
      <c r="C12" s="118"/>
      <c r="D12" s="131"/>
      <c r="E12" s="132"/>
      <c r="F12" s="131"/>
      <c r="G12" s="133"/>
      <c r="I12" s="255"/>
      <c r="J12" s="255"/>
      <c r="K12" s="255"/>
      <c r="L12" s="255"/>
      <c r="P12" s="263"/>
      <c r="Q12" s="263"/>
    </row>
    <row r="13" spans="2:17" ht="13.05" customHeight="1" x14ac:dyDescent="0.35">
      <c r="B13" s="18"/>
      <c r="C13" s="118"/>
      <c r="D13" s="131"/>
      <c r="E13" s="132"/>
      <c r="F13" s="131"/>
      <c r="G13" s="133"/>
      <c r="I13" s="255"/>
      <c r="J13" s="255"/>
      <c r="K13" s="255"/>
      <c r="L13" s="255"/>
      <c r="P13" s="263"/>
      <c r="Q13" s="263"/>
    </row>
    <row r="14" spans="2:17" ht="13.05" customHeight="1" x14ac:dyDescent="0.35">
      <c r="B14" s="18"/>
      <c r="C14" s="118"/>
      <c r="D14" s="131"/>
      <c r="E14" s="132"/>
      <c r="F14" s="131"/>
      <c r="G14" s="133"/>
      <c r="I14" s="255"/>
      <c r="J14" s="255"/>
      <c r="K14" s="255"/>
      <c r="L14" s="255"/>
      <c r="P14" s="263"/>
      <c r="Q14" s="263"/>
    </row>
    <row r="15" spans="2:17" ht="13.05" customHeight="1" x14ac:dyDescent="0.35">
      <c r="B15" s="18"/>
      <c r="C15" s="118"/>
      <c r="D15" s="131"/>
      <c r="E15" s="132"/>
      <c r="F15" s="131"/>
      <c r="G15" s="133"/>
      <c r="I15" s="255"/>
      <c r="J15" s="255"/>
      <c r="K15" s="255"/>
      <c r="L15" s="255"/>
      <c r="P15" s="263"/>
      <c r="Q15" s="263"/>
    </row>
    <row r="16" spans="2:17" ht="13.05" customHeight="1" x14ac:dyDescent="0.35">
      <c r="B16" s="264"/>
      <c r="C16" s="118"/>
      <c r="D16" s="131"/>
      <c r="E16" s="132"/>
      <c r="F16" s="131"/>
      <c r="G16" s="133"/>
      <c r="I16" s="255"/>
      <c r="J16" s="255"/>
      <c r="K16" s="255"/>
      <c r="L16" s="255"/>
      <c r="P16" s="263"/>
      <c r="Q16" s="263"/>
    </row>
    <row r="17" spans="2:17" ht="13.05" customHeight="1" x14ac:dyDescent="0.35">
      <c r="B17" s="138"/>
      <c r="C17" s="118"/>
      <c r="D17" s="131"/>
      <c r="E17" s="132"/>
      <c r="F17" s="131"/>
      <c r="G17" s="133"/>
      <c r="I17" s="255"/>
      <c r="J17" s="255"/>
      <c r="K17" s="255"/>
      <c r="L17" s="255"/>
      <c r="P17" s="263"/>
      <c r="Q17" s="263"/>
    </row>
    <row r="18" spans="2:17" ht="13.05" customHeight="1" x14ac:dyDescent="0.35">
      <c r="B18" s="264" t="s">
        <v>137</v>
      </c>
      <c r="C18" s="118">
        <f t="shared" si="0"/>
        <v>2800</v>
      </c>
      <c r="D18" s="131">
        <v>1000</v>
      </c>
      <c r="E18" s="132">
        <v>5</v>
      </c>
      <c r="F18" s="131">
        <v>200</v>
      </c>
      <c r="G18" s="133">
        <v>160</v>
      </c>
      <c r="I18" s="255"/>
      <c r="J18" s="255"/>
      <c r="K18" s="255"/>
      <c r="L18" s="255"/>
      <c r="P18" s="263"/>
      <c r="Q18" s="263"/>
    </row>
    <row r="19" spans="2:17" ht="13.05" customHeight="1" x14ac:dyDescent="0.35">
      <c r="B19" s="264" t="s">
        <v>138</v>
      </c>
      <c r="C19" s="118">
        <f t="shared" si="0"/>
        <v>7000</v>
      </c>
      <c r="D19" s="131">
        <v>5000</v>
      </c>
      <c r="E19" s="132">
        <v>5</v>
      </c>
      <c r="F19" s="131">
        <v>240</v>
      </c>
      <c r="G19" s="133">
        <v>160</v>
      </c>
      <c r="I19" s="255"/>
      <c r="J19" s="255"/>
      <c r="K19" s="255"/>
      <c r="L19" s="255"/>
      <c r="P19" s="263"/>
      <c r="Q19" s="263"/>
    </row>
    <row r="20" spans="2:17" ht="13.05" customHeight="1" x14ac:dyDescent="0.35">
      <c r="B20" s="138"/>
      <c r="C20" s="118"/>
      <c r="D20" s="131"/>
      <c r="E20" s="132"/>
      <c r="F20" s="131"/>
      <c r="G20" s="133"/>
      <c r="I20" s="255"/>
      <c r="J20" s="255"/>
      <c r="K20" s="255"/>
      <c r="L20" s="255"/>
      <c r="P20" s="263"/>
      <c r="Q20" s="263"/>
    </row>
    <row r="21" spans="2:17" ht="13.05" customHeight="1" x14ac:dyDescent="0.35">
      <c r="B21" s="138" t="s">
        <v>58</v>
      </c>
      <c r="C21" s="118">
        <f t="shared" si="0"/>
        <v>3000</v>
      </c>
      <c r="D21" s="131">
        <v>1000</v>
      </c>
      <c r="E21" s="132">
        <v>5</v>
      </c>
      <c r="F21" s="131">
        <v>240</v>
      </c>
      <c r="G21" s="133">
        <v>160</v>
      </c>
      <c r="I21" s="255"/>
      <c r="J21" s="255"/>
      <c r="K21" s="255"/>
      <c r="L21" s="255"/>
      <c r="P21" s="263"/>
      <c r="Q21" s="263"/>
    </row>
    <row r="22" spans="2:17" ht="13.05" customHeight="1" x14ac:dyDescent="0.35">
      <c r="B22" s="138" t="s">
        <v>59</v>
      </c>
      <c r="C22" s="118">
        <f t="shared" si="0"/>
        <v>2300</v>
      </c>
      <c r="D22" s="131">
        <v>500</v>
      </c>
      <c r="E22" s="132">
        <v>5</v>
      </c>
      <c r="F22" s="131">
        <v>200</v>
      </c>
      <c r="G22" s="133">
        <v>160</v>
      </c>
      <c r="I22" s="255"/>
      <c r="J22" s="255"/>
      <c r="K22" s="255"/>
      <c r="L22" s="255"/>
      <c r="P22" s="263"/>
      <c r="Q22" s="263"/>
    </row>
    <row r="23" spans="2:17" ht="13.05" customHeight="1" x14ac:dyDescent="0.35">
      <c r="B23" s="138" t="s">
        <v>60</v>
      </c>
      <c r="C23" s="118">
        <f t="shared" si="0"/>
        <v>3000</v>
      </c>
      <c r="D23" s="131">
        <v>1000</v>
      </c>
      <c r="E23" s="132">
        <v>5</v>
      </c>
      <c r="F23" s="131">
        <v>240</v>
      </c>
      <c r="G23" s="133">
        <v>160</v>
      </c>
      <c r="I23" s="255"/>
      <c r="J23" s="255"/>
      <c r="K23" s="255"/>
      <c r="L23" s="255"/>
      <c r="P23" s="263"/>
      <c r="Q23" s="263"/>
    </row>
    <row r="24" spans="2:17" ht="13.05" customHeight="1" x14ac:dyDescent="0.35">
      <c r="B24" s="138" t="s">
        <v>61</v>
      </c>
      <c r="C24" s="118">
        <f t="shared" si="0"/>
        <v>8000</v>
      </c>
      <c r="D24" s="131">
        <v>6000</v>
      </c>
      <c r="E24" s="132">
        <v>5</v>
      </c>
      <c r="F24" s="131">
        <v>240</v>
      </c>
      <c r="G24" s="133">
        <v>160</v>
      </c>
      <c r="I24" s="255"/>
      <c r="J24" s="255"/>
      <c r="K24" s="255"/>
      <c r="L24" s="255"/>
      <c r="P24" s="263"/>
      <c r="Q24" s="263"/>
    </row>
    <row r="25" spans="2:17" ht="13.05" customHeight="1" thickBot="1" x14ac:dyDescent="0.4">
      <c r="B25" s="19" t="s">
        <v>62</v>
      </c>
      <c r="C25" s="119">
        <f t="shared" si="0"/>
        <v>3000</v>
      </c>
      <c r="D25" s="134">
        <v>1000</v>
      </c>
      <c r="E25" s="135">
        <v>5</v>
      </c>
      <c r="F25" s="134">
        <v>240</v>
      </c>
      <c r="G25" s="136">
        <v>160</v>
      </c>
      <c r="I25" s="255"/>
      <c r="J25" s="255"/>
      <c r="K25" s="255"/>
      <c r="L25" s="255"/>
      <c r="P25" s="263"/>
      <c r="Q25" s="263"/>
    </row>
    <row r="26" spans="2:17" ht="13.05" customHeight="1" thickBot="1" x14ac:dyDescent="0.4">
      <c r="C26" s="265"/>
      <c r="D26" s="265"/>
      <c r="E26" s="266"/>
      <c r="F26" s="265"/>
      <c r="G26" s="265"/>
      <c r="I26" s="267"/>
      <c r="K26" s="263"/>
      <c r="L26" s="263"/>
      <c r="P26" s="263"/>
      <c r="Q26" s="263"/>
    </row>
    <row r="27" spans="2:17" s="13" customFormat="1" ht="13.05" customHeight="1" x14ac:dyDescent="0.35">
      <c r="B27" s="15" t="s">
        <v>20</v>
      </c>
      <c r="C27" s="24" t="s">
        <v>23</v>
      </c>
      <c r="D27" s="16" t="s">
        <v>22</v>
      </c>
      <c r="E27" s="16" t="s">
        <v>21</v>
      </c>
      <c r="F27" s="16" t="s">
        <v>18</v>
      </c>
      <c r="G27" s="16" t="s">
        <v>16</v>
      </c>
      <c r="H27" s="17" t="s">
        <v>17</v>
      </c>
      <c r="N27" s="139"/>
    </row>
    <row r="28" spans="2:17" ht="13.05" customHeight="1" x14ac:dyDescent="0.35">
      <c r="B28" s="146"/>
      <c r="C28" s="25" t="str">
        <f t="shared" ref="C28:C46" si="1">IF(ISNA(VLOOKUP(B28,$B$4:$C$25,2,FALSE))=TRUE,"",VLOOKUP(B28,$B$4:$C$25,2,FALSE))</f>
        <v/>
      </c>
      <c r="D28" s="147"/>
      <c r="E28" s="147"/>
      <c r="F28" s="1" t="e">
        <f>VLOOKUP(E28,HR!$C$5:$D$45,2,FALSE)</f>
        <v>#N/A</v>
      </c>
      <c r="G28" s="228"/>
      <c r="H28" s="272" t="str">
        <f t="shared" ref="H28:H59" si="2">IF(ISNA(F28)=TRUE,"",C28*D28)</f>
        <v/>
      </c>
      <c r="K28" s="263"/>
      <c r="L28" s="263"/>
    </row>
    <row r="29" spans="2:17" ht="13.05" customHeight="1" x14ac:dyDescent="0.35">
      <c r="B29" s="146"/>
      <c r="C29" s="25" t="str">
        <f t="shared" si="1"/>
        <v/>
      </c>
      <c r="D29" s="147"/>
      <c r="E29" s="147"/>
      <c r="F29" s="1" t="e">
        <f>VLOOKUP(E29,HR!$C$5:$D$45,2,FALSE)</f>
        <v>#N/A</v>
      </c>
      <c r="G29" s="228"/>
      <c r="H29" s="272" t="str">
        <f t="shared" si="2"/>
        <v/>
      </c>
    </row>
    <row r="30" spans="2:17" ht="13.05" customHeight="1" x14ac:dyDescent="0.35">
      <c r="B30" s="146"/>
      <c r="C30" s="25" t="str">
        <f t="shared" si="1"/>
        <v/>
      </c>
      <c r="D30" s="147"/>
      <c r="E30" s="147"/>
      <c r="F30" s="1" t="e">
        <f>VLOOKUP(E30,HR!$C$5:$D$45,2,FALSE)</f>
        <v>#N/A</v>
      </c>
      <c r="G30" s="228"/>
      <c r="H30" s="272" t="str">
        <f t="shared" si="2"/>
        <v/>
      </c>
      <c r="K30" s="14"/>
    </row>
    <row r="31" spans="2:17" ht="13.05" customHeight="1" x14ac:dyDescent="0.35">
      <c r="B31" s="146"/>
      <c r="C31" s="25" t="str">
        <f t="shared" si="1"/>
        <v/>
      </c>
      <c r="D31" s="147"/>
      <c r="E31" s="147"/>
      <c r="F31" s="1" t="e">
        <f>VLOOKUP(E31,HR!$C$5:$D$45,2,FALSE)</f>
        <v>#N/A</v>
      </c>
      <c r="G31" s="228"/>
      <c r="H31" s="272" t="str">
        <f t="shared" si="2"/>
        <v/>
      </c>
      <c r="K31" s="14"/>
    </row>
    <row r="32" spans="2:17" ht="13.05" customHeight="1" x14ac:dyDescent="0.35">
      <c r="B32" s="146"/>
      <c r="C32" s="25" t="str">
        <f t="shared" si="1"/>
        <v/>
      </c>
      <c r="D32" s="147"/>
      <c r="E32" s="147"/>
      <c r="F32" s="1" t="e">
        <f>VLOOKUP(E32,HR!$C$5:$D$45,2,FALSE)</f>
        <v>#N/A</v>
      </c>
      <c r="G32" s="228"/>
      <c r="H32" s="272" t="str">
        <f t="shared" si="2"/>
        <v/>
      </c>
      <c r="K32" s="14"/>
    </row>
    <row r="33" spans="2:11" ht="13.05" customHeight="1" x14ac:dyDescent="0.35">
      <c r="B33" s="146"/>
      <c r="C33" s="25" t="str">
        <f t="shared" si="1"/>
        <v/>
      </c>
      <c r="D33" s="147"/>
      <c r="E33" s="147"/>
      <c r="F33" s="1" t="e">
        <f>VLOOKUP(E33,HR!$C$5:$D$45,2,FALSE)</f>
        <v>#N/A</v>
      </c>
      <c r="G33" s="228"/>
      <c r="H33" s="272" t="str">
        <f t="shared" si="2"/>
        <v/>
      </c>
      <c r="K33" s="14"/>
    </row>
    <row r="34" spans="2:11" ht="13.05" customHeight="1" x14ac:dyDescent="0.35">
      <c r="B34" s="146"/>
      <c r="C34" s="25" t="str">
        <f t="shared" si="1"/>
        <v/>
      </c>
      <c r="D34" s="147"/>
      <c r="E34" s="147"/>
      <c r="F34" s="1" t="e">
        <f>VLOOKUP(E34,HR!$C$5:$D$45,2,FALSE)</f>
        <v>#N/A</v>
      </c>
      <c r="G34" s="228"/>
      <c r="H34" s="272" t="str">
        <f t="shared" si="2"/>
        <v/>
      </c>
      <c r="K34" s="14"/>
    </row>
    <row r="35" spans="2:11" ht="13.05" customHeight="1" x14ac:dyDescent="0.35">
      <c r="B35" s="146"/>
      <c r="C35" s="25" t="str">
        <f t="shared" si="1"/>
        <v/>
      </c>
      <c r="D35" s="147"/>
      <c r="E35" s="147"/>
      <c r="F35" s="1" t="e">
        <f>VLOOKUP(E35,HR!$C$5:$D$45,2,FALSE)</f>
        <v>#N/A</v>
      </c>
      <c r="G35" s="228"/>
      <c r="H35" s="272" t="str">
        <f t="shared" si="2"/>
        <v/>
      </c>
      <c r="K35" s="14"/>
    </row>
    <row r="36" spans="2:11" ht="13.05" customHeight="1" x14ac:dyDescent="0.35">
      <c r="B36" s="146"/>
      <c r="C36" s="25" t="str">
        <f t="shared" si="1"/>
        <v/>
      </c>
      <c r="D36" s="147"/>
      <c r="E36" s="147"/>
      <c r="F36" s="1" t="e">
        <f>VLOOKUP(E36,HR!$C$5:$D$45,2,FALSE)</f>
        <v>#N/A</v>
      </c>
      <c r="G36" s="228"/>
      <c r="H36" s="272" t="str">
        <f t="shared" si="2"/>
        <v/>
      </c>
      <c r="K36" s="14"/>
    </row>
    <row r="37" spans="2:11" ht="13.05" customHeight="1" x14ac:dyDescent="0.35">
      <c r="B37" s="146"/>
      <c r="C37" s="25" t="str">
        <f t="shared" si="1"/>
        <v/>
      </c>
      <c r="D37" s="147"/>
      <c r="E37" s="147"/>
      <c r="F37" s="1" t="e">
        <f>VLOOKUP(E37,HR!$C$5:$D$45,2,FALSE)</f>
        <v>#N/A</v>
      </c>
      <c r="G37" s="228"/>
      <c r="H37" s="272" t="str">
        <f t="shared" si="2"/>
        <v/>
      </c>
      <c r="K37" s="14"/>
    </row>
    <row r="38" spans="2:11" ht="13.05" customHeight="1" x14ac:dyDescent="0.35">
      <c r="B38" s="146"/>
      <c r="C38" s="25" t="str">
        <f t="shared" si="1"/>
        <v/>
      </c>
      <c r="D38" s="147"/>
      <c r="E38" s="147"/>
      <c r="F38" s="1" t="e">
        <f>VLOOKUP(E38,HR!$C$5:$D$45,2,FALSE)</f>
        <v>#N/A</v>
      </c>
      <c r="G38" s="228"/>
      <c r="H38" s="272" t="str">
        <f t="shared" si="2"/>
        <v/>
      </c>
      <c r="K38" s="14"/>
    </row>
    <row r="39" spans="2:11" ht="13.05" customHeight="1" x14ac:dyDescent="0.35">
      <c r="B39" s="146"/>
      <c r="C39" s="25" t="str">
        <f t="shared" si="1"/>
        <v/>
      </c>
      <c r="D39" s="147"/>
      <c r="E39" s="147"/>
      <c r="F39" s="1" t="e">
        <f>VLOOKUP(E39,HR!$C$5:$D$45,2,FALSE)</f>
        <v>#N/A</v>
      </c>
      <c r="G39" s="228"/>
      <c r="H39" s="272" t="str">
        <f t="shared" si="2"/>
        <v/>
      </c>
      <c r="K39" s="14"/>
    </row>
    <row r="40" spans="2:11" ht="13.05" customHeight="1" x14ac:dyDescent="0.35">
      <c r="B40" s="146"/>
      <c r="C40" s="25" t="str">
        <f t="shared" si="1"/>
        <v/>
      </c>
      <c r="D40" s="147"/>
      <c r="E40" s="147"/>
      <c r="F40" s="1" t="e">
        <f>VLOOKUP(E40,HR!$C$5:$D$45,2,FALSE)</f>
        <v>#N/A</v>
      </c>
      <c r="G40" s="228"/>
      <c r="H40" s="272" t="str">
        <f t="shared" si="2"/>
        <v/>
      </c>
      <c r="K40" s="14"/>
    </row>
    <row r="41" spans="2:11" ht="13.05" customHeight="1" x14ac:dyDescent="0.35">
      <c r="B41" s="146"/>
      <c r="C41" s="25" t="str">
        <f t="shared" si="1"/>
        <v/>
      </c>
      <c r="D41" s="147"/>
      <c r="E41" s="147"/>
      <c r="F41" s="1" t="e">
        <f>VLOOKUP(E41,HR!$C$5:$D$45,2,FALSE)</f>
        <v>#N/A</v>
      </c>
      <c r="G41" s="228"/>
      <c r="H41" s="272" t="str">
        <f t="shared" si="2"/>
        <v/>
      </c>
      <c r="K41" s="14"/>
    </row>
    <row r="42" spans="2:11" ht="13.05" customHeight="1" x14ac:dyDescent="0.35">
      <c r="B42" s="146"/>
      <c r="C42" s="25" t="str">
        <f t="shared" si="1"/>
        <v/>
      </c>
      <c r="D42" s="147"/>
      <c r="E42" s="147"/>
      <c r="F42" s="1" t="e">
        <f>VLOOKUP(E42,HR!$C$5:$D$45,2,FALSE)</f>
        <v>#N/A</v>
      </c>
      <c r="G42" s="228"/>
      <c r="H42" s="272" t="str">
        <f t="shared" si="2"/>
        <v/>
      </c>
      <c r="K42" s="14"/>
    </row>
    <row r="43" spans="2:11" ht="13.05" customHeight="1" x14ac:dyDescent="0.35">
      <c r="B43" s="146"/>
      <c r="C43" s="25" t="str">
        <f t="shared" si="1"/>
        <v/>
      </c>
      <c r="D43" s="147"/>
      <c r="E43" s="147"/>
      <c r="F43" s="1" t="e">
        <f>VLOOKUP(E43,HR!$C$5:$D$45,2,FALSE)</f>
        <v>#N/A</v>
      </c>
      <c r="G43" s="228"/>
      <c r="H43" s="272" t="str">
        <f t="shared" si="2"/>
        <v/>
      </c>
      <c r="K43" s="14"/>
    </row>
    <row r="44" spans="2:11" ht="13.05" customHeight="1" x14ac:dyDescent="0.35">
      <c r="B44" s="146"/>
      <c r="C44" s="25" t="str">
        <f t="shared" si="1"/>
        <v/>
      </c>
      <c r="D44" s="147"/>
      <c r="E44" s="147"/>
      <c r="F44" s="1" t="e">
        <f>VLOOKUP(E44,HR!$C$5:$D$45,2,FALSE)</f>
        <v>#N/A</v>
      </c>
      <c r="G44" s="148"/>
      <c r="H44" s="272" t="str">
        <f t="shared" si="2"/>
        <v/>
      </c>
    </row>
    <row r="45" spans="2:11" ht="13.05" customHeight="1" x14ac:dyDescent="0.35">
      <c r="B45" s="146"/>
      <c r="C45" s="25" t="str">
        <f t="shared" si="1"/>
        <v/>
      </c>
      <c r="D45" s="147"/>
      <c r="E45" s="147"/>
      <c r="F45" s="1" t="e">
        <f>VLOOKUP(E45,HR!$C$5:$D$45,2,FALSE)</f>
        <v>#N/A</v>
      </c>
      <c r="G45" s="148"/>
      <c r="H45" s="272" t="str">
        <f t="shared" si="2"/>
        <v/>
      </c>
    </row>
    <row r="46" spans="2:11" ht="13.05" customHeight="1" x14ac:dyDescent="0.35">
      <c r="B46" s="146"/>
      <c r="C46" s="25" t="str">
        <f t="shared" si="1"/>
        <v/>
      </c>
      <c r="D46" s="147"/>
      <c r="E46" s="147"/>
      <c r="F46" s="1" t="e">
        <f>VLOOKUP(E46,HR!$C$5:$D$45,2,FALSE)</f>
        <v>#N/A</v>
      </c>
      <c r="G46" s="148"/>
      <c r="H46" s="272" t="str">
        <f t="shared" si="2"/>
        <v/>
      </c>
    </row>
    <row r="47" spans="2:11" ht="13.05" customHeight="1" x14ac:dyDescent="0.35">
      <c r="B47" s="268"/>
      <c r="C47" s="269" t="str">
        <f t="shared" ref="C47:C59" si="3">IF(ISNA(VLOOKUP(B47,$B$4:$C$25,2,FALSE))=TRUE,"",VLOOKUP(B47,$B$4:$C$25,2,FALSE))</f>
        <v/>
      </c>
      <c r="D47" s="270"/>
      <c r="E47" s="270"/>
      <c r="F47" s="271" t="e">
        <f>VLOOKUP(E47,HR!$C$5:$D$45,2,FALSE)</f>
        <v>#N/A</v>
      </c>
      <c r="G47" s="228"/>
      <c r="H47" s="272" t="str">
        <f t="shared" si="2"/>
        <v/>
      </c>
    </row>
    <row r="48" spans="2:11" ht="13.05" customHeight="1" x14ac:dyDescent="0.35">
      <c r="B48" s="268"/>
      <c r="C48" s="269" t="str">
        <f t="shared" si="3"/>
        <v/>
      </c>
      <c r="D48" s="270"/>
      <c r="E48" s="270"/>
      <c r="F48" s="271" t="e">
        <f>VLOOKUP(E48,HR!$C$5:$D$45,2,FALSE)</f>
        <v>#N/A</v>
      </c>
      <c r="G48" s="228"/>
      <c r="H48" s="272" t="str">
        <f t="shared" si="2"/>
        <v/>
      </c>
    </row>
    <row r="49" spans="2:8" ht="13.05" customHeight="1" x14ac:dyDescent="0.35">
      <c r="B49" s="268"/>
      <c r="C49" s="269" t="str">
        <f t="shared" si="3"/>
        <v/>
      </c>
      <c r="D49" s="270"/>
      <c r="E49" s="270"/>
      <c r="F49" s="271" t="e">
        <f>VLOOKUP(E49,HR!$C$5:$D$45,2,FALSE)</f>
        <v>#N/A</v>
      </c>
      <c r="G49" s="228"/>
      <c r="H49" s="272" t="str">
        <f t="shared" si="2"/>
        <v/>
      </c>
    </row>
    <row r="50" spans="2:8" ht="13.05" customHeight="1" x14ac:dyDescent="0.35">
      <c r="B50" s="268"/>
      <c r="C50" s="269" t="str">
        <f t="shared" si="3"/>
        <v/>
      </c>
      <c r="D50" s="270"/>
      <c r="E50" s="270"/>
      <c r="F50" s="271" t="e">
        <f>VLOOKUP(E50,HR!$C$5:$D$45,2,FALSE)</f>
        <v>#N/A</v>
      </c>
      <c r="G50" s="228"/>
      <c r="H50" s="272" t="str">
        <f t="shared" si="2"/>
        <v/>
      </c>
    </row>
    <row r="51" spans="2:8" ht="13.05" customHeight="1" x14ac:dyDescent="0.35">
      <c r="B51" s="268"/>
      <c r="C51" s="269" t="str">
        <f t="shared" si="3"/>
        <v/>
      </c>
      <c r="D51" s="270"/>
      <c r="E51" s="270"/>
      <c r="F51" s="271" t="e">
        <f>VLOOKUP(E51,HR!$C$5:$D$45,2,FALSE)</f>
        <v>#N/A</v>
      </c>
      <c r="G51" s="228"/>
      <c r="H51" s="272" t="str">
        <f t="shared" si="2"/>
        <v/>
      </c>
    </row>
    <row r="52" spans="2:8" ht="13.05" customHeight="1" x14ac:dyDescent="0.35">
      <c r="B52" s="268"/>
      <c r="C52" s="269" t="str">
        <f t="shared" si="3"/>
        <v/>
      </c>
      <c r="D52" s="270"/>
      <c r="E52" s="270"/>
      <c r="F52" s="271" t="e">
        <f>VLOOKUP(E52,HR!$C$5:$D$45,2,FALSE)</f>
        <v>#N/A</v>
      </c>
      <c r="G52" s="228"/>
      <c r="H52" s="272" t="str">
        <f t="shared" si="2"/>
        <v/>
      </c>
    </row>
    <row r="53" spans="2:8" ht="13.05" customHeight="1" x14ac:dyDescent="0.35">
      <c r="B53" s="268"/>
      <c r="C53" s="269" t="str">
        <f t="shared" si="3"/>
        <v/>
      </c>
      <c r="D53" s="270"/>
      <c r="E53" s="270"/>
      <c r="F53" s="271" t="e">
        <f>VLOOKUP(E53,HR!$C$5:$D$45,2,FALSE)</f>
        <v>#N/A</v>
      </c>
      <c r="G53" s="228"/>
      <c r="H53" s="272" t="str">
        <f t="shared" si="2"/>
        <v/>
      </c>
    </row>
    <row r="54" spans="2:8" ht="13.05" customHeight="1" x14ac:dyDescent="0.35">
      <c r="B54" s="268"/>
      <c r="C54" s="269" t="str">
        <f t="shared" si="3"/>
        <v/>
      </c>
      <c r="D54" s="270"/>
      <c r="E54" s="270"/>
      <c r="F54" s="271" t="e">
        <f>VLOOKUP(E54,HR!$C$5:$D$45,2,FALSE)</f>
        <v>#N/A</v>
      </c>
      <c r="G54" s="228"/>
      <c r="H54" s="272" t="str">
        <f t="shared" si="2"/>
        <v/>
      </c>
    </row>
    <row r="55" spans="2:8" ht="13.05" customHeight="1" x14ac:dyDescent="0.35">
      <c r="B55" s="268"/>
      <c r="C55" s="269" t="str">
        <f t="shared" si="3"/>
        <v/>
      </c>
      <c r="D55" s="270"/>
      <c r="E55" s="270"/>
      <c r="F55" s="271" t="e">
        <f>VLOOKUP(E55,HR!$C$5:$D$45,2,FALSE)</f>
        <v>#N/A</v>
      </c>
      <c r="G55" s="228"/>
      <c r="H55" s="272" t="str">
        <f t="shared" si="2"/>
        <v/>
      </c>
    </row>
    <row r="56" spans="2:8" ht="13.05" customHeight="1" x14ac:dyDescent="0.35">
      <c r="B56" s="268"/>
      <c r="C56" s="269" t="str">
        <f t="shared" si="3"/>
        <v/>
      </c>
      <c r="D56" s="270"/>
      <c r="E56" s="270"/>
      <c r="F56" s="271" t="e">
        <f>VLOOKUP(E56,HR!$C$5:$D$45,2,FALSE)</f>
        <v>#N/A</v>
      </c>
      <c r="G56" s="228"/>
      <c r="H56" s="272" t="str">
        <f t="shared" si="2"/>
        <v/>
      </c>
    </row>
    <row r="57" spans="2:8" ht="13.05" customHeight="1" x14ac:dyDescent="0.35">
      <c r="B57" s="268"/>
      <c r="C57" s="269" t="str">
        <f t="shared" si="3"/>
        <v/>
      </c>
      <c r="D57" s="270"/>
      <c r="E57" s="270"/>
      <c r="F57" s="271" t="e">
        <f>VLOOKUP(E57,HR!$C$5:$D$45,2,FALSE)</f>
        <v>#N/A</v>
      </c>
      <c r="G57" s="228"/>
      <c r="H57" s="272" t="str">
        <f t="shared" si="2"/>
        <v/>
      </c>
    </row>
    <row r="58" spans="2:8" ht="13.05" customHeight="1" x14ac:dyDescent="0.35">
      <c r="B58" s="268"/>
      <c r="C58" s="269" t="str">
        <f t="shared" si="3"/>
        <v/>
      </c>
      <c r="D58" s="270"/>
      <c r="E58" s="270"/>
      <c r="F58" s="271" t="e">
        <f>VLOOKUP(E58,HR!$C$5:$D$45,2,FALSE)</f>
        <v>#N/A</v>
      </c>
      <c r="G58" s="228"/>
      <c r="H58" s="272" t="str">
        <f t="shared" si="2"/>
        <v/>
      </c>
    </row>
    <row r="59" spans="2:8" ht="13.05" customHeight="1" thickBot="1" x14ac:dyDescent="0.4">
      <c r="B59" s="273"/>
      <c r="C59" s="274" t="str">
        <f t="shared" si="3"/>
        <v/>
      </c>
      <c r="D59" s="275"/>
      <c r="E59" s="275"/>
      <c r="F59" s="276" t="e">
        <f>VLOOKUP(E59,HR!$C$5:$D$45,2,FALSE)</f>
        <v>#N/A</v>
      </c>
      <c r="G59" s="277"/>
      <c r="H59" s="278" t="str">
        <f t="shared" si="2"/>
        <v/>
      </c>
    </row>
    <row r="60" spans="2:8" ht="13.5" thickBot="1" x14ac:dyDescent="0.4">
      <c r="F60" s="256"/>
      <c r="G60" s="20" t="s">
        <v>19</v>
      </c>
      <c r="H60" s="253">
        <f>SUM(H28:H59)</f>
        <v>0</v>
      </c>
    </row>
    <row r="62" spans="2:8" x14ac:dyDescent="0.35">
      <c r="G62" s="257" t="s">
        <v>92</v>
      </c>
      <c r="H62" s="257">
        <f>H60 /3</f>
        <v>0</v>
      </c>
    </row>
    <row r="63" spans="2:8" x14ac:dyDescent="0.35">
      <c r="G63" s="257" t="s">
        <v>94</v>
      </c>
      <c r="H63" s="257">
        <f>H60 /3</f>
        <v>0</v>
      </c>
    </row>
    <row r="64" spans="2:8" x14ac:dyDescent="0.35">
      <c r="G64" s="257" t="s">
        <v>93</v>
      </c>
      <c r="H64" s="257">
        <f>H60 /3</f>
        <v>0</v>
      </c>
    </row>
    <row r="65" spans="8:8" ht="13.5" thickBot="1" x14ac:dyDescent="0.4">
      <c r="H65" s="280">
        <f>SUM(H62:H64)</f>
        <v>0</v>
      </c>
    </row>
    <row r="66" spans="8:8" ht="13.15" thickTop="1" x14ac:dyDescent="0.35"/>
    <row r="67" spans="8:8" x14ac:dyDescent="0.35">
      <c r="H67" s="279" t="b">
        <f>H65 =H60</f>
        <v>1</v>
      </c>
    </row>
  </sheetData>
  <phoneticPr fontId="0" type="noConversion"/>
  <dataValidations count="2">
    <dataValidation type="list" allowBlank="1" showInputMessage="1" showErrorMessage="1" sqref="B28:B59" xr:uid="{00000000-0002-0000-2300-000000000000}">
      <formula1>Route</formula1>
    </dataValidation>
    <dataValidation type="list" allowBlank="1" showInputMessage="1" showErrorMessage="1" sqref="E28:E59" xr:uid="{00000000-0002-0000-2300-000001000000}">
      <formula1>Position</formula1>
    </dataValidation>
  </dataValidations>
  <pageMargins left="0.69" right="0.28000000000000003" top="1.05" bottom="0.52" header="0.6" footer="0.45"/>
  <pageSetup paperSize="9" scale="63" orientation="landscape" r:id="rId1"/>
  <headerFooter alignWithMargins="0">
    <oddHeader>&amp;L&amp;16Current Staff Estimated Costing (Pre Introduction of the New Model)</oddHeader>
    <oddFooter>&amp;L&amp;F   &amp;A&amp;C&amp;P   of  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Assumptions</vt:lpstr>
      <vt:lpstr>P&amp;L</vt:lpstr>
      <vt:lpstr>Cash Movement + Fund Injection</vt:lpstr>
      <vt:lpstr>develop. of royalties(not Used)</vt:lpstr>
      <vt:lpstr>HR</vt:lpstr>
      <vt:lpstr>Detail</vt:lpstr>
      <vt:lpstr>FeeLic&amp;Roy</vt:lpstr>
      <vt:lpstr>FPFeeEscalation US</vt:lpstr>
      <vt:lpstr>EPM US</vt:lpstr>
      <vt:lpstr>FPFeeEscalation UK_AP</vt:lpstr>
      <vt:lpstr>EPM UK_APAC</vt:lpstr>
      <vt:lpstr>TvlBAU-Regional</vt:lpstr>
      <vt:lpstr>Conferences_Annual</vt:lpstr>
      <vt:lpstr>Enter_FTE</vt:lpstr>
      <vt:lpstr>exp_index</vt:lpstr>
      <vt:lpstr>HQ_Trip_Per_Person</vt:lpstr>
      <vt:lpstr>Insurance_Annual</vt:lpstr>
      <vt:lpstr>Office_Annual</vt:lpstr>
      <vt:lpstr>PC_Annual</vt:lpstr>
      <vt:lpstr>Position</vt:lpstr>
      <vt:lpstr>Postage_Annual</vt:lpstr>
      <vt:lpstr>Print_Annual</vt:lpstr>
      <vt:lpstr>'Cash Movement + Fund Injection'!Print_Area</vt:lpstr>
      <vt:lpstr>Detail!Print_Area</vt:lpstr>
      <vt:lpstr>'develop. of royalties(not Used)'!Print_Area</vt:lpstr>
      <vt:lpstr>'FeeLic&amp;Roy'!Print_Area</vt:lpstr>
      <vt:lpstr>HR!Print_Area</vt:lpstr>
      <vt:lpstr>'P&amp;L'!Print_Area</vt:lpstr>
      <vt:lpstr>'TvlBAU-Regional'!Print_Area</vt:lpstr>
      <vt:lpstr>'FeeLic&amp;Roy'!Region</vt:lpstr>
      <vt:lpstr>Region</vt:lpstr>
      <vt:lpstr>Rent_Monthly</vt:lpstr>
      <vt:lpstr>'TvlBAU-Regional'!Route</vt:lpstr>
      <vt:lpstr>Sale_Travel_Per_Licensee</vt:lpstr>
      <vt:lpstr>Sundry_Annual</vt:lpstr>
      <vt:lpstr>TelCom_Annual</vt:lpstr>
      <vt:lpstr>'FPFeeEscalation UK_AP'!termination_rate</vt:lpstr>
      <vt:lpstr>'FPFeeEscalation US'!termination_rate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EPXH</dc:creator>
  <cp:lastModifiedBy>John Innes</cp:lastModifiedBy>
  <cp:lastPrinted>2024-12-30T01:10:20Z</cp:lastPrinted>
  <dcterms:created xsi:type="dcterms:W3CDTF">2005-06-15T09:05:00Z</dcterms:created>
  <dcterms:modified xsi:type="dcterms:W3CDTF">2025-12-17T05:02:24Z</dcterms:modified>
</cp:coreProperties>
</file>